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thalia Duarte\Desktop\"/>
    </mc:Choice>
  </mc:AlternateContent>
  <bookViews>
    <workbookView xWindow="0" yWindow="0" windowWidth="14295" windowHeight="6120" activeTab="1"/>
  </bookViews>
  <sheets>
    <sheet name="Sobre" sheetId="1" r:id="rId1"/>
    <sheet name="Dados" sheetId="2" r:id="rId2"/>
    <sheet name="Dashboard" sheetId="3" r:id="rId3"/>
    <sheet name="Cálculo" sheetId="4" state="hidden" r:id="rId4"/>
  </sheets>
  <calcPr calcId="152511"/>
</workbook>
</file>

<file path=xl/calcChain.xml><?xml version="1.0" encoding="utf-8"?>
<calcChain xmlns="http://schemas.openxmlformats.org/spreadsheetml/2006/main">
  <c r="O19" i="4" l="1"/>
  <c r="N19" i="4"/>
  <c r="M19" i="4"/>
  <c r="L19" i="4"/>
  <c r="K19" i="4"/>
  <c r="J19" i="4"/>
  <c r="I19" i="4"/>
  <c r="H19" i="4"/>
  <c r="G19" i="4"/>
  <c r="F19" i="4"/>
  <c r="E19" i="4"/>
  <c r="D19" i="4"/>
  <c r="C19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C15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C10" i="4"/>
  <c r="O8" i="4"/>
  <c r="N8" i="4"/>
  <c r="M8" i="4"/>
  <c r="L8" i="4"/>
  <c r="K8" i="4"/>
  <c r="J8" i="4"/>
  <c r="I8" i="4"/>
  <c r="H8" i="4"/>
  <c r="G8" i="4"/>
  <c r="F8" i="4"/>
  <c r="E8" i="4"/>
  <c r="D8" i="4"/>
  <c r="C8" i="4"/>
  <c r="O7" i="4"/>
  <c r="N7" i="4"/>
  <c r="M7" i="4"/>
  <c r="L7" i="4"/>
  <c r="K7" i="4"/>
  <c r="J7" i="4"/>
  <c r="I7" i="4"/>
  <c r="H7" i="4"/>
  <c r="G7" i="4"/>
  <c r="F7" i="4"/>
  <c r="E7" i="4"/>
  <c r="D7" i="4"/>
  <c r="C7" i="4"/>
  <c r="C6" i="4"/>
  <c r="O4" i="4"/>
  <c r="O37" i="4" s="1"/>
  <c r="N4" i="4"/>
  <c r="M4" i="4"/>
  <c r="M37" i="4" s="1"/>
  <c r="L4" i="4"/>
  <c r="K4" i="4"/>
  <c r="K37" i="4" s="1"/>
  <c r="J4" i="4"/>
  <c r="I4" i="4"/>
  <c r="I37" i="4" s="1"/>
  <c r="H4" i="4"/>
  <c r="G4" i="4"/>
  <c r="G37" i="4" s="1"/>
  <c r="F4" i="4"/>
  <c r="E4" i="4"/>
  <c r="E35" i="4" s="1"/>
  <c r="D4" i="4"/>
  <c r="P3" i="4"/>
  <c r="O3" i="4"/>
  <c r="N3" i="4"/>
  <c r="M3" i="4"/>
  <c r="L3" i="4"/>
  <c r="K3" i="4"/>
  <c r="J3" i="4"/>
  <c r="I3" i="4"/>
  <c r="H3" i="4"/>
  <c r="G3" i="4"/>
  <c r="F3" i="4"/>
  <c r="E3" i="4"/>
  <c r="D3" i="4"/>
  <c r="E2" i="4"/>
  <c r="D2" i="4"/>
  <c r="P1" i="4"/>
  <c r="N1" i="4"/>
  <c r="L1" i="4"/>
  <c r="J1" i="4"/>
  <c r="H1" i="4"/>
  <c r="F1" i="4"/>
  <c r="D1" i="4"/>
  <c r="B1" i="4"/>
  <c r="P22" i="2"/>
  <c r="P19" i="4" s="1"/>
  <c r="P21" i="2"/>
  <c r="P18" i="4" s="1"/>
  <c r="P20" i="2"/>
  <c r="P17" i="4" s="1"/>
  <c r="P19" i="2"/>
  <c r="P16" i="4" s="1"/>
  <c r="P16" i="2"/>
  <c r="P13" i="4" s="1"/>
  <c r="P15" i="2"/>
  <c r="P12" i="4" s="1"/>
  <c r="P14" i="2"/>
  <c r="P11" i="4" s="1"/>
  <c r="P11" i="2"/>
  <c r="P8" i="4" s="1"/>
  <c r="P10" i="2"/>
  <c r="P7" i="4" s="1"/>
  <c r="P7" i="2"/>
  <c r="P4" i="4" s="1"/>
  <c r="P6" i="2"/>
  <c r="F5" i="2"/>
  <c r="E5" i="2"/>
  <c r="E21" i="1"/>
  <c r="H30" i="4" l="1"/>
  <c r="D26" i="4"/>
  <c r="F26" i="4"/>
  <c r="H26" i="4"/>
  <c r="J26" i="4"/>
  <c r="L26" i="4"/>
  <c r="N26" i="4"/>
  <c r="D29" i="4"/>
  <c r="F29" i="4"/>
  <c r="H29" i="4"/>
  <c r="J29" i="4"/>
  <c r="L29" i="4"/>
  <c r="N29" i="4"/>
  <c r="D31" i="4"/>
  <c r="F31" i="4"/>
  <c r="H31" i="4"/>
  <c r="J31" i="4"/>
  <c r="L31" i="4"/>
  <c r="N31" i="4"/>
  <c r="D34" i="4"/>
  <c r="F34" i="4"/>
  <c r="H34" i="4"/>
  <c r="J34" i="4"/>
  <c r="L34" i="4"/>
  <c r="N34" i="4"/>
  <c r="D36" i="4"/>
  <c r="F36" i="4"/>
  <c r="H36" i="4"/>
  <c r="J36" i="4"/>
  <c r="L36" i="4"/>
  <c r="N36" i="4"/>
  <c r="D30" i="4"/>
  <c r="L30" i="4"/>
  <c r="F30" i="4"/>
  <c r="J30" i="4"/>
  <c r="N30" i="4"/>
  <c r="D22" i="4"/>
  <c r="D25" i="4"/>
  <c r="F25" i="4"/>
  <c r="H25" i="4"/>
  <c r="J25" i="4"/>
  <c r="L25" i="4"/>
  <c r="N25" i="4"/>
  <c r="E29" i="4"/>
  <c r="I29" i="4"/>
  <c r="M29" i="4"/>
  <c r="G31" i="4"/>
  <c r="K31" i="4"/>
  <c r="O31" i="4"/>
  <c r="D35" i="4"/>
  <c r="F35" i="4"/>
  <c r="H35" i="4"/>
  <c r="J35" i="4"/>
  <c r="L35" i="4"/>
  <c r="N35" i="4"/>
  <c r="D37" i="4"/>
  <c r="F37" i="4"/>
  <c r="H37" i="4"/>
  <c r="J37" i="4"/>
  <c r="L37" i="4"/>
  <c r="N37" i="4"/>
  <c r="G26" i="4"/>
  <c r="K26" i="4"/>
  <c r="M26" i="4"/>
  <c r="O26" i="4"/>
  <c r="E30" i="4"/>
  <c r="I30" i="4"/>
  <c r="M30" i="4"/>
  <c r="E25" i="4"/>
  <c r="I25" i="4"/>
  <c r="M25" i="4"/>
  <c r="G29" i="4"/>
  <c r="K29" i="4"/>
  <c r="O29" i="4"/>
  <c r="E31" i="4"/>
  <c r="I31" i="4"/>
  <c r="M31" i="4"/>
  <c r="G35" i="4"/>
  <c r="K35" i="4"/>
  <c r="O35" i="4"/>
  <c r="E37" i="4"/>
  <c r="E26" i="4"/>
  <c r="I26" i="4"/>
  <c r="G30" i="4"/>
  <c r="K30" i="4"/>
  <c r="O30" i="4"/>
  <c r="F2" i="4"/>
  <c r="F22" i="4" s="1"/>
  <c r="G5" i="2"/>
  <c r="E22" i="4"/>
  <c r="E34" i="4"/>
  <c r="G34" i="4"/>
  <c r="I34" i="4"/>
  <c r="K34" i="4"/>
  <c r="M34" i="4"/>
  <c r="O34" i="4"/>
  <c r="E36" i="4"/>
  <c r="G36" i="4"/>
  <c r="I36" i="4"/>
  <c r="K36" i="4"/>
  <c r="M36" i="4"/>
  <c r="O36" i="4"/>
  <c r="G25" i="4"/>
  <c r="K25" i="4"/>
  <c r="O25" i="4"/>
  <c r="I35" i="4"/>
  <c r="M35" i="4"/>
  <c r="O20" i="4"/>
  <c r="P29" i="4" l="1"/>
  <c r="P26" i="4"/>
  <c r="P30" i="4"/>
  <c r="P31" i="4"/>
  <c r="P36" i="4"/>
  <c r="P35" i="4"/>
  <c r="P34" i="4"/>
  <c r="P25" i="4"/>
  <c r="G2" i="4"/>
  <c r="G22" i="4" s="1"/>
  <c r="H5" i="2"/>
  <c r="H2" i="4" l="1"/>
  <c r="H22" i="4" s="1"/>
  <c r="I5" i="2"/>
  <c r="J5" i="2" l="1"/>
  <c r="I2" i="4"/>
  <c r="I22" i="4" s="1"/>
  <c r="J2" i="4" l="1"/>
  <c r="J22" i="4" s="1"/>
  <c r="K5" i="2"/>
  <c r="K2" i="4" l="1"/>
  <c r="K22" i="4" s="1"/>
  <c r="L5" i="2"/>
  <c r="L2" i="4" l="1"/>
  <c r="L22" i="4" s="1"/>
  <c r="M5" i="2"/>
  <c r="N5" i="2" l="1"/>
  <c r="M2" i="4"/>
  <c r="M22" i="4" s="1"/>
  <c r="N2" i="4" l="1"/>
  <c r="N22" i="4" s="1"/>
  <c r="O5" i="2"/>
  <c r="O2" i="4" l="1"/>
  <c r="O22" i="4" s="1"/>
  <c r="P22" i="4" s="1"/>
  <c r="P5" i="2"/>
  <c r="P2" i="4" s="1"/>
  <c r="P37" i="4" s="1"/>
</calcChain>
</file>

<file path=xl/sharedStrings.xml><?xml version="1.0" encoding="utf-8"?>
<sst xmlns="http://schemas.openxmlformats.org/spreadsheetml/2006/main" count="118" uniqueCount="49">
  <si>
    <t>DADOS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</si>
  <si>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</si>
  <si>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</si>
  <si>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</si>
  <si>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</si>
  <si>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</si>
  <si>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</si>
  <si>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</si>
  <si>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</si>
  <si>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</si>
  <si>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</si>
  <si>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</si>
  <si>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</si>
  <si>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ano</t>
  </si>
  <si>
    <t>Nº de funcionários</t>
  </si>
  <si>
    <t>Admissões</t>
  </si>
  <si>
    <t>Demissões (total)</t>
  </si>
  <si>
    <t>Demissões por iniciativa</t>
  </si>
  <si>
    <t>Da empresa</t>
  </si>
  <si>
    <t>Do colaborador</t>
  </si>
  <si>
    <t>Sobre esta planilha</t>
  </si>
  <si>
    <t>Qual é o calculo?</t>
  </si>
  <si>
    <r>
      <t xml:space="preserve">Turnover = [ (admissões + demissões) / 2 ] / total de colaboradores do último dia do mês anterior x 100. Turnover considerado “alto”, ou seja, que deve ter a atenção do gestor, é qualquer coisa acima de 5%, com exceções. </t>
    </r>
    <r>
      <rPr>
        <b/>
        <sz val="10"/>
        <rFont val="Arial"/>
      </rPr>
      <t xml:space="preserve">Fique tranquilo, os cálculos estão todos prontos. </t>
    </r>
  </si>
  <si>
    <t>Mantenha a aba "dados" alimentada</t>
  </si>
  <si>
    <t>Os gráficos do Dashboard são criados de forma automática, mas, para isso, você precisa manter atualizados e alimentados os dados.</t>
  </si>
  <si>
    <t>Onde o cálculo é realizado?</t>
  </si>
  <si>
    <t xml:space="preserve">Existe uma aba oculta, chamada "cálculo", com todas as fórmulas que formam o gráfico. Ela foi ocultada, pois não deve ser editada. Toda edição deve ser feita na aba "Dados". </t>
  </si>
  <si>
    <t>Quero mudar o critério, posso?</t>
  </si>
  <si>
    <t xml:space="preserve">Pode. Se em vez de tempo de empresa você quiser descobrir outro indicador, basta trocar os dados. O gráfico seguirá os novos nomes que você criar. </t>
  </si>
  <si>
    <t>Tem certeza que o turnover é o único problema da sua empresa?</t>
  </si>
  <si>
    <t>Faça o seu diagnóstico empresarial (gratuito) e descubra que outros indicadores podem ser melhorados.</t>
  </si>
  <si>
    <t>Demissões por tempo de empresa</t>
  </si>
  <si>
    <t>Em período de experiência</t>
  </si>
  <si>
    <t>Menos de seis meses</t>
  </si>
  <si>
    <t>Mais de seis meses</t>
  </si>
  <si>
    <t>Demissões por causa</t>
  </si>
  <si>
    <t>Inadequação comportamental</t>
  </si>
  <si>
    <t>Baixa produtividade</t>
  </si>
  <si>
    <t>TURNOVER GERAL</t>
  </si>
  <si>
    <t>A pedido do cliente</t>
  </si>
  <si>
    <t>Outras</t>
  </si>
  <si>
    <t>Por iniciativa da empresa</t>
  </si>
  <si>
    <t>Por iniciativa do colaborador</t>
  </si>
  <si>
    <t>Turnover = [ (admissões + demissões) / 2 ] / total de
colaboradores x 100.</t>
  </si>
  <si>
    <t>Dúvidas Frequentes</t>
  </si>
  <si>
    <t>ANÁLISE DOS DESLIGAMENTOS</t>
  </si>
  <si>
    <r>
      <t>Por que analisar os desligamentos?</t>
    </r>
    <r>
      <rPr>
        <sz val="11"/>
        <color rgb="FF999999"/>
        <rFont val="Arial"/>
        <family val="2"/>
      </rPr>
      <t xml:space="preserve">
Quando a contratação de novos funcionários representa a reposição daqueles que saíram, e não exatamente o crescimento da empresa, o motivo do desligamento pode ajudar a identificar o porquê do índice.
Com os gráficos ao lado é possível identificar tendências de desligamento e planejar ações. Por exemplo, se os desligamentos por iniciativa da empresa acontecem mais no período de experiência e por inadequação comportamental, o processo seletivo pode ser ajustado. 
Assim, a contratação será mais assertiva, evitando o desligamento e uma nova contratação pouco depois. Menos contratações, menos desligamentos, menor rotatividade. </t>
    </r>
  </si>
  <si>
    <r>
      <t>Quando se preocupar?</t>
    </r>
    <r>
      <rPr>
        <sz val="11"/>
        <color rgb="FF999999"/>
        <rFont val="Arial"/>
        <family val="2"/>
      </rPr>
      <t xml:space="preserve"> 
No geral, um turnover acima de 5% já merece atenção. Isso não significa que existe algum problema e sim que você precisa analisar o cenário de rotatividade da empresa. 
</t>
    </r>
    <r>
      <rPr>
        <b/>
        <sz val="11"/>
        <color rgb="FF999999"/>
        <rFont val="Arial"/>
        <family val="2"/>
      </rPr>
      <t xml:space="preserve">Quando um turnover alto não é ruim? </t>
    </r>
    <r>
      <rPr>
        <sz val="11"/>
        <color rgb="FF999999"/>
        <rFont val="Arial"/>
        <family val="2"/>
      </rPr>
      <t xml:space="preserve">
Quando o indicador é impulsionado pelo crescimento da empresa, e não pela rotatividade de funcionários. Por exemplo, se um projeto demandou a contratação de muitos funcionários, o turnover será afetado, mas, nesse caso, ele é reflexo do crescimento da empresa e não da rotatividade de profissionais. </t>
    </r>
  </si>
  <si>
    <r>
      <rPr>
        <sz val="11"/>
        <color theme="1"/>
        <rFont val="Arial"/>
        <family val="2"/>
      </rPr>
      <t xml:space="preserve">Para começar, preencha em </t>
    </r>
    <r>
      <rPr>
        <b/>
        <sz val="11"/>
        <color theme="1"/>
        <rFont val="Arial"/>
        <family val="2"/>
      </rPr>
      <t xml:space="preserve">janeiro </t>
    </r>
    <r>
      <rPr>
        <sz val="11"/>
        <color theme="1"/>
        <rFont val="Arial"/>
        <family val="2"/>
      </rPr>
      <t xml:space="preserve">o número de funcionários que a empresa tinha no último dia útil de </t>
    </r>
    <r>
      <rPr>
        <b/>
        <sz val="11"/>
        <color theme="1"/>
        <rFont val="Arial"/>
        <family val="2"/>
      </rPr>
      <t>dezembro</t>
    </r>
    <r>
      <rPr>
        <sz val="11"/>
        <color theme="1"/>
        <rFont val="Arial"/>
        <family val="2"/>
      </rPr>
      <t xml:space="preserve">. Os demais meses você não precisará preencher.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</si>
</sst>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22">
    <font>
      <sz val="10"/>
      <color rgb="FF000000"/>
      <name val="Arial"/>
    </font>
    <font>
      <b/>
      <sz val="12"/>
      <color rgb="FFFFFFFF"/>
      <name val="Arial"/>
    </font>
    <font>
      <sz val="10"/>
      <name val="Arial"/>
    </font>
    <font>
      <b/>
      <sz val="14"/>
      <color rgb="FFFFFFFF"/>
      <name val="Arial"/>
    </font>
    <font>
      <b/>
      <sz val="10"/>
      <name val="Arial"/>
    </font>
    <font>
      <b/>
      <sz val="14"/>
      <name val="Arial"/>
    </font>
    <font>
      <sz val="10"/>
      <name val="Arial"/>
    </font>
    <font>
      <sz val="10"/>
      <color rgb="FFFF0000"/>
      <name val="Arial"/>
    </font>
    <font>
      <b/>
      <sz val="14"/>
      <color rgb="FF004E71"/>
      <name val="Arial"/>
    </font>
    <font>
      <b/>
      <sz val="20"/>
      <color rgb="FF004E71"/>
      <name val="Arial"/>
    </font>
    <font>
      <b/>
      <sz val="20"/>
      <color rgb="FFFFFFFF"/>
      <name val="Arial"/>
    </font>
    <font>
      <b/>
      <sz val="10"/>
      <color rgb="FF004E71"/>
      <name val="Arial"/>
    </font>
    <font>
      <b/>
      <u/>
      <sz val="12"/>
      <color rgb="FFFFFFFF"/>
      <name val="Arial"/>
    </font>
    <font>
      <b/>
      <sz val="12"/>
      <color rgb="FFFFFFFF"/>
      <name val="Arial"/>
    </font>
    <font>
      <b/>
      <sz val="15"/>
      <color rgb="FFFFFFFF"/>
      <name val="Arial"/>
    </font>
    <font>
      <sz val="10"/>
      <color rgb="FFFFFFFF"/>
      <name val="Arial"/>
    </font>
    <font>
      <sz val="16"/>
      <color rgb="FF666666"/>
      <name val="Roboto"/>
    </font>
    <font>
      <sz val="10"/>
      <name val="Arial"/>
    </font>
    <font>
      <sz val="11"/>
      <color rgb="FF999999"/>
      <name val="Arial"/>
      <family val="2"/>
    </font>
    <font>
      <b/>
      <sz val="11"/>
      <color rgb="FF999999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4E71"/>
        <bgColor rgb="FF004E71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83D0F5"/>
        <bgColor rgb="FF83D0F5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2F2F2"/>
        <bgColor rgb="FFF2F2F2"/>
      </patternFill>
    </fill>
    <fill>
      <patternFill patternType="solid">
        <fgColor rgb="FF666666"/>
        <bgColor rgb="FF666666"/>
      </patternFill>
    </fill>
  </fills>
  <borders count="3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EAD3"/>
      </left>
      <right style="thin">
        <color rgb="FFD9EAD3"/>
      </right>
      <top/>
      <bottom style="thin">
        <color rgb="FFFFFFFF"/>
      </bottom>
      <diagonal/>
    </border>
    <border>
      <left style="thin">
        <color rgb="FFD9EAD3"/>
      </left>
      <right/>
      <top/>
      <bottom style="thin">
        <color rgb="FFFFFFFF"/>
      </bottom>
      <diagonal/>
    </border>
    <border>
      <left/>
      <right style="thin">
        <color rgb="FFD9EAD3"/>
      </right>
      <top/>
      <bottom style="thin">
        <color rgb="FFFFFFFF"/>
      </bottom>
      <diagonal/>
    </border>
    <border>
      <left style="thin">
        <color rgb="FFD9EAD3"/>
      </left>
      <right style="thin">
        <color rgb="FFD9EAD3"/>
      </right>
      <top/>
      <bottom/>
      <diagonal/>
    </border>
    <border>
      <left style="thin">
        <color rgb="FFEFEFEF"/>
      </left>
      <right/>
      <top/>
      <bottom style="thin">
        <color rgb="FFEFEFEF"/>
      </bottom>
      <diagonal/>
    </border>
    <border>
      <left/>
      <right/>
      <top/>
      <bottom style="thin">
        <color rgb="FFEFEFEF"/>
      </bottom>
      <diagonal/>
    </border>
    <border>
      <left/>
      <right style="thin">
        <color rgb="FFEFEFEF"/>
      </right>
      <top/>
      <bottom style="thin">
        <color rgb="FFEFEFEF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EFEFEF"/>
      </left>
      <right/>
      <top style="thin">
        <color rgb="FFEFEFEF"/>
      </top>
      <bottom/>
      <diagonal/>
    </border>
    <border>
      <left/>
      <right/>
      <top style="thin">
        <color rgb="FFEFEFEF"/>
      </top>
      <bottom/>
      <diagonal/>
    </border>
    <border>
      <left/>
      <right style="thin">
        <color rgb="FFEFEFEF"/>
      </right>
      <top style="thin">
        <color rgb="FFEFEFEF"/>
      </top>
      <bottom/>
      <diagonal/>
    </border>
    <border>
      <left style="thin">
        <color rgb="FFEFEFEF"/>
      </left>
      <right style="thin">
        <color rgb="FFEFEFEF"/>
      </right>
      <top style="thin">
        <color rgb="FFEFEFEF"/>
      </top>
      <bottom/>
      <diagonal/>
    </border>
    <border>
      <left style="thin">
        <color rgb="FFD9EAD3"/>
      </left>
      <right/>
      <top/>
      <bottom/>
      <diagonal/>
    </border>
    <border>
      <left/>
      <right style="thin">
        <color rgb="FFD9EAD3"/>
      </right>
      <top/>
      <bottom/>
      <diagonal/>
    </border>
    <border>
      <left style="thin">
        <color rgb="FFF2F2F2"/>
      </left>
      <right/>
      <top style="thin">
        <color rgb="FFF2F2F2"/>
      </top>
      <bottom style="thin">
        <color rgb="FFF2F2F2"/>
      </bottom>
      <diagonal/>
    </border>
    <border>
      <left/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/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D9EAD3"/>
      </left>
      <right style="thin">
        <color rgb="FFD9EAD3"/>
      </right>
      <top style="thin">
        <color rgb="FFFFFFFF"/>
      </top>
      <bottom style="thin">
        <color rgb="FFFFFFFF"/>
      </bottom>
      <diagonal/>
    </border>
    <border>
      <left style="thin">
        <color rgb="FFD9EAD3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D9EAD3"/>
      </right>
      <top style="thin">
        <color rgb="FFFFFFFF"/>
      </top>
      <bottom style="thin">
        <color rgb="FFFFFFFF"/>
      </bottom>
      <diagonal/>
    </border>
    <border>
      <left style="thin">
        <color rgb="FFEFEFEF"/>
      </left>
      <right style="thin">
        <color rgb="FFEFEFEF"/>
      </right>
      <top/>
      <bottom style="thin">
        <color rgb="FFEFEFEF"/>
      </bottom>
      <diagonal/>
    </border>
    <border>
      <left style="thin">
        <color rgb="FFF2F2F2"/>
      </left>
      <right/>
      <top style="thin">
        <color rgb="FFF2F2F2"/>
      </top>
      <bottom/>
      <diagonal/>
    </border>
    <border>
      <left/>
      <right style="thin">
        <color rgb="FFF2F2F2"/>
      </right>
      <top style="thin">
        <color rgb="FFF2F2F2"/>
      </top>
      <bottom/>
      <diagonal/>
    </border>
    <border>
      <left style="thin">
        <color rgb="FFB6D7A8"/>
      </left>
      <right style="thin">
        <color rgb="FFB6D7A8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 style="thin">
        <color rgb="FF666666"/>
      </right>
      <top/>
      <bottom/>
      <diagonal/>
    </border>
    <border>
      <left style="thin">
        <color rgb="FF666666"/>
      </left>
      <right style="thin">
        <color rgb="FF666666"/>
      </right>
      <top/>
      <bottom style="thin">
        <color rgb="FF666666"/>
      </bottom>
      <diagonal/>
    </border>
  </borders>
  <cellStyleXfs count="1">
    <xf numFmtId="0" fontId="0" fillId="0" borderId="0"/>
  </cellStyleXfs>
  <cellXfs count="121">
    <xf numFmtId="0" fontId="0" fillId="0" borderId="0" xfId="0" applyFont="1" applyAlignment="1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4" xfId="0" applyFont="1" applyBorder="1"/>
    <xf numFmtId="0" fontId="1" fillId="3" borderId="5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left"/>
    </xf>
    <xf numFmtId="0" fontId="2" fillId="6" borderId="8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2" fillId="6" borderId="8" xfId="0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2" fillId="7" borderId="21" xfId="0" applyFont="1" applyFill="1" applyBorder="1" applyAlignment="1">
      <alignment horizontal="left"/>
    </xf>
    <xf numFmtId="0" fontId="2" fillId="7" borderId="22" xfId="0" applyFont="1" applyFill="1" applyBorder="1" applyAlignment="1">
      <alignment horizontal="center"/>
    </xf>
    <xf numFmtId="0" fontId="2" fillId="7" borderId="12" xfId="0" applyFont="1" applyFill="1" applyBorder="1" applyAlignment="1">
      <alignment horizontal="center"/>
    </xf>
    <xf numFmtId="0" fontId="2" fillId="8" borderId="16" xfId="0" applyFont="1" applyFill="1" applyBorder="1" applyAlignment="1">
      <alignment horizontal="center"/>
    </xf>
    <xf numFmtId="0" fontId="2" fillId="7" borderId="15" xfId="0" applyFont="1" applyFill="1" applyBorder="1" applyAlignment="1">
      <alignment horizontal="center"/>
    </xf>
    <xf numFmtId="0" fontId="6" fillId="2" borderId="0" xfId="0" applyFont="1" applyFill="1" applyAlignment="1"/>
    <xf numFmtId="0" fontId="2" fillId="7" borderId="16" xfId="0" applyFont="1" applyFill="1" applyBorder="1" applyAlignment="1">
      <alignment horizontal="center"/>
    </xf>
    <xf numFmtId="0" fontId="6" fillId="0" borderId="0" xfId="0" applyFont="1" applyAlignment="1"/>
    <xf numFmtId="0" fontId="2" fillId="0" borderId="23" xfId="0" applyFont="1" applyBorder="1" applyAlignment="1">
      <alignment horizontal="left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vertical="center"/>
    </xf>
    <xf numFmtId="0" fontId="6" fillId="2" borderId="0" xfId="0" applyFont="1" applyFill="1" applyAlignment="1">
      <alignment horizontal="center"/>
    </xf>
    <xf numFmtId="0" fontId="6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top" wrapText="1"/>
    </xf>
    <xf numFmtId="0" fontId="6" fillId="2" borderId="0" xfId="0" applyFont="1" applyFill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" fillId="10" borderId="24" xfId="0" applyFont="1" applyFill="1" applyBorder="1" applyAlignment="1">
      <alignment horizontal="left" vertical="center"/>
    </xf>
    <xf numFmtId="0" fontId="1" fillId="10" borderId="25" xfId="0" applyFont="1" applyFill="1" applyBorder="1" applyAlignment="1">
      <alignment horizontal="left" vertical="center"/>
    </xf>
    <xf numFmtId="0" fontId="1" fillId="10" borderId="26" xfId="0" applyFont="1" applyFill="1" applyBorder="1" applyAlignment="1">
      <alignment horizontal="left" vertical="center"/>
    </xf>
    <xf numFmtId="0" fontId="2" fillId="7" borderId="27" xfId="0" applyFont="1" applyFill="1" applyBorder="1" applyAlignment="1">
      <alignment horizontal="center"/>
    </xf>
    <xf numFmtId="0" fontId="2" fillId="11" borderId="8" xfId="0" applyFont="1" applyFill="1" applyBorder="1" applyAlignment="1">
      <alignment horizontal="left"/>
    </xf>
    <xf numFmtId="0" fontId="2" fillId="11" borderId="8" xfId="0" applyFont="1" applyFill="1" applyBorder="1" applyAlignment="1">
      <alignment horizontal="center"/>
    </xf>
    <xf numFmtId="0" fontId="2" fillId="11" borderId="8" xfId="0" applyFont="1" applyFill="1" applyBorder="1" applyAlignment="1">
      <alignment horizontal="center"/>
    </xf>
    <xf numFmtId="0" fontId="2" fillId="7" borderId="12" xfId="0" applyFont="1" applyFill="1" applyBorder="1" applyAlignment="1">
      <alignment horizontal="left"/>
    </xf>
    <xf numFmtId="0" fontId="2" fillId="12" borderId="21" xfId="0" applyFont="1" applyFill="1" applyBorder="1" applyAlignment="1">
      <alignment horizontal="left"/>
    </xf>
    <xf numFmtId="0" fontId="2" fillId="12" borderId="21" xfId="0" applyFont="1" applyFill="1" applyBorder="1" applyAlignment="1">
      <alignment horizontal="center"/>
    </xf>
    <xf numFmtId="0" fontId="2" fillId="0" borderId="1" xfId="0" applyFont="1" applyBorder="1" applyAlignment="1"/>
    <xf numFmtId="0" fontId="2" fillId="8" borderId="21" xfId="0" applyFont="1" applyFill="1" applyBorder="1" applyAlignment="1">
      <alignment horizontal="center"/>
    </xf>
    <xf numFmtId="0" fontId="1" fillId="10" borderId="30" xfId="0" applyFont="1" applyFill="1" applyBorder="1" applyAlignment="1">
      <alignment horizontal="center" vertical="center"/>
    </xf>
    <xf numFmtId="164" fontId="1" fillId="10" borderId="30" xfId="0" applyNumberFormat="1" applyFont="1" applyFill="1" applyBorder="1" applyAlignment="1">
      <alignment horizontal="center" vertical="center"/>
    </xf>
    <xf numFmtId="0" fontId="2" fillId="12" borderId="32" xfId="0" applyFont="1" applyFill="1" applyBorder="1" applyAlignment="1">
      <alignment horizontal="left"/>
    </xf>
    <xf numFmtId="0" fontId="2" fillId="12" borderId="32" xfId="0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/>
    <xf numFmtId="0" fontId="2" fillId="0" borderId="1" xfId="0" applyFont="1" applyBorder="1"/>
    <xf numFmtId="164" fontId="2" fillId="0" borderId="1" xfId="0" applyNumberFormat="1" applyFont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/>
    <xf numFmtId="0" fontId="16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16" fillId="2" borderId="2" xfId="0" applyFont="1" applyFill="1" applyBorder="1" applyAlignment="1">
      <alignment horizontal="center" vertical="center" wrapText="1"/>
    </xf>
    <xf numFmtId="0" fontId="17" fillId="2" borderId="1" xfId="0" applyFont="1" applyFill="1" applyBorder="1"/>
    <xf numFmtId="0" fontId="1" fillId="6" borderId="31" xfId="0" applyFont="1" applyFill="1" applyBorder="1" applyAlignment="1">
      <alignment horizontal="center" vertical="center"/>
    </xf>
    <xf numFmtId="0" fontId="2" fillId="2" borderId="2" xfId="0" applyFont="1" applyFill="1" applyBorder="1"/>
    <xf numFmtId="0" fontId="2" fillId="2" borderId="4" xfId="0" applyFont="1" applyFill="1" applyBorder="1"/>
    <xf numFmtId="0" fontId="2" fillId="2" borderId="23" xfId="0" applyFont="1" applyFill="1" applyBorder="1"/>
    <xf numFmtId="0" fontId="17" fillId="2" borderId="31" xfId="0" applyFont="1" applyFill="1" applyBorder="1"/>
    <xf numFmtId="0" fontId="0" fillId="0" borderId="0" xfId="0" applyFont="1" applyAlignment="1"/>
    <xf numFmtId="0" fontId="9" fillId="6" borderId="0" xfId="0" applyFont="1" applyFill="1" applyAlignment="1">
      <alignment horizontal="center" vertical="center"/>
    </xf>
    <xf numFmtId="0" fontId="0" fillId="0" borderId="0" xfId="0" applyFont="1" applyAlignment="1"/>
    <xf numFmtId="0" fontId="6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center" vertical="center"/>
    </xf>
    <xf numFmtId="0" fontId="12" fillId="9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0" fontId="2" fillId="7" borderId="28" xfId="0" applyFont="1" applyFill="1" applyBorder="1" applyAlignment="1">
      <alignment horizontal="left"/>
    </xf>
    <xf numFmtId="0" fontId="2" fillId="0" borderId="29" xfId="0" applyFont="1" applyBorder="1"/>
    <xf numFmtId="0" fontId="2" fillId="6" borderId="17" xfId="0" applyFont="1" applyFill="1" applyBorder="1" applyAlignment="1">
      <alignment horizontal="left"/>
    </xf>
    <xf numFmtId="0" fontId="2" fillId="0" borderId="18" xfId="0" applyFont="1" applyBorder="1"/>
    <xf numFmtId="0" fontId="2" fillId="7" borderId="19" xfId="0" applyFont="1" applyFill="1" applyBorder="1" applyAlignment="1">
      <alignment horizontal="left"/>
    </xf>
    <xf numFmtId="0" fontId="2" fillId="0" borderId="20" xfId="0" applyFont="1" applyBorder="1"/>
    <xf numFmtId="0" fontId="2" fillId="0" borderId="3" xfId="0" applyFont="1" applyBorder="1"/>
    <xf numFmtId="0" fontId="2" fillId="0" borderId="4" xfId="0" applyFont="1" applyBorder="1"/>
    <xf numFmtId="0" fontId="2" fillId="2" borderId="9" xfId="0" applyFont="1" applyFill="1" applyBorder="1" applyAlignment="1">
      <alignment horizontal="left"/>
    </xf>
    <xf numFmtId="0" fontId="2" fillId="2" borderId="10" xfId="0" applyFont="1" applyFill="1" applyBorder="1"/>
    <xf numFmtId="0" fontId="2" fillId="2" borderId="11" xfId="0" applyFont="1" applyFill="1" applyBorder="1"/>
    <xf numFmtId="0" fontId="2" fillId="5" borderId="13" xfId="0" applyFont="1" applyFill="1" applyBorder="1" applyAlignment="1">
      <alignment horizontal="left"/>
    </xf>
    <xf numFmtId="0" fontId="2" fillId="5" borderId="14" xfId="0" applyFont="1" applyFill="1" applyBorder="1"/>
    <xf numFmtId="0" fontId="2" fillId="5" borderId="15" xfId="0" applyFont="1" applyFill="1" applyBorder="1"/>
    <xf numFmtId="0" fontId="2" fillId="2" borderId="13" xfId="0" applyFont="1" applyFill="1" applyBorder="1" applyAlignment="1">
      <alignment horizontal="left"/>
    </xf>
    <xf numFmtId="0" fontId="2" fillId="2" borderId="14" xfId="0" applyFont="1" applyFill="1" applyBorder="1"/>
    <xf numFmtId="0" fontId="2" fillId="2" borderId="15" xfId="0" applyFont="1" applyFill="1" applyBorder="1"/>
    <xf numFmtId="0" fontId="1" fillId="3" borderId="6" xfId="0" applyFont="1" applyFill="1" applyBorder="1" applyAlignment="1">
      <alignment horizontal="left" vertical="center"/>
    </xf>
    <xf numFmtId="0" fontId="2" fillId="4" borderId="7" xfId="0" applyFont="1" applyFill="1" applyBorder="1"/>
    <xf numFmtId="0" fontId="19" fillId="2" borderId="33" xfId="0" applyFont="1" applyFill="1" applyBorder="1" applyAlignment="1">
      <alignment horizontal="left" vertical="top" wrapText="1"/>
    </xf>
    <xf numFmtId="0" fontId="2" fillId="0" borderId="34" xfId="0" applyFont="1" applyBorder="1"/>
    <xf numFmtId="0" fontId="2" fillId="0" borderId="35" xfId="0" applyFont="1" applyBorder="1"/>
    <xf numFmtId="0" fontId="2" fillId="0" borderId="2" xfId="0" applyFont="1" applyBorder="1"/>
    <xf numFmtId="0" fontId="16" fillId="2" borderId="2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/>
    </xf>
    <xf numFmtId="0" fontId="1" fillId="10" borderId="25" xfId="0" applyFont="1" applyFill="1" applyBorder="1" applyAlignment="1">
      <alignment horizontal="left" vertical="center"/>
    </xf>
    <xf numFmtId="0" fontId="2" fillId="0" borderId="26" xfId="0" applyFont="1" applyBorder="1"/>
    <xf numFmtId="0" fontId="2" fillId="11" borderId="17" xfId="0" applyFont="1" applyFill="1" applyBorder="1" applyAlignment="1">
      <alignment horizontal="left"/>
    </xf>
    <xf numFmtId="0" fontId="15" fillId="13" borderId="2" xfId="0" applyFont="1" applyFill="1" applyBorder="1" applyAlignment="1">
      <alignment horizontal="center" vertical="center"/>
    </xf>
    <xf numFmtId="0" fontId="14" fillId="10" borderId="31" xfId="0" applyFont="1" applyFill="1" applyBorder="1" applyAlignment="1">
      <alignment horizontal="center" vertical="center" wrapText="1"/>
    </xf>
    <xf numFmtId="0" fontId="2" fillId="0" borderId="23" xfId="0" applyFont="1" applyBorder="1"/>
    <xf numFmtId="0" fontId="2" fillId="7" borderId="13" xfId="0" applyFont="1" applyFill="1" applyBorder="1" applyAlignment="1">
      <alignment horizontal="left"/>
    </xf>
    <xf numFmtId="0" fontId="2" fillId="0" borderId="14" xfId="0" applyFont="1" applyBorder="1"/>
    <xf numFmtId="0" fontId="2" fillId="0" borderId="15" xfId="0" applyFont="1" applyBorder="1"/>
    <xf numFmtId="0" fontId="2" fillId="7" borderId="9" xfId="0" applyFont="1" applyFill="1" applyBorder="1" applyAlignment="1">
      <alignment horizontal="left"/>
    </xf>
    <xf numFmtId="0" fontId="2" fillId="0" borderId="10" xfId="0" applyFont="1" applyBorder="1"/>
    <xf numFmtId="0" fontId="2" fillId="0" borderId="11" xfId="0" applyFont="1" applyBorder="1"/>
    <xf numFmtId="0" fontId="20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solid">
          <fgColor rgb="FF83D0F5"/>
          <bgColor rgb="FF83D0F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c:style val="2"/>
  <c:chart>
    <c:title>
      <c:tx>
        <c:rich>
          <a:bodyPr/>
          <a:lstStyle/>
          <a:p>
            <a:pPr lvl="0">
              <a:defRPr b="0"/>
            </a:pPr>
            <a:r>
              <a:rPr lang="pt-BR"/>
              <a:t>TURNOVER GERAL (ADMISSÃO X DEMISSÃO)</a:t>
            </a:r>
          </a:p>
        </c:rich>
      </c:tx>
      <c:layout/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Cálculo!$C$22</c:f>
              <c:strCache>
                <c:ptCount val="1"/>
              </c:strCache>
            </c:strRef>
          </c:tx>
          <c:spPr>
            <a:solidFill>
              <a:srgbClr val="004E71"/>
            </a:solidFill>
          </c:spPr>
          <c:invertIfNegative val="1"/>
          <c:dLbls>
            <c:dLbl>
              <c:idx val="0"/>
              <c:layout>
                <c:manualLayout>
                  <c:x val="1.4405762304921969E-2"/>
                  <c:y val="-1.5094339622641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9.6038415366146157E-3"/>
                  <c:y val="-1.5094339622641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9.6038415366147042E-3"/>
                  <c:y val="-2.51572327044025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9.6038415366146452E-3"/>
                  <c:y val="-1.50943396226416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9.6038415366146452E-3"/>
                  <c:y val="-1.50943396226415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9.6038415366145879E-3"/>
                  <c:y val="-1.5094339622641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1.2805122048819529E-2"/>
                  <c:y val="-5.031446540880548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9.6038415366146452E-3"/>
                  <c:y val="-2.0125786163522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1.1204481792717087E-2"/>
                  <c:y val="-1.50943396226415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9.6038415366146452E-3"/>
                  <c:y val="-2.51572327044025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9.6038415366146452E-3"/>
                  <c:y val="-1.00628930817610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1.1204481792717087E-2"/>
                  <c:y val="-1.50943396226415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0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Cálculo!$D$21:$O$21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Cálculo!$D$22:$O$22</c:f>
              <c:numCache>
                <c:formatCode>0.0%</c:formatCode>
                <c:ptCount val="12"/>
                <c:pt idx="0">
                  <c:v>9.3333333333333338E-2</c:v>
                </c:pt>
                <c:pt idx="1">
                  <c:v>5.2364864864864864E-2</c:v>
                </c:pt>
                <c:pt idx="2">
                  <c:v>6.1016949152542375E-2</c:v>
                </c:pt>
                <c:pt idx="3">
                  <c:v>3.1353135313531351E-2</c:v>
                </c:pt>
                <c:pt idx="4">
                  <c:v>8.0645161290322578E-2</c:v>
                </c:pt>
                <c:pt idx="5">
                  <c:v>5.2215189873417722E-2</c:v>
                </c:pt>
                <c:pt idx="6">
                  <c:v>4.3408360128617367E-2</c:v>
                </c:pt>
                <c:pt idx="7">
                  <c:v>5.3797468354430382E-2</c:v>
                </c:pt>
                <c:pt idx="8">
                  <c:v>5.6962025316455694E-2</c:v>
                </c:pt>
                <c:pt idx="9">
                  <c:v>4.1139240506329111E-2</c:v>
                </c:pt>
                <c:pt idx="10">
                  <c:v>5.4487179487179488E-2</c:v>
                </c:pt>
                <c:pt idx="11">
                  <c:v>6.7187499999999997E-2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gapDepth val="50"/>
        <c:shape val="box"/>
        <c:axId val="383939112"/>
        <c:axId val="383939896"/>
        <c:axId val="0"/>
      </c:bar3DChart>
      <c:catAx>
        <c:axId val="383939112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b="0"/>
            </a:pPr>
            <a:endParaRPr lang="pt-BR"/>
          </a:p>
        </c:txPr>
        <c:crossAx val="383939896"/>
        <c:crosses val="autoZero"/>
        <c:auto val="1"/>
        <c:lblAlgn val="ctr"/>
        <c:lblOffset val="100"/>
        <c:noMultiLvlLbl val="1"/>
      </c:catAx>
      <c:valAx>
        <c:axId val="3839398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0.0%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  <a:endParaRPr lang="pt-BR"/>
          </a:p>
        </c:txPr>
        <c:crossAx val="38393911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c:style val="2"/>
  <c:chart>
    <c:title>
      <c:tx>
        <c:rich>
          <a:bodyPr/>
          <a:lstStyle/>
          <a:p>
            <a:pPr lvl="0">
              <a:defRPr b="0"/>
            </a:pPr>
            <a:r>
              <a:rPr lang="pt-BR"/>
              <a:t>DEMISSÃO POR TEMPO DE EMPRESA</a:t>
            </a:r>
          </a:p>
        </c:rich>
      </c:tx>
      <c:layout/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percentStacked"/>
        <c:varyColors val="1"/>
        <c:ser>
          <c:idx val="0"/>
          <c:order val="0"/>
          <c:tx>
            <c:strRef>
              <c:f>Cálculo!$C$29</c:f>
              <c:strCache>
                <c:ptCount val="1"/>
                <c:pt idx="0">
                  <c:v>Em período de experiência</c:v>
                </c:pt>
              </c:strCache>
            </c:strRef>
          </c:tx>
          <c:spPr>
            <a:solidFill>
              <a:srgbClr val="004E71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0"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Cálculo!$D$28:$O$28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Cálculo!$D$29:$O$29</c:f>
              <c:numCache>
                <c:formatCode>0.0%</c:formatCode>
                <c:ptCount val="12"/>
                <c:pt idx="0">
                  <c:v>0.1</c:v>
                </c:pt>
                <c:pt idx="1">
                  <c:v>0.25</c:v>
                </c:pt>
                <c:pt idx="2">
                  <c:v>0.14285714285714285</c:v>
                </c:pt>
                <c:pt idx="3">
                  <c:v>0.16666666666666666</c:v>
                </c:pt>
                <c:pt idx="4">
                  <c:v>0.18181818181818182</c:v>
                </c:pt>
                <c:pt idx="5">
                  <c:v>0.36842105263157893</c:v>
                </c:pt>
                <c:pt idx="6">
                  <c:v>0.27272727272727271</c:v>
                </c:pt>
                <c:pt idx="7">
                  <c:v>5.8823529411764705E-2</c:v>
                </c:pt>
                <c:pt idx="8">
                  <c:v>0.22222222222222221</c:v>
                </c:pt>
                <c:pt idx="9">
                  <c:v>0.2</c:v>
                </c:pt>
                <c:pt idx="10">
                  <c:v>0.15384615384615385</c:v>
                </c:pt>
                <c:pt idx="11">
                  <c:v>0.2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"/>
          <c:order val="1"/>
          <c:tx>
            <c:strRef>
              <c:f>Cálculo!$C$30</c:f>
              <c:strCache>
                <c:ptCount val="1"/>
                <c:pt idx="0">
                  <c:v>Menos de seis meses</c:v>
                </c:pt>
              </c:strCache>
            </c:strRef>
          </c:tx>
          <c:spPr>
            <a:solidFill>
              <a:srgbClr val="6C8D9D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0">
                    <a:solidFill>
                      <a:srgbClr val="FFFFFF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Cálculo!$D$28:$O$28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Cálculo!$D$30:$O$30</c:f>
              <c:numCache>
                <c:formatCode>0.0%</c:formatCode>
                <c:ptCount val="12"/>
                <c:pt idx="0">
                  <c:v>6.6666666666666666E-2</c:v>
                </c:pt>
                <c:pt idx="1">
                  <c:v>0.1875</c:v>
                </c:pt>
                <c:pt idx="2">
                  <c:v>0.5</c:v>
                </c:pt>
                <c:pt idx="3">
                  <c:v>0.33333333333333331</c:v>
                </c:pt>
                <c:pt idx="4">
                  <c:v>0.27272727272727271</c:v>
                </c:pt>
                <c:pt idx="5">
                  <c:v>0.31578947368421051</c:v>
                </c:pt>
                <c:pt idx="6">
                  <c:v>0.18181818181818182</c:v>
                </c:pt>
                <c:pt idx="7">
                  <c:v>0.17647058823529413</c:v>
                </c:pt>
                <c:pt idx="8">
                  <c:v>0.16666666666666666</c:v>
                </c:pt>
                <c:pt idx="9">
                  <c:v>0.33333333333333331</c:v>
                </c:pt>
                <c:pt idx="10">
                  <c:v>0.23076923076923078</c:v>
                </c:pt>
                <c:pt idx="11">
                  <c:v>0.1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2"/>
          <c:order val="2"/>
          <c:tx>
            <c:strRef>
              <c:f>Cálculo!$C$31</c:f>
              <c:strCache>
                <c:ptCount val="1"/>
                <c:pt idx="0">
                  <c:v>Mais de seis meses</c:v>
                </c:pt>
              </c:strCache>
            </c:strRef>
          </c:tx>
          <c:spPr>
            <a:solidFill>
              <a:srgbClr val="83D0F5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0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Cálculo!$D$28:$O$28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Cálculo!$D$31:$O$31</c:f>
              <c:numCache>
                <c:formatCode>0.0%</c:formatCode>
                <c:ptCount val="12"/>
                <c:pt idx="0">
                  <c:v>0.83333333333333337</c:v>
                </c:pt>
                <c:pt idx="1">
                  <c:v>0.5625</c:v>
                </c:pt>
                <c:pt idx="2">
                  <c:v>0.35714285714285715</c:v>
                </c:pt>
                <c:pt idx="3">
                  <c:v>0.5</c:v>
                </c:pt>
                <c:pt idx="4">
                  <c:v>0.54545454545454541</c:v>
                </c:pt>
                <c:pt idx="5">
                  <c:v>0.31578947368421051</c:v>
                </c:pt>
                <c:pt idx="6">
                  <c:v>0.54545454545454541</c:v>
                </c:pt>
                <c:pt idx="7">
                  <c:v>0.76470588235294112</c:v>
                </c:pt>
                <c:pt idx="8">
                  <c:v>0.61111111111111116</c:v>
                </c:pt>
                <c:pt idx="9">
                  <c:v>0.46666666666666667</c:v>
                </c:pt>
                <c:pt idx="10">
                  <c:v>0.61538461538461542</c:v>
                </c:pt>
                <c:pt idx="11">
                  <c:v>0.7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gapDepth val="50"/>
        <c:shape val="box"/>
        <c:axId val="383941072"/>
        <c:axId val="383941464"/>
        <c:axId val="0"/>
      </c:bar3DChart>
      <c:catAx>
        <c:axId val="383941072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b="0"/>
            </a:pPr>
            <a:endParaRPr lang="pt-BR"/>
          </a:p>
        </c:txPr>
        <c:crossAx val="383941464"/>
        <c:crosses val="autoZero"/>
        <c:auto val="1"/>
        <c:lblAlgn val="ctr"/>
        <c:lblOffset val="100"/>
        <c:noMultiLvlLbl val="1"/>
      </c:catAx>
      <c:valAx>
        <c:axId val="3839414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0%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  <a:endParaRPr lang="pt-BR"/>
          </a:p>
        </c:txPr>
        <c:crossAx val="383941072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c:style val="2"/>
  <c:chart>
    <c:title>
      <c:tx>
        <c:rich>
          <a:bodyPr/>
          <a:lstStyle/>
          <a:p>
            <a:pPr lvl="0">
              <a:defRPr b="0"/>
            </a:pPr>
            <a:r>
              <a:rPr lang="pt-BR"/>
              <a:t>DEMISSÃO POR CAUSA</a:t>
            </a:r>
          </a:p>
        </c:rich>
      </c:tx>
      <c:layout/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xMode val="edge"/>
          <c:yMode val="edge"/>
          <c:x val="8.1659851440576248E-2"/>
          <c:y val="0.13256784968684759"/>
          <c:w val="0.8896186599639857"/>
          <c:h val="0.72051148225469719"/>
        </c:manualLayout>
      </c:layout>
      <c:bar3DChart>
        <c:barDir val="col"/>
        <c:grouping val="stacked"/>
        <c:varyColors val="1"/>
        <c:ser>
          <c:idx val="0"/>
          <c:order val="0"/>
          <c:tx>
            <c:strRef>
              <c:f>Cálculo!$C$34</c:f>
              <c:strCache>
                <c:ptCount val="1"/>
                <c:pt idx="0">
                  <c:v>Inadequação comportamental</c:v>
                </c:pt>
              </c:strCache>
            </c:strRef>
          </c:tx>
          <c:spPr>
            <a:solidFill>
              <a:srgbClr val="004E71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0"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Cálculo!$D$33:$O$33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Cálculo!$D$34:$O$34</c:f>
              <c:numCache>
                <c:formatCode>0.0%</c:formatCode>
                <c:ptCount val="12"/>
                <c:pt idx="0">
                  <c:v>0.23333333333333334</c:v>
                </c:pt>
                <c:pt idx="1">
                  <c:v>0.125</c:v>
                </c:pt>
                <c:pt idx="2">
                  <c:v>7.1428571428571425E-2</c:v>
                </c:pt>
                <c:pt idx="3">
                  <c:v>0.16666666666666666</c:v>
                </c:pt>
                <c:pt idx="4">
                  <c:v>0.27272727272727271</c:v>
                </c:pt>
                <c:pt idx="5">
                  <c:v>0.31578947368421051</c:v>
                </c:pt>
                <c:pt idx="6">
                  <c:v>0.45454545454545453</c:v>
                </c:pt>
                <c:pt idx="7">
                  <c:v>5.8823529411764705E-2</c:v>
                </c:pt>
                <c:pt idx="8">
                  <c:v>0.22222222222222221</c:v>
                </c:pt>
                <c:pt idx="9">
                  <c:v>6.6666666666666666E-2</c:v>
                </c:pt>
                <c:pt idx="10">
                  <c:v>0.46153846153846156</c:v>
                </c:pt>
                <c:pt idx="11">
                  <c:v>0.4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"/>
          <c:order val="1"/>
          <c:tx>
            <c:strRef>
              <c:f>Cálculo!$C$35</c:f>
              <c:strCache>
                <c:ptCount val="1"/>
                <c:pt idx="0">
                  <c:v>Baixa produtividade</c:v>
                </c:pt>
              </c:strCache>
            </c:strRef>
          </c:tx>
          <c:spPr>
            <a:solidFill>
              <a:srgbClr val="6C8D9D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0">
                    <a:solidFill>
                      <a:srgbClr val="FFFFFF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Cálculo!$D$33:$O$33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Cálculo!$D$35:$O$35</c:f>
              <c:numCache>
                <c:formatCode>0.0%</c:formatCode>
                <c:ptCount val="12"/>
                <c:pt idx="0">
                  <c:v>0.13333333333333333</c:v>
                </c:pt>
                <c:pt idx="1">
                  <c:v>0.4375</c:v>
                </c:pt>
                <c:pt idx="2">
                  <c:v>0.2857142857142857</c:v>
                </c:pt>
                <c:pt idx="3">
                  <c:v>0.16666666666666666</c:v>
                </c:pt>
                <c:pt idx="4">
                  <c:v>0.36363636363636365</c:v>
                </c:pt>
                <c:pt idx="5">
                  <c:v>0.10526315789473684</c:v>
                </c:pt>
                <c:pt idx="6">
                  <c:v>9.0909090909090912E-2</c:v>
                </c:pt>
                <c:pt idx="7">
                  <c:v>0.35294117647058826</c:v>
                </c:pt>
                <c:pt idx="8">
                  <c:v>0.16666666666666666</c:v>
                </c:pt>
                <c:pt idx="9">
                  <c:v>6.6666666666666666E-2</c:v>
                </c:pt>
                <c:pt idx="10">
                  <c:v>0.23076923076923078</c:v>
                </c:pt>
                <c:pt idx="11">
                  <c:v>0.2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2"/>
          <c:order val="2"/>
          <c:tx>
            <c:strRef>
              <c:f>Cálculo!$C$36</c:f>
              <c:strCache>
                <c:ptCount val="1"/>
                <c:pt idx="0">
                  <c:v>A pedido do cliente</c:v>
                </c:pt>
              </c:strCache>
            </c:strRef>
          </c:tx>
          <c:spPr>
            <a:solidFill>
              <a:srgbClr val="53B4C7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0">
                    <a:solidFill>
                      <a:schemeClr val="tx1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Cálculo!$D$33:$O$33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Cálculo!$D$36:$O$36</c:f>
              <c:numCache>
                <c:formatCode>0.0%</c:formatCode>
                <c:ptCount val="12"/>
                <c:pt idx="0">
                  <c:v>0.1</c:v>
                </c:pt>
                <c:pt idx="1">
                  <c:v>0.125</c:v>
                </c:pt>
                <c:pt idx="2">
                  <c:v>0.2857142857142857</c:v>
                </c:pt>
                <c:pt idx="3">
                  <c:v>0.16666666666666666</c:v>
                </c:pt>
                <c:pt idx="4">
                  <c:v>4.5454545454545456E-2</c:v>
                </c:pt>
                <c:pt idx="5">
                  <c:v>0.36842105263157893</c:v>
                </c:pt>
                <c:pt idx="6">
                  <c:v>0.18181818181818182</c:v>
                </c:pt>
                <c:pt idx="7">
                  <c:v>0.17647058823529413</c:v>
                </c:pt>
                <c:pt idx="8">
                  <c:v>5.5555555555555552E-2</c:v>
                </c:pt>
                <c:pt idx="9">
                  <c:v>0.26666666666666666</c:v>
                </c:pt>
                <c:pt idx="10">
                  <c:v>0.15384615384615385</c:v>
                </c:pt>
                <c:pt idx="11">
                  <c:v>0.3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3"/>
          <c:order val="3"/>
          <c:tx>
            <c:strRef>
              <c:f>Cálculo!$C$37</c:f>
              <c:strCache>
                <c:ptCount val="1"/>
                <c:pt idx="0">
                  <c:v>Outras</c:v>
                </c:pt>
              </c:strCache>
            </c:strRef>
          </c:tx>
          <c:spPr>
            <a:solidFill>
              <a:srgbClr val="83D0F5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0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Cálculo!$D$33:$O$33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Cálculo!$D$37:$O$37</c:f>
              <c:numCache>
                <c:formatCode>0.0%</c:formatCode>
                <c:ptCount val="12"/>
                <c:pt idx="0">
                  <c:v>0.53333333333333333</c:v>
                </c:pt>
                <c:pt idx="1">
                  <c:v>0.3125</c:v>
                </c:pt>
                <c:pt idx="2">
                  <c:v>0.35714285714285715</c:v>
                </c:pt>
                <c:pt idx="3">
                  <c:v>0.5</c:v>
                </c:pt>
                <c:pt idx="4">
                  <c:v>0.31818181818181818</c:v>
                </c:pt>
                <c:pt idx="5">
                  <c:v>0.21052631578947367</c:v>
                </c:pt>
                <c:pt idx="6">
                  <c:v>0.27272727272727271</c:v>
                </c:pt>
                <c:pt idx="7">
                  <c:v>0.41176470588235292</c:v>
                </c:pt>
                <c:pt idx="8">
                  <c:v>0.55555555555555558</c:v>
                </c:pt>
                <c:pt idx="9">
                  <c:v>0.6</c:v>
                </c:pt>
                <c:pt idx="10">
                  <c:v>0.15384615384615385</c:v>
                </c:pt>
                <c:pt idx="11">
                  <c:v>0.1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gapDepth val="50"/>
        <c:shape val="box"/>
        <c:axId val="383931664"/>
        <c:axId val="383935584"/>
        <c:axId val="0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Cálculo!$C$38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rgbClr val="990099"/>
                  </a:solidFill>
                </c:spPr>
                <c:invertIfNegative val="1"/>
                <c:cat>
                  <c:strRef>
                    <c:extLst>
                      <c:ext uri="{02D57815-91ED-43cb-92C2-25804820EDAC}">
                        <c15:formulaRef>
                          <c15:sqref>Cálculo!$D$33:$O$33</c15:sqref>
                        </c15:formulaRef>
                      </c:ext>
                    </c:extLst>
                    <c:strCache>
                      <c:ptCount val="12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outubro</c:v>
                      </c:pt>
                      <c:pt idx="10">
                        <c:v>novembro</c:v>
                      </c:pt>
                      <c:pt idx="11">
                        <c:v>dezembro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Cálculo!$D$38:$O$38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4="http://schemas.microsoft.com/office/drawing/2007/8/2/chart" uri="{6F2FDCE9-48DA-4B69-8628-5D25D57E5C99}">
                    <c14:invertSolidFillFmt>
                      <c14:spPr xmlns:c14="http://schemas.microsoft.com/office/drawing/2007/8/2/chart">
                        <a:solidFill>
                          <a:srgbClr val="FFFFFF"/>
                        </a:solidFill>
                      </c14:spPr>
                    </c14:invertSolidFillFmt>
                  </c:ext>
                </c:extLst>
              </c15:ser>
            </c15:filteredBarSeries>
          </c:ext>
        </c:extLst>
      </c:bar3DChart>
      <c:catAx>
        <c:axId val="383931664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b="0"/>
            </a:pPr>
            <a:endParaRPr lang="pt-BR"/>
          </a:p>
        </c:txPr>
        <c:crossAx val="383935584"/>
        <c:crosses val="autoZero"/>
        <c:auto val="1"/>
        <c:lblAlgn val="ctr"/>
        <c:lblOffset val="100"/>
        <c:noMultiLvlLbl val="1"/>
      </c:catAx>
      <c:valAx>
        <c:axId val="383935584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0.0%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  <a:endParaRPr lang="pt-BR"/>
          </a:p>
        </c:txPr>
        <c:crossAx val="383931664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c:style val="2"/>
  <c:chart>
    <c:title>
      <c:tx>
        <c:rich>
          <a:bodyPr/>
          <a:lstStyle/>
          <a:p>
            <a:pPr lvl="0">
              <a:defRPr b="0"/>
            </a:pPr>
            <a:r>
              <a:rPr lang="pt-BR"/>
              <a:t>POR INICIATIVA DO COLABORADOR OU DA EMPRESA</a:t>
            </a:r>
          </a:p>
        </c:rich>
      </c:tx>
      <c:layout/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1"/>
        <c:ser>
          <c:idx val="0"/>
          <c:order val="0"/>
          <c:tx>
            <c:strRef>
              <c:f>Cálculo!$C$25</c:f>
              <c:strCache>
                <c:ptCount val="1"/>
                <c:pt idx="0">
                  <c:v>Por iniciativa da empresa</c:v>
                </c:pt>
              </c:strCache>
            </c:strRef>
          </c:tx>
          <c:spPr>
            <a:solidFill>
              <a:srgbClr val="004E71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0"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Cálculo!$D$24:$O$24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Cálculo!$D$25:$O$25</c:f>
              <c:numCache>
                <c:formatCode>0.0%</c:formatCode>
                <c:ptCount val="12"/>
                <c:pt idx="0">
                  <c:v>0.6</c:v>
                </c:pt>
                <c:pt idx="1">
                  <c:v>0.75</c:v>
                </c:pt>
                <c:pt idx="2">
                  <c:v>0.5</c:v>
                </c:pt>
                <c:pt idx="3">
                  <c:v>0.66666666666666663</c:v>
                </c:pt>
                <c:pt idx="4">
                  <c:v>0.77272727272727271</c:v>
                </c:pt>
                <c:pt idx="5">
                  <c:v>0.42105263157894735</c:v>
                </c:pt>
                <c:pt idx="6">
                  <c:v>0.45454545454545453</c:v>
                </c:pt>
                <c:pt idx="7">
                  <c:v>0.41176470588235292</c:v>
                </c:pt>
                <c:pt idx="8">
                  <c:v>0.33333333333333331</c:v>
                </c:pt>
                <c:pt idx="9">
                  <c:v>0.53333333333333333</c:v>
                </c:pt>
                <c:pt idx="10">
                  <c:v>0.61538461538461542</c:v>
                </c:pt>
                <c:pt idx="11">
                  <c:v>0.6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"/>
          <c:order val="1"/>
          <c:tx>
            <c:strRef>
              <c:f>Cálculo!$C$26</c:f>
              <c:strCache>
                <c:ptCount val="1"/>
                <c:pt idx="0">
                  <c:v>Por iniciativa do colaborador</c:v>
                </c:pt>
              </c:strCache>
            </c:strRef>
          </c:tx>
          <c:spPr>
            <a:solidFill>
              <a:srgbClr val="6C8D9D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0">
                    <a:solidFill>
                      <a:srgbClr val="FFFFFF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Cálculo!$D$24:$O$24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Cálculo!$D$26:$O$26</c:f>
              <c:numCache>
                <c:formatCode>0.0%</c:formatCode>
                <c:ptCount val="12"/>
                <c:pt idx="0">
                  <c:v>0.4</c:v>
                </c:pt>
                <c:pt idx="1">
                  <c:v>0.25</c:v>
                </c:pt>
                <c:pt idx="2">
                  <c:v>0.5</c:v>
                </c:pt>
                <c:pt idx="3">
                  <c:v>0.33333333333333331</c:v>
                </c:pt>
                <c:pt idx="4">
                  <c:v>0.22727272727272727</c:v>
                </c:pt>
                <c:pt idx="5">
                  <c:v>0.57894736842105265</c:v>
                </c:pt>
                <c:pt idx="6">
                  <c:v>0.54545454545454541</c:v>
                </c:pt>
                <c:pt idx="7">
                  <c:v>0.58823529411764708</c:v>
                </c:pt>
                <c:pt idx="8">
                  <c:v>0.66666666666666663</c:v>
                </c:pt>
                <c:pt idx="9">
                  <c:v>0.46666666666666667</c:v>
                </c:pt>
                <c:pt idx="10">
                  <c:v>0.38461538461538464</c:v>
                </c:pt>
                <c:pt idx="11">
                  <c:v>0.4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gapDepth val="50"/>
        <c:shape val="box"/>
        <c:axId val="383926176"/>
        <c:axId val="383932056"/>
        <c:axId val="0"/>
      </c:bar3DChart>
      <c:catAx>
        <c:axId val="383926176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b="0"/>
            </a:pPr>
            <a:endParaRPr lang="pt-BR"/>
          </a:p>
        </c:txPr>
        <c:crossAx val="383932056"/>
        <c:crosses val="autoZero"/>
        <c:auto val="1"/>
        <c:lblAlgn val="ctr"/>
        <c:lblOffset val="100"/>
        <c:noMultiLvlLbl val="1"/>
      </c:catAx>
      <c:valAx>
        <c:axId val="3839320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0.0%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  <a:endParaRPr lang="pt-BR"/>
          </a:p>
        </c:txPr>
        <c:crossAx val="383926176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0</xdr:row>
      <xdr:rowOff>85725</xdr:rowOff>
    </xdr:from>
    <xdr:ext cx="1990725" cy="419100"/>
    <xdr:pic>
      <xdr:nvPicPr>
        <xdr:cNvPr id="2" name="image1.png" title="Imagem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2</xdr:row>
      <xdr:rowOff>285750</xdr:rowOff>
    </xdr:from>
    <xdr:ext cx="7934325" cy="2524125"/>
    <xdr:graphicFrame macro="">
      <xdr:nvGraphicFramePr>
        <xdr:cNvPr id="2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304800</xdr:colOff>
      <xdr:row>18</xdr:row>
      <xdr:rowOff>76200</xdr:rowOff>
    </xdr:from>
    <xdr:ext cx="7934325" cy="3686175"/>
    <xdr:graphicFrame macro="">
      <xdr:nvGraphicFramePr>
        <xdr:cNvPr id="3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285750</xdr:colOff>
      <xdr:row>27</xdr:row>
      <xdr:rowOff>200025</xdr:rowOff>
    </xdr:from>
    <xdr:ext cx="7934325" cy="4552950"/>
    <xdr:graphicFrame macro="">
      <xdr:nvGraphicFramePr>
        <xdr:cNvPr id="4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266700</xdr:colOff>
      <xdr:row>12</xdr:row>
      <xdr:rowOff>0</xdr:rowOff>
    </xdr:from>
    <xdr:ext cx="7934325" cy="2800350"/>
    <xdr:graphicFrame macro="">
      <xdr:nvGraphicFramePr>
        <xdr:cNvPr id="5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0</xdr:col>
      <xdr:colOff>428625</xdr:colOff>
      <xdr:row>0</xdr:row>
      <xdr:rowOff>85725</xdr:rowOff>
    </xdr:from>
    <xdr:ext cx="1990725" cy="419100"/>
    <xdr:pic>
      <xdr:nvPicPr>
        <xdr:cNvPr id="6" name="image1.png" title="Imagem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3"/>
  <sheetViews>
    <sheetView showGridLines="0" topLeftCell="B1" workbookViewId="0">
      <selection activeCell="B20" sqref="B20:I20"/>
    </sheetView>
  </sheetViews>
  <sheetFormatPr defaultColWidth="14.42578125" defaultRowHeight="15.75" customHeight="1"/>
  <cols>
    <col min="1" max="1" width="7.28515625" customWidth="1"/>
    <col min="2" max="2" width="5.28515625" customWidth="1"/>
    <col min="3" max="3" width="0.85546875" customWidth="1"/>
    <col min="4" max="4" width="14.42578125" customWidth="1"/>
    <col min="5" max="5" width="9.42578125" customWidth="1"/>
    <col min="6" max="8" width="14.42578125" customWidth="1"/>
    <col min="9" max="9" width="20.140625" customWidth="1"/>
    <col min="10" max="10" width="8" customWidth="1"/>
  </cols>
  <sheetData>
    <row r="1" spans="1:10" ht="12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18">
      <c r="A2" s="17"/>
      <c r="B2" s="17"/>
      <c r="C2" s="17"/>
      <c r="D2" s="17"/>
      <c r="E2" s="18"/>
      <c r="F2" s="18"/>
      <c r="G2" s="18"/>
      <c r="H2" s="18"/>
      <c r="I2" s="18"/>
      <c r="J2" s="24"/>
    </row>
    <row r="3" spans="1:10" ht="18">
      <c r="A3" s="17"/>
      <c r="B3" s="17"/>
      <c r="C3" s="17"/>
      <c r="D3" s="17"/>
      <c r="E3" s="18"/>
      <c r="F3" s="18"/>
      <c r="G3" s="18"/>
      <c r="H3" s="18"/>
      <c r="I3" s="18"/>
      <c r="J3" s="24"/>
    </row>
    <row r="4" spans="1:10" ht="4.5" customHeight="1">
      <c r="A4" s="17"/>
      <c r="B4" s="17"/>
      <c r="C4" s="17"/>
      <c r="D4" s="17"/>
      <c r="E4" s="26"/>
      <c r="F4" s="26"/>
      <c r="G4" s="26"/>
      <c r="H4" s="26"/>
      <c r="I4" s="26"/>
      <c r="J4" s="24"/>
    </row>
    <row r="5" spans="1:10" ht="15" customHeight="1">
      <c r="A5" s="26"/>
      <c r="B5" s="28"/>
      <c r="C5" s="28"/>
      <c r="D5" s="28"/>
      <c r="E5" s="28"/>
      <c r="F5" s="28"/>
      <c r="G5" s="28"/>
      <c r="H5" s="28"/>
      <c r="I5" s="28"/>
      <c r="J5" s="24"/>
    </row>
    <row r="6" spans="1:10" ht="24.75" customHeight="1">
      <c r="A6" s="24"/>
      <c r="B6" s="82" t="s">
        <v>20</v>
      </c>
      <c r="C6" s="77"/>
      <c r="D6" s="77"/>
      <c r="E6" s="77"/>
      <c r="F6" s="77"/>
      <c r="G6" s="24"/>
      <c r="H6" s="24"/>
      <c r="I6" s="24"/>
      <c r="J6" s="24"/>
    </row>
    <row r="7" spans="1:10" ht="8.25" customHeight="1">
      <c r="A7" s="24"/>
      <c r="B7" s="76">
        <v>1</v>
      </c>
      <c r="C7" s="31"/>
      <c r="D7" s="32" t="s">
        <v>21</v>
      </c>
      <c r="E7" s="33"/>
      <c r="F7" s="33"/>
      <c r="G7" s="33"/>
      <c r="H7" s="34"/>
      <c r="I7" s="33"/>
      <c r="J7" s="24"/>
    </row>
    <row r="8" spans="1:10" ht="45.75" customHeight="1">
      <c r="A8" s="24"/>
      <c r="B8" s="77"/>
      <c r="C8" s="31"/>
      <c r="D8" s="78" t="s">
        <v>22</v>
      </c>
      <c r="E8" s="77"/>
      <c r="F8" s="77"/>
      <c r="G8" s="77"/>
      <c r="H8" s="77"/>
      <c r="I8" s="77"/>
      <c r="J8" s="24"/>
    </row>
    <row r="9" spans="1:10" ht="13.5" customHeight="1">
      <c r="A9" s="24"/>
      <c r="B9" s="35"/>
      <c r="C9" s="31"/>
      <c r="D9" s="24"/>
      <c r="E9" s="24"/>
      <c r="F9" s="24"/>
      <c r="G9" s="24"/>
      <c r="H9" s="24"/>
      <c r="I9" s="24"/>
      <c r="J9" s="24"/>
    </row>
    <row r="10" spans="1:10" ht="12" customHeight="1">
      <c r="A10" s="24"/>
      <c r="B10" s="76">
        <v>2</v>
      </c>
      <c r="C10" s="36"/>
      <c r="D10" s="81" t="s">
        <v>23</v>
      </c>
      <c r="E10" s="77"/>
      <c r="F10" s="77"/>
      <c r="G10" s="77"/>
      <c r="H10" s="77"/>
      <c r="I10" s="37"/>
      <c r="J10" s="24"/>
    </row>
    <row r="11" spans="1:10" ht="32.25" customHeight="1">
      <c r="A11" s="24"/>
      <c r="B11" s="77"/>
      <c r="C11" s="36"/>
      <c r="D11" s="78" t="s">
        <v>24</v>
      </c>
      <c r="E11" s="77"/>
      <c r="F11" s="77"/>
      <c r="G11" s="77"/>
      <c r="H11" s="77"/>
      <c r="I11" s="77"/>
      <c r="J11" s="24"/>
    </row>
    <row r="12" spans="1:10" ht="13.5" customHeight="1">
      <c r="A12" s="24"/>
      <c r="B12" s="24"/>
      <c r="C12" s="24"/>
      <c r="D12" s="24"/>
      <c r="E12" s="24"/>
      <c r="F12" s="24"/>
      <c r="G12" s="24"/>
      <c r="H12" s="24"/>
      <c r="I12" s="24"/>
      <c r="J12" s="24"/>
    </row>
    <row r="13" spans="1:10" ht="12.75">
      <c r="A13" s="33"/>
      <c r="B13" s="76">
        <v>3</v>
      </c>
      <c r="C13" s="33"/>
      <c r="D13" s="32" t="s">
        <v>25</v>
      </c>
      <c r="E13" s="33"/>
      <c r="F13" s="33"/>
      <c r="G13" s="33"/>
      <c r="H13" s="33"/>
      <c r="I13" s="33"/>
      <c r="J13" s="33"/>
    </row>
    <row r="14" spans="1:10" ht="26.25" customHeight="1">
      <c r="A14" s="24"/>
      <c r="B14" s="77"/>
      <c r="C14" s="24"/>
      <c r="D14" s="78" t="s">
        <v>26</v>
      </c>
      <c r="E14" s="77"/>
      <c r="F14" s="77"/>
      <c r="G14" s="77"/>
      <c r="H14" s="77"/>
      <c r="I14" s="77"/>
      <c r="J14" s="24"/>
    </row>
    <row r="15" spans="1:10" ht="13.5" customHeight="1">
      <c r="A15" s="24"/>
      <c r="B15" s="24"/>
      <c r="C15" s="24"/>
      <c r="D15" s="38"/>
      <c r="E15" s="38"/>
      <c r="F15" s="38"/>
      <c r="G15" s="38"/>
      <c r="H15" s="38"/>
      <c r="I15" s="24"/>
      <c r="J15" s="24"/>
    </row>
    <row r="16" spans="1:10" ht="9.75" customHeight="1">
      <c r="A16" s="24"/>
      <c r="B16" s="76">
        <v>4</v>
      </c>
      <c r="C16" s="24"/>
      <c r="D16" s="81" t="s">
        <v>27</v>
      </c>
      <c r="E16" s="77"/>
      <c r="F16" s="77"/>
      <c r="G16" s="77"/>
      <c r="H16" s="77"/>
      <c r="I16" s="24"/>
      <c r="J16" s="24"/>
    </row>
    <row r="17" spans="1:10" ht="27.75" customHeight="1">
      <c r="A17" s="24"/>
      <c r="B17" s="77"/>
      <c r="C17" s="24"/>
      <c r="D17" s="78" t="s">
        <v>28</v>
      </c>
      <c r="E17" s="77"/>
      <c r="F17" s="77"/>
      <c r="G17" s="77"/>
      <c r="H17" s="77"/>
      <c r="I17" s="77"/>
      <c r="J17" s="24"/>
    </row>
    <row r="18" spans="1:10" ht="12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</row>
    <row r="19" spans="1:10" ht="18.75" customHeight="1">
      <c r="A19" s="24"/>
      <c r="B19" s="79" t="s">
        <v>29</v>
      </c>
      <c r="C19" s="77"/>
      <c r="D19" s="77"/>
      <c r="E19" s="77"/>
      <c r="F19" s="77"/>
      <c r="G19" s="77"/>
      <c r="H19" s="77"/>
      <c r="I19" s="77"/>
      <c r="J19" s="39"/>
    </row>
    <row r="20" spans="1:10" ht="33.75" customHeight="1">
      <c r="A20" s="26"/>
      <c r="B20" s="78" t="s">
        <v>30</v>
      </c>
      <c r="C20" s="77"/>
      <c r="D20" s="77"/>
      <c r="E20" s="77"/>
      <c r="F20" s="77"/>
      <c r="G20" s="77"/>
      <c r="H20" s="77"/>
      <c r="I20" s="77"/>
      <c r="J20" s="40"/>
    </row>
    <row r="21" spans="1:10" ht="12" customHeight="1">
      <c r="A21" s="26"/>
      <c r="B21" s="41"/>
      <c r="C21" s="41"/>
      <c r="D21" s="41"/>
      <c r="E21" s="80" t="str">
        <f>HYPERLINK("https://pt.surveymonkey.com/r/6M2B65V?ori=planilha-turnover","QUERO FAZER O DIAGNÓSTICO")</f>
        <v>QUERO FAZER O DIAGNÓSTICO</v>
      </c>
      <c r="F21" s="77"/>
      <c r="G21" s="77"/>
      <c r="H21" s="41"/>
      <c r="I21" s="41"/>
      <c r="J21" s="40"/>
    </row>
    <row r="22" spans="1:10" ht="12" customHeight="1">
      <c r="A22" s="26"/>
      <c r="B22" s="41"/>
      <c r="C22" s="41"/>
      <c r="D22" s="41"/>
      <c r="E22" s="77"/>
      <c r="F22" s="77"/>
      <c r="G22" s="77"/>
      <c r="H22" s="41"/>
      <c r="I22" s="41"/>
      <c r="J22" s="40"/>
    </row>
    <row r="23" spans="1:10" ht="12" customHeight="1">
      <c r="A23" s="24"/>
      <c r="B23" s="42"/>
      <c r="C23" s="42"/>
      <c r="D23" s="42"/>
      <c r="E23" s="43"/>
      <c r="F23" s="43"/>
      <c r="G23" s="43"/>
      <c r="H23" s="42"/>
      <c r="I23" s="42"/>
      <c r="J23" s="39"/>
    </row>
  </sheetData>
  <mergeCells count="14">
    <mergeCell ref="B7:B8"/>
    <mergeCell ref="B6:F6"/>
    <mergeCell ref="D8:I8"/>
    <mergeCell ref="E21:G22"/>
    <mergeCell ref="D16:H16"/>
    <mergeCell ref="D17:I17"/>
    <mergeCell ref="B10:B11"/>
    <mergeCell ref="D11:I11"/>
    <mergeCell ref="D10:H10"/>
    <mergeCell ref="B13:B14"/>
    <mergeCell ref="D14:I14"/>
    <mergeCell ref="B16:B17"/>
    <mergeCell ref="B19:I19"/>
    <mergeCell ref="B20:I20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31"/>
  <sheetViews>
    <sheetView tabSelected="1" workbookViewId="0">
      <selection activeCell="D14" sqref="D14"/>
    </sheetView>
  </sheetViews>
  <sheetFormatPr defaultColWidth="14.42578125" defaultRowHeight="15.75" customHeight="1"/>
  <cols>
    <col min="1" max="1" width="2.140625" customWidth="1"/>
    <col min="2" max="2" width="2.28515625" customWidth="1"/>
    <col min="3" max="3" width="33.85546875" customWidth="1"/>
    <col min="4" max="15" width="12.28515625" customWidth="1"/>
  </cols>
  <sheetData>
    <row r="1" spans="1:16" ht="10.5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27" customHeight="1">
      <c r="A2" s="1"/>
      <c r="B2" s="1"/>
      <c r="C2" s="1"/>
      <c r="D2" s="120" t="s">
        <v>48</v>
      </c>
      <c r="E2" s="89"/>
      <c r="F2" s="89"/>
      <c r="G2" s="89"/>
      <c r="H2" s="89"/>
      <c r="I2" s="89"/>
      <c r="J2" s="89"/>
      <c r="K2" s="89"/>
      <c r="L2" s="90"/>
      <c r="M2" s="2"/>
      <c r="N2" s="2"/>
      <c r="O2" s="2"/>
      <c r="P2" s="2"/>
    </row>
    <row r="3" spans="1:16" ht="9" customHeight="1">
      <c r="A3" s="1"/>
      <c r="B3" s="1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ht="27" customHeight="1">
      <c r="A4" s="4"/>
      <c r="B4" s="100" t="s">
        <v>0</v>
      </c>
      <c r="C4" s="101"/>
      <c r="D4" s="5" t="s">
        <v>1</v>
      </c>
      <c r="E4" s="5" t="s">
        <v>2</v>
      </c>
      <c r="F4" s="5" t="s">
        <v>3</v>
      </c>
      <c r="G4" s="5" t="s">
        <v>4</v>
      </c>
      <c r="H4" s="5" t="s">
        <v>5</v>
      </c>
      <c r="I4" s="5" t="s">
        <v>6</v>
      </c>
      <c r="J4" s="5" t="s">
        <v>7</v>
      </c>
      <c r="K4" s="5" t="s">
        <v>8</v>
      </c>
      <c r="L4" s="5" t="s">
        <v>9</v>
      </c>
      <c r="M4" s="5" t="s">
        <v>10</v>
      </c>
      <c r="N4" s="5" t="s">
        <v>11</v>
      </c>
      <c r="O4" s="5" t="s">
        <v>12</v>
      </c>
      <c r="P4" s="5" t="s">
        <v>13</v>
      </c>
    </row>
    <row r="5" spans="1:16" ht="12.75">
      <c r="A5" s="91" t="s">
        <v>14</v>
      </c>
      <c r="B5" s="92"/>
      <c r="C5" s="93"/>
      <c r="D5" s="6">
        <v>300</v>
      </c>
      <c r="E5" s="6">
        <f t="shared" ref="E5:O5" si="0">D5+D6-D7</f>
        <v>296</v>
      </c>
      <c r="F5" s="6">
        <f t="shared" si="0"/>
        <v>295</v>
      </c>
      <c r="G5" s="6">
        <f t="shared" si="0"/>
        <v>303</v>
      </c>
      <c r="H5" s="6">
        <f t="shared" si="0"/>
        <v>310</v>
      </c>
      <c r="I5" s="6">
        <f t="shared" si="0"/>
        <v>316</v>
      </c>
      <c r="J5" s="6">
        <f t="shared" si="0"/>
        <v>311</v>
      </c>
      <c r="K5" s="6">
        <f t="shared" si="0"/>
        <v>316</v>
      </c>
      <c r="L5" s="6">
        <f t="shared" si="0"/>
        <v>316</v>
      </c>
      <c r="M5" s="6">
        <f t="shared" si="0"/>
        <v>316</v>
      </c>
      <c r="N5" s="6">
        <f t="shared" si="0"/>
        <v>312</v>
      </c>
      <c r="O5" s="6">
        <f t="shared" si="0"/>
        <v>320</v>
      </c>
      <c r="P5" s="7">
        <f>MEDIAN(D5:O5)</f>
        <v>311.5</v>
      </c>
    </row>
    <row r="6" spans="1:16" ht="12.75">
      <c r="A6" s="94" t="s">
        <v>15</v>
      </c>
      <c r="B6" s="95"/>
      <c r="C6" s="96"/>
      <c r="D6" s="8">
        <v>26</v>
      </c>
      <c r="E6" s="8">
        <v>15</v>
      </c>
      <c r="F6" s="8">
        <v>22</v>
      </c>
      <c r="G6" s="8">
        <v>13</v>
      </c>
      <c r="H6" s="8">
        <v>28</v>
      </c>
      <c r="I6" s="8">
        <v>14</v>
      </c>
      <c r="J6" s="8">
        <v>16</v>
      </c>
      <c r="K6" s="8">
        <v>17</v>
      </c>
      <c r="L6" s="8">
        <v>18</v>
      </c>
      <c r="M6" s="8">
        <v>11</v>
      </c>
      <c r="N6" s="8">
        <v>21</v>
      </c>
      <c r="O6" s="8">
        <v>23</v>
      </c>
      <c r="P6" s="8">
        <f t="shared" ref="P6:P7" si="1">SUM(D6:O6)</f>
        <v>224</v>
      </c>
    </row>
    <row r="7" spans="1:16" ht="12.75">
      <c r="A7" s="97" t="s">
        <v>16</v>
      </c>
      <c r="B7" s="98"/>
      <c r="C7" s="99"/>
      <c r="D7" s="6">
        <v>30</v>
      </c>
      <c r="E7" s="6">
        <v>16</v>
      </c>
      <c r="F7" s="6">
        <v>14</v>
      </c>
      <c r="G7" s="6">
        <v>6</v>
      </c>
      <c r="H7" s="6">
        <v>22</v>
      </c>
      <c r="I7" s="6">
        <v>19</v>
      </c>
      <c r="J7" s="6">
        <v>11</v>
      </c>
      <c r="K7" s="6">
        <v>17</v>
      </c>
      <c r="L7" s="6">
        <v>18</v>
      </c>
      <c r="M7" s="6">
        <v>15</v>
      </c>
      <c r="N7" s="6">
        <v>13</v>
      </c>
      <c r="O7" s="6">
        <v>20</v>
      </c>
      <c r="P7" s="9">
        <f t="shared" si="1"/>
        <v>201</v>
      </c>
    </row>
    <row r="8" spans="1:16" ht="3" customHeight="1">
      <c r="A8" s="10"/>
      <c r="B8" s="10"/>
      <c r="C8" s="10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2"/>
    </row>
    <row r="9" spans="1:16" ht="12.75">
      <c r="A9" s="85"/>
      <c r="B9" s="86"/>
      <c r="C9" s="13" t="s">
        <v>17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6"/>
    </row>
    <row r="10" spans="1:16" ht="12.75">
      <c r="A10" s="87"/>
      <c r="B10" s="88"/>
      <c r="C10" s="19" t="s">
        <v>18</v>
      </c>
      <c r="D10" s="20">
        <v>18</v>
      </c>
      <c r="E10" s="21">
        <v>12</v>
      </c>
      <c r="F10" s="21">
        <v>7</v>
      </c>
      <c r="G10" s="21">
        <v>4</v>
      </c>
      <c r="H10" s="21">
        <v>17</v>
      </c>
      <c r="I10" s="21">
        <v>8</v>
      </c>
      <c r="J10" s="21">
        <v>5</v>
      </c>
      <c r="K10" s="21">
        <v>7</v>
      </c>
      <c r="L10" s="21">
        <v>6</v>
      </c>
      <c r="M10" s="21">
        <v>8</v>
      </c>
      <c r="N10" s="21">
        <v>8</v>
      </c>
      <c r="O10" s="21">
        <v>12</v>
      </c>
      <c r="P10" s="22">
        <f t="shared" ref="P10:P11" si="2">SUM(D10:O10)</f>
        <v>112</v>
      </c>
    </row>
    <row r="11" spans="1:16" ht="12.75">
      <c r="A11" s="87"/>
      <c r="B11" s="88"/>
      <c r="C11" s="19" t="s">
        <v>19</v>
      </c>
      <c r="D11" s="23">
        <v>12</v>
      </c>
      <c r="E11" s="25">
        <v>4</v>
      </c>
      <c r="F11" s="25">
        <v>7</v>
      </c>
      <c r="G11" s="25">
        <v>2</v>
      </c>
      <c r="H11" s="25">
        <v>5</v>
      </c>
      <c r="I11" s="25">
        <v>11</v>
      </c>
      <c r="J11" s="25">
        <v>6</v>
      </c>
      <c r="K11" s="25">
        <v>10</v>
      </c>
      <c r="L11" s="25">
        <v>12</v>
      </c>
      <c r="M11" s="25">
        <v>7</v>
      </c>
      <c r="N11" s="25">
        <v>5</v>
      </c>
      <c r="O11" s="25">
        <v>8</v>
      </c>
      <c r="P11" s="22">
        <f t="shared" si="2"/>
        <v>89</v>
      </c>
    </row>
    <row r="12" spans="1:16" ht="6" customHeight="1">
      <c r="A12" s="27"/>
      <c r="B12" s="27"/>
      <c r="C12" s="27"/>
      <c r="D12" s="29"/>
      <c r="E12" s="29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</row>
    <row r="13" spans="1:16" ht="12.75">
      <c r="A13" s="85"/>
      <c r="B13" s="86"/>
      <c r="C13" s="13" t="s">
        <v>31</v>
      </c>
      <c r="D13" s="14"/>
      <c r="E13" s="14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16" ht="12.75">
      <c r="A14" s="87"/>
      <c r="B14" s="88"/>
      <c r="C14" s="19" t="s">
        <v>32</v>
      </c>
      <c r="D14" s="20">
        <v>3</v>
      </c>
      <c r="E14" s="21">
        <v>4</v>
      </c>
      <c r="F14" s="21">
        <v>2</v>
      </c>
      <c r="G14" s="21">
        <v>1</v>
      </c>
      <c r="H14" s="21">
        <v>4</v>
      </c>
      <c r="I14" s="21">
        <v>7</v>
      </c>
      <c r="J14" s="21">
        <v>3</v>
      </c>
      <c r="K14" s="21">
        <v>1</v>
      </c>
      <c r="L14" s="21">
        <v>4</v>
      </c>
      <c r="M14" s="21">
        <v>3</v>
      </c>
      <c r="N14" s="21">
        <v>2</v>
      </c>
      <c r="O14" s="21">
        <v>4</v>
      </c>
      <c r="P14" s="22">
        <f t="shared" ref="P14:P16" si="3">SUM(D14:O14)</f>
        <v>38</v>
      </c>
    </row>
    <row r="15" spans="1:16" ht="12.75">
      <c r="A15" s="87"/>
      <c r="B15" s="88"/>
      <c r="C15" s="19" t="s">
        <v>33</v>
      </c>
      <c r="D15" s="23">
        <v>2</v>
      </c>
      <c r="E15" s="25">
        <v>3</v>
      </c>
      <c r="F15" s="25">
        <v>7</v>
      </c>
      <c r="G15" s="25">
        <v>2</v>
      </c>
      <c r="H15" s="25">
        <v>6</v>
      </c>
      <c r="I15" s="25">
        <v>6</v>
      </c>
      <c r="J15" s="25">
        <v>2</v>
      </c>
      <c r="K15" s="25">
        <v>3</v>
      </c>
      <c r="L15" s="25">
        <v>3</v>
      </c>
      <c r="M15" s="25">
        <v>5</v>
      </c>
      <c r="N15" s="25">
        <v>3</v>
      </c>
      <c r="O15" s="25">
        <v>2</v>
      </c>
      <c r="P15" s="22">
        <f t="shared" si="3"/>
        <v>44</v>
      </c>
    </row>
    <row r="16" spans="1:16" ht="12.75">
      <c r="A16" s="87"/>
      <c r="B16" s="88"/>
      <c r="C16" s="19" t="s">
        <v>34</v>
      </c>
      <c r="D16" s="23">
        <v>25</v>
      </c>
      <c r="E16" s="25">
        <v>9</v>
      </c>
      <c r="F16" s="25">
        <v>5</v>
      </c>
      <c r="G16" s="25">
        <v>3</v>
      </c>
      <c r="H16" s="25">
        <v>12</v>
      </c>
      <c r="I16" s="25">
        <v>6</v>
      </c>
      <c r="J16" s="25">
        <v>6</v>
      </c>
      <c r="K16" s="25">
        <v>13</v>
      </c>
      <c r="L16" s="25">
        <v>11</v>
      </c>
      <c r="M16" s="25">
        <v>7</v>
      </c>
      <c r="N16" s="25">
        <v>8</v>
      </c>
      <c r="O16" s="25">
        <v>14</v>
      </c>
      <c r="P16" s="22">
        <f t="shared" si="3"/>
        <v>119</v>
      </c>
    </row>
    <row r="17" spans="1:16" ht="6.75" customHeight="1">
      <c r="A17" s="27"/>
      <c r="B17" s="27"/>
      <c r="C17" s="27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</row>
    <row r="18" spans="1:16" ht="12.75">
      <c r="A18" s="85"/>
      <c r="B18" s="86"/>
      <c r="C18" s="13" t="s">
        <v>35</v>
      </c>
      <c r="D18" s="14"/>
      <c r="E18" s="14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</row>
    <row r="19" spans="1:16" ht="12.75">
      <c r="A19" s="87"/>
      <c r="B19" s="88"/>
      <c r="C19" s="52" t="s">
        <v>36</v>
      </c>
      <c r="D19" s="53">
        <v>7</v>
      </c>
      <c r="E19" s="53">
        <v>2</v>
      </c>
      <c r="F19" s="53">
        <v>1</v>
      </c>
      <c r="G19" s="53">
        <v>1</v>
      </c>
      <c r="H19" s="53">
        <v>6</v>
      </c>
      <c r="I19" s="53">
        <v>6</v>
      </c>
      <c r="J19" s="53">
        <v>5</v>
      </c>
      <c r="K19" s="53">
        <v>1</v>
      </c>
      <c r="L19" s="53">
        <v>4</v>
      </c>
      <c r="M19" s="53">
        <v>1</v>
      </c>
      <c r="N19" s="53">
        <v>6</v>
      </c>
      <c r="O19" s="53">
        <v>8</v>
      </c>
      <c r="P19" s="55">
        <f>SUM(C19:O19)</f>
        <v>48</v>
      </c>
    </row>
    <row r="20" spans="1:16" ht="12.75">
      <c r="A20" s="87"/>
      <c r="B20" s="88"/>
      <c r="C20" s="52" t="s">
        <v>37</v>
      </c>
      <c r="D20" s="53">
        <v>4</v>
      </c>
      <c r="E20" s="53">
        <v>7</v>
      </c>
      <c r="F20" s="53">
        <v>4</v>
      </c>
      <c r="G20" s="53">
        <v>1</v>
      </c>
      <c r="H20" s="53">
        <v>8</v>
      </c>
      <c r="I20" s="53">
        <v>2</v>
      </c>
      <c r="J20" s="53">
        <v>1</v>
      </c>
      <c r="K20" s="53">
        <v>6</v>
      </c>
      <c r="L20" s="53">
        <v>3</v>
      </c>
      <c r="M20" s="53">
        <v>1</v>
      </c>
      <c r="N20" s="53">
        <v>3</v>
      </c>
      <c r="O20" s="53">
        <v>4</v>
      </c>
      <c r="P20" s="22">
        <f t="shared" ref="P20:P22" si="4">SUM(D20:O20)</f>
        <v>44</v>
      </c>
    </row>
    <row r="21" spans="1:16" ht="12.75">
      <c r="A21" s="87"/>
      <c r="B21" s="88"/>
      <c r="C21" s="52" t="s">
        <v>39</v>
      </c>
      <c r="D21" s="53">
        <v>3</v>
      </c>
      <c r="E21" s="53">
        <v>2</v>
      </c>
      <c r="F21" s="53">
        <v>4</v>
      </c>
      <c r="G21" s="53">
        <v>1</v>
      </c>
      <c r="H21" s="53">
        <v>1</v>
      </c>
      <c r="I21" s="53">
        <v>7</v>
      </c>
      <c r="J21" s="53">
        <v>2</v>
      </c>
      <c r="K21" s="53">
        <v>3</v>
      </c>
      <c r="L21" s="53">
        <v>1</v>
      </c>
      <c r="M21" s="53">
        <v>4</v>
      </c>
      <c r="N21" s="53">
        <v>2</v>
      </c>
      <c r="O21" s="53">
        <v>6</v>
      </c>
      <c r="P21" s="22">
        <f t="shared" si="4"/>
        <v>36</v>
      </c>
    </row>
    <row r="22" spans="1:16" ht="12.75">
      <c r="A22" s="83"/>
      <c r="B22" s="84"/>
      <c r="C22" s="58" t="s">
        <v>40</v>
      </c>
      <c r="D22" s="59">
        <v>16</v>
      </c>
      <c r="E22" s="59">
        <v>5</v>
      </c>
      <c r="F22" s="59">
        <v>5</v>
      </c>
      <c r="G22" s="59">
        <v>3</v>
      </c>
      <c r="H22" s="59">
        <v>7</v>
      </c>
      <c r="I22" s="59">
        <v>4</v>
      </c>
      <c r="J22" s="59">
        <v>3</v>
      </c>
      <c r="K22" s="59">
        <v>7</v>
      </c>
      <c r="L22" s="59">
        <v>10</v>
      </c>
      <c r="M22" s="59">
        <v>9</v>
      </c>
      <c r="N22" s="59">
        <v>2</v>
      </c>
      <c r="O22" s="59">
        <v>2</v>
      </c>
      <c r="P22" s="22">
        <f t="shared" si="4"/>
        <v>73</v>
      </c>
    </row>
    <row r="23" spans="1:16" ht="13.5" customHeight="1">
      <c r="A23" s="54"/>
      <c r="B23" s="54"/>
      <c r="C23" s="54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</row>
    <row r="25" spans="1:16" ht="15.75" customHeight="1">
      <c r="C25" s="75"/>
      <c r="D25" s="75"/>
      <c r="E25" s="75"/>
      <c r="F25" s="75"/>
      <c r="G25" s="75"/>
      <c r="H25" s="75"/>
      <c r="I25" s="75"/>
      <c r="J25" s="75"/>
      <c r="K25" s="75"/>
      <c r="L25" s="75"/>
    </row>
    <row r="26" spans="1:16" ht="15.75" customHeight="1">
      <c r="C26" s="75"/>
      <c r="D26" s="75"/>
      <c r="E26" s="75"/>
      <c r="G26" s="75"/>
      <c r="H26" s="75"/>
      <c r="I26" s="75"/>
      <c r="J26" s="75"/>
      <c r="K26" s="75"/>
      <c r="L26" s="75"/>
    </row>
    <row r="27" spans="1:16" ht="15.75" customHeight="1">
      <c r="C27" s="75"/>
      <c r="D27" s="75"/>
      <c r="E27" s="75"/>
      <c r="F27" s="75"/>
      <c r="G27" s="75"/>
      <c r="H27" s="75"/>
      <c r="I27" s="75"/>
      <c r="J27" s="75"/>
      <c r="K27" s="75"/>
      <c r="L27" s="75"/>
    </row>
    <row r="28" spans="1:16" ht="15.75" customHeight="1">
      <c r="C28" s="75"/>
      <c r="D28" s="75"/>
      <c r="E28" s="75"/>
      <c r="F28" s="75"/>
      <c r="G28" s="75"/>
      <c r="H28" s="75"/>
      <c r="I28" s="75"/>
      <c r="J28" s="75"/>
      <c r="K28" s="75"/>
      <c r="L28" s="75"/>
    </row>
    <row r="29" spans="1:16" ht="15.75" customHeight="1">
      <c r="C29" s="75"/>
      <c r="D29" s="75"/>
      <c r="E29" s="75"/>
      <c r="F29" s="75"/>
      <c r="G29" s="75"/>
      <c r="H29" s="75"/>
      <c r="I29" s="75"/>
      <c r="J29" s="75"/>
      <c r="K29" s="75"/>
      <c r="L29" s="75"/>
    </row>
    <row r="30" spans="1:16" ht="15.75" customHeight="1">
      <c r="F30" s="75"/>
      <c r="G30" s="75"/>
      <c r="H30" s="75"/>
      <c r="I30" s="75"/>
      <c r="J30" s="75"/>
      <c r="K30" s="75"/>
      <c r="L30" s="75"/>
    </row>
    <row r="31" spans="1:16" ht="15.75" customHeight="1">
      <c r="F31" s="75"/>
      <c r="G31" s="75"/>
      <c r="H31" s="75"/>
      <c r="I31" s="75"/>
      <c r="J31" s="75"/>
      <c r="K31" s="75"/>
      <c r="L31" s="75"/>
    </row>
  </sheetData>
  <protectedRanges>
    <protectedRange algorithmName="SHA-512" hashValue="j4XJ26kxTjlLJe4eeIByFcAG5EYzu/NBkLkgNuNw8bxHzFylAHm4/Bo+wp0XIsSjYX0UIuJ/NoSpe6jKrJLv0A==" saltValue="Ok8d4yip462thn2J/n088w==" spinCount="100000" sqref="E5:O5" name="Nº de funcionários de FEV a DEZ"/>
  </protectedRanges>
  <mergeCells count="17">
    <mergeCell ref="D2:L2"/>
    <mergeCell ref="A11:B11"/>
    <mergeCell ref="A21:B21"/>
    <mergeCell ref="A20:B20"/>
    <mergeCell ref="A19:B19"/>
    <mergeCell ref="A18:B18"/>
    <mergeCell ref="A10:B10"/>
    <mergeCell ref="A5:C5"/>
    <mergeCell ref="A6:C6"/>
    <mergeCell ref="A7:C7"/>
    <mergeCell ref="B4:C4"/>
    <mergeCell ref="A9:B9"/>
    <mergeCell ref="A22:B22"/>
    <mergeCell ref="A13:B13"/>
    <mergeCell ref="A14:B14"/>
    <mergeCell ref="A15:B15"/>
    <mergeCell ref="A16:B16"/>
  </mergeCells>
  <conditionalFormatting sqref="C13">
    <cfRule type="notContainsBlanks" dxfId="0" priority="1">
      <formula>LEN(TRIM(C13))&gt;0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39"/>
  <sheetViews>
    <sheetView topLeftCell="A4" workbookViewId="0">
      <selection activeCell="I22" sqref="I22"/>
    </sheetView>
  </sheetViews>
  <sheetFormatPr defaultColWidth="14.42578125" defaultRowHeight="15.75" customHeight="1"/>
  <cols>
    <col min="1" max="1" width="4.7109375" customWidth="1"/>
    <col min="4" max="4" width="2.7109375" customWidth="1"/>
    <col min="5" max="5" width="29" customWidth="1"/>
    <col min="7" max="7" width="44.140625" customWidth="1"/>
    <col min="8" max="8" width="1.5703125" customWidth="1"/>
    <col min="9" max="9" width="68.28515625" customWidth="1"/>
    <col min="10" max="10" width="3.7109375" customWidth="1"/>
  </cols>
  <sheetData>
    <row r="1" spans="1:10" ht="18" customHeight="1">
      <c r="A1" s="62"/>
      <c r="B1" s="62"/>
      <c r="C1" s="62"/>
      <c r="D1" s="66"/>
      <c r="E1" s="66"/>
      <c r="F1" s="62"/>
      <c r="G1" s="62"/>
      <c r="H1" s="62"/>
      <c r="I1" s="62"/>
      <c r="J1" s="62"/>
    </row>
    <row r="2" spans="1:10" ht="18" customHeight="1">
      <c r="A2" s="105"/>
      <c r="B2" s="89"/>
      <c r="C2" s="90"/>
      <c r="D2" s="68"/>
      <c r="E2" s="106"/>
      <c r="F2" s="89"/>
      <c r="G2" s="90"/>
      <c r="H2" s="62"/>
      <c r="I2" s="62"/>
      <c r="J2" s="62"/>
    </row>
    <row r="3" spans="1:10" ht="23.25" customHeight="1">
      <c r="A3" s="69"/>
      <c r="B3" s="69"/>
      <c r="C3" s="69"/>
      <c r="D3" s="69"/>
      <c r="E3" s="69"/>
      <c r="F3" s="69"/>
      <c r="G3" s="69"/>
      <c r="H3" s="65"/>
      <c r="I3" s="65"/>
      <c r="J3" s="65"/>
    </row>
    <row r="4" spans="1:10" ht="28.5" customHeight="1">
      <c r="A4" s="69"/>
      <c r="B4" s="69"/>
      <c r="C4" s="69"/>
      <c r="D4" s="69"/>
      <c r="E4" s="69"/>
      <c r="F4" s="69"/>
      <c r="G4" s="69"/>
      <c r="H4" s="65"/>
      <c r="I4" s="70" t="s">
        <v>44</v>
      </c>
      <c r="J4" s="65"/>
    </row>
    <row r="5" spans="1:10" ht="32.25" customHeight="1">
      <c r="A5" s="69"/>
      <c r="B5" s="69"/>
      <c r="C5" s="69"/>
      <c r="D5" s="69"/>
      <c r="E5" s="69"/>
      <c r="F5" s="69"/>
      <c r="G5" s="69"/>
      <c r="H5" s="71"/>
      <c r="I5" s="102" t="s">
        <v>47</v>
      </c>
      <c r="J5" s="72"/>
    </row>
    <row r="6" spans="1:10" ht="32.25" customHeight="1">
      <c r="A6" s="69"/>
      <c r="B6" s="69"/>
      <c r="C6" s="69"/>
      <c r="D6" s="69"/>
      <c r="E6" s="69"/>
      <c r="F6" s="69"/>
      <c r="G6" s="69"/>
      <c r="H6" s="71"/>
      <c r="I6" s="103"/>
      <c r="J6" s="72"/>
    </row>
    <row r="7" spans="1:10" ht="32.25" customHeight="1">
      <c r="A7" s="69"/>
      <c r="B7" s="69"/>
      <c r="C7" s="69"/>
      <c r="D7" s="69"/>
      <c r="E7" s="69"/>
      <c r="F7" s="69"/>
      <c r="G7" s="69"/>
      <c r="H7" s="71"/>
      <c r="I7" s="103"/>
      <c r="J7" s="72"/>
    </row>
    <row r="8" spans="1:10" ht="32.25" customHeight="1">
      <c r="A8" s="69"/>
      <c r="B8" s="69"/>
      <c r="C8" s="69"/>
      <c r="D8" s="69"/>
      <c r="E8" s="69"/>
      <c r="F8" s="69"/>
      <c r="G8" s="65"/>
      <c r="H8" s="67"/>
      <c r="I8" s="103"/>
      <c r="J8" s="3"/>
    </row>
    <row r="9" spans="1:10" ht="39.75" customHeight="1">
      <c r="A9" s="69"/>
      <c r="B9" s="69"/>
      <c r="C9" s="69"/>
      <c r="D9" s="106"/>
      <c r="E9" s="90"/>
      <c r="F9" s="69"/>
      <c r="G9" s="69"/>
      <c r="H9" s="71"/>
      <c r="I9" s="104"/>
      <c r="J9" s="72"/>
    </row>
    <row r="10" spans="1:10" ht="8.25" customHeight="1">
      <c r="A10" s="69"/>
      <c r="B10" s="69"/>
      <c r="C10" s="69"/>
      <c r="D10" s="69"/>
      <c r="E10" s="69"/>
      <c r="F10" s="69"/>
      <c r="G10" s="69"/>
      <c r="H10" s="65"/>
      <c r="I10" s="73"/>
      <c r="J10" s="65"/>
    </row>
    <row r="11" spans="1:10" ht="32.25" customHeight="1">
      <c r="A11" s="69"/>
      <c r="B11" s="69"/>
      <c r="C11" s="69"/>
      <c r="D11" s="69"/>
      <c r="E11" s="69"/>
      <c r="F11" s="69"/>
      <c r="G11" s="69"/>
      <c r="H11" s="65"/>
      <c r="I11" s="65"/>
      <c r="J11" s="65"/>
    </row>
    <row r="12" spans="1:10" ht="25.5" customHeight="1">
      <c r="A12" s="69"/>
      <c r="B12" s="107" t="s">
        <v>45</v>
      </c>
      <c r="C12" s="89"/>
      <c r="D12" s="89"/>
      <c r="E12" s="89"/>
      <c r="F12" s="89"/>
      <c r="G12" s="90"/>
      <c r="H12" s="69"/>
      <c r="I12" s="65"/>
      <c r="J12" s="65"/>
    </row>
    <row r="13" spans="1:10" ht="32.25" customHeight="1">
      <c r="A13" s="69"/>
      <c r="B13" s="69"/>
      <c r="C13" s="69"/>
      <c r="D13" s="69"/>
      <c r="E13" s="69"/>
      <c r="F13" s="69"/>
      <c r="G13" s="69"/>
      <c r="H13" s="65"/>
      <c r="I13" s="70" t="s">
        <v>44</v>
      </c>
      <c r="J13" s="65"/>
    </row>
    <row r="14" spans="1:10" ht="32.25" customHeight="1">
      <c r="A14" s="69"/>
      <c r="B14" s="69"/>
      <c r="C14" s="69"/>
      <c r="D14" s="69"/>
      <c r="E14" s="69"/>
      <c r="F14" s="69"/>
      <c r="G14" s="69"/>
      <c r="H14" s="65"/>
      <c r="I14" s="102" t="s">
        <v>46</v>
      </c>
      <c r="J14" s="65"/>
    </row>
    <row r="15" spans="1:10" ht="32.25" customHeight="1">
      <c r="A15" s="69"/>
      <c r="B15" s="69"/>
      <c r="C15" s="69"/>
      <c r="D15" s="69"/>
      <c r="E15" s="69"/>
      <c r="F15" s="69"/>
      <c r="G15" s="69"/>
      <c r="H15" s="65"/>
      <c r="I15" s="103"/>
      <c r="J15" s="65"/>
    </row>
    <row r="16" spans="1:10" ht="32.25" customHeight="1">
      <c r="A16" s="69"/>
      <c r="B16" s="69"/>
      <c r="C16" s="69"/>
      <c r="D16" s="69"/>
      <c r="E16" s="69"/>
      <c r="F16" s="69"/>
      <c r="G16" s="69"/>
      <c r="H16" s="65"/>
      <c r="I16" s="103"/>
      <c r="J16" s="65"/>
    </row>
    <row r="17" spans="1:10" ht="32.25" customHeight="1">
      <c r="A17" s="69"/>
      <c r="B17" s="69"/>
      <c r="C17" s="69"/>
      <c r="D17" s="69"/>
      <c r="E17" s="69"/>
      <c r="F17" s="69"/>
      <c r="G17" s="69"/>
      <c r="H17" s="69"/>
      <c r="I17" s="103"/>
      <c r="J17" s="69"/>
    </row>
    <row r="18" spans="1:10" ht="58.5" customHeight="1">
      <c r="A18" s="69"/>
      <c r="B18" s="69"/>
      <c r="C18" s="69"/>
      <c r="D18" s="69"/>
      <c r="E18" s="69"/>
      <c r="F18" s="69"/>
      <c r="G18" s="69"/>
      <c r="H18" s="69"/>
      <c r="I18" s="104"/>
      <c r="J18" s="69"/>
    </row>
    <row r="19" spans="1:10" ht="32.25" customHeight="1">
      <c r="A19" s="69"/>
      <c r="B19" s="69"/>
      <c r="C19" s="69"/>
      <c r="D19" s="69"/>
      <c r="E19" s="69"/>
      <c r="F19" s="69"/>
      <c r="G19" s="69"/>
      <c r="H19" s="69"/>
      <c r="I19" s="69"/>
      <c r="J19" s="69"/>
    </row>
    <row r="20" spans="1:10" ht="32.25" customHeight="1">
      <c r="A20" s="69"/>
      <c r="B20" s="69"/>
      <c r="C20" s="69"/>
      <c r="D20" s="69"/>
      <c r="E20" s="69"/>
      <c r="F20" s="69"/>
      <c r="G20" s="69"/>
      <c r="H20" s="69"/>
      <c r="I20" s="69"/>
      <c r="J20" s="69"/>
    </row>
    <row r="21" spans="1:10" ht="32.25" customHeight="1">
      <c r="A21" s="69"/>
      <c r="B21" s="69"/>
      <c r="C21" s="69"/>
      <c r="D21" s="69"/>
      <c r="E21" s="69"/>
      <c r="F21" s="69"/>
      <c r="G21" s="69"/>
      <c r="H21" s="69"/>
      <c r="I21" s="69"/>
      <c r="J21" s="69"/>
    </row>
    <row r="22" spans="1:10" ht="32.25" customHeight="1">
      <c r="A22" s="69"/>
      <c r="B22" s="69"/>
      <c r="C22" s="69"/>
      <c r="D22" s="69"/>
      <c r="E22" s="69"/>
      <c r="F22" s="69"/>
      <c r="G22" s="69"/>
      <c r="H22" s="69"/>
      <c r="I22" s="69"/>
      <c r="J22" s="69"/>
    </row>
    <row r="23" spans="1:10" ht="32.25" customHeight="1">
      <c r="A23" s="69"/>
      <c r="B23" s="69"/>
      <c r="C23" s="69"/>
      <c r="D23" s="69"/>
      <c r="E23" s="69"/>
      <c r="F23" s="69"/>
      <c r="G23" s="69"/>
      <c r="H23" s="69"/>
      <c r="I23" s="69"/>
      <c r="J23" s="69"/>
    </row>
    <row r="24" spans="1:10" ht="32.25" customHeight="1">
      <c r="A24" s="69"/>
      <c r="B24" s="69"/>
      <c r="C24" s="69"/>
      <c r="D24" s="69"/>
      <c r="E24" s="69"/>
      <c r="F24" s="69"/>
      <c r="G24" s="69"/>
      <c r="H24" s="69"/>
      <c r="I24" s="69"/>
      <c r="J24" s="69"/>
    </row>
    <row r="25" spans="1:10" ht="32.25" customHeight="1">
      <c r="A25" s="74"/>
      <c r="B25" s="74"/>
      <c r="C25" s="74"/>
      <c r="D25" s="74"/>
      <c r="E25" s="74"/>
      <c r="F25" s="74"/>
      <c r="G25" s="74"/>
      <c r="H25" s="69"/>
      <c r="I25" s="69"/>
      <c r="J25" s="69"/>
    </row>
    <row r="26" spans="1:10" ht="32.25" customHeight="1">
      <c r="A26" s="69"/>
      <c r="B26" s="69"/>
      <c r="C26" s="69"/>
      <c r="D26" s="69"/>
      <c r="E26" s="69"/>
      <c r="F26" s="69"/>
      <c r="G26" s="69"/>
      <c r="H26" s="69"/>
      <c r="I26" s="69"/>
      <c r="J26" s="69"/>
    </row>
    <row r="27" spans="1:10" ht="32.25" customHeight="1">
      <c r="A27" s="69"/>
      <c r="B27" s="69"/>
      <c r="C27" s="69"/>
      <c r="D27" s="69"/>
      <c r="E27" s="69"/>
      <c r="F27" s="69"/>
      <c r="G27" s="69"/>
      <c r="H27" s="69"/>
      <c r="I27" s="69"/>
      <c r="J27" s="69"/>
    </row>
    <row r="28" spans="1:10" ht="32.25" customHeight="1">
      <c r="A28" s="69"/>
      <c r="B28" s="69"/>
      <c r="C28" s="69"/>
      <c r="D28" s="69"/>
      <c r="E28" s="69"/>
      <c r="F28" s="69"/>
      <c r="G28" s="69"/>
      <c r="H28" s="69"/>
      <c r="I28" s="69"/>
      <c r="J28" s="69"/>
    </row>
    <row r="29" spans="1:10" ht="32.25" customHeight="1">
      <c r="A29" s="69"/>
      <c r="B29" s="69"/>
      <c r="C29" s="69"/>
      <c r="D29" s="69"/>
      <c r="E29" s="69"/>
      <c r="F29" s="69"/>
      <c r="G29" s="69"/>
      <c r="H29" s="69"/>
      <c r="I29" s="69"/>
      <c r="J29" s="69"/>
    </row>
    <row r="30" spans="1:10" ht="32.25" customHeight="1">
      <c r="A30" s="69"/>
      <c r="B30" s="69"/>
      <c r="C30" s="69"/>
      <c r="D30" s="69"/>
      <c r="E30" s="69"/>
      <c r="F30" s="69"/>
      <c r="G30" s="69"/>
      <c r="H30" s="69"/>
      <c r="I30" s="69"/>
      <c r="J30" s="69"/>
    </row>
    <row r="31" spans="1:10" ht="32.25" customHeight="1">
      <c r="A31" s="69"/>
      <c r="B31" s="69"/>
      <c r="C31" s="69"/>
      <c r="D31" s="69"/>
      <c r="E31" s="69"/>
      <c r="F31" s="69"/>
      <c r="G31" s="69"/>
      <c r="H31" s="69"/>
      <c r="I31" s="69"/>
      <c r="J31" s="69"/>
    </row>
    <row r="32" spans="1:10" ht="32.25" customHeight="1">
      <c r="A32" s="69"/>
      <c r="B32" s="69"/>
      <c r="C32" s="69"/>
      <c r="D32" s="69"/>
      <c r="E32" s="69"/>
      <c r="F32" s="69"/>
      <c r="G32" s="69"/>
      <c r="H32" s="69"/>
      <c r="I32" s="69"/>
      <c r="J32" s="69"/>
    </row>
    <row r="33" spans="1:10" ht="32.25" customHeight="1">
      <c r="A33" s="69"/>
      <c r="B33" s="69"/>
      <c r="C33" s="69"/>
      <c r="D33" s="69"/>
      <c r="E33" s="69"/>
      <c r="F33" s="69"/>
      <c r="G33" s="69"/>
      <c r="H33" s="69"/>
      <c r="I33" s="69"/>
      <c r="J33" s="69"/>
    </row>
    <row r="34" spans="1:10" ht="32.25" customHeight="1">
      <c r="A34" s="69"/>
      <c r="B34" s="69"/>
      <c r="C34" s="69"/>
      <c r="D34" s="69"/>
      <c r="E34" s="69"/>
      <c r="F34" s="69"/>
      <c r="G34" s="69"/>
      <c r="H34" s="69"/>
      <c r="I34" s="69"/>
      <c r="J34" s="69"/>
    </row>
    <row r="35" spans="1:10" ht="32.25" customHeight="1">
      <c r="A35" s="69"/>
      <c r="B35" s="69"/>
      <c r="C35" s="69"/>
      <c r="D35" s="69"/>
      <c r="E35" s="69"/>
      <c r="F35" s="69"/>
      <c r="G35" s="69"/>
      <c r="H35" s="69"/>
      <c r="I35" s="69"/>
      <c r="J35" s="69"/>
    </row>
    <row r="36" spans="1:10" ht="32.25" customHeight="1">
      <c r="A36" s="69"/>
      <c r="B36" s="69"/>
      <c r="C36" s="69"/>
      <c r="D36" s="69"/>
      <c r="E36" s="69"/>
      <c r="F36" s="69"/>
      <c r="G36" s="69"/>
      <c r="H36" s="69"/>
      <c r="I36" s="69"/>
      <c r="J36" s="69"/>
    </row>
    <row r="37" spans="1:10" ht="32.25" customHeight="1">
      <c r="A37" s="69"/>
      <c r="B37" s="69"/>
      <c r="C37" s="69"/>
      <c r="D37" s="69"/>
      <c r="E37" s="69"/>
      <c r="F37" s="69"/>
      <c r="G37" s="69"/>
      <c r="H37" s="69"/>
      <c r="I37" s="69"/>
      <c r="J37" s="69"/>
    </row>
    <row r="38" spans="1:10" ht="32.25" customHeight="1">
      <c r="A38" s="69"/>
      <c r="B38" s="69"/>
      <c r="C38" s="69"/>
      <c r="D38" s="69"/>
      <c r="E38" s="69"/>
      <c r="F38" s="69"/>
      <c r="G38" s="69"/>
      <c r="H38" s="69"/>
      <c r="I38" s="69"/>
      <c r="J38" s="69"/>
    </row>
    <row r="39" spans="1:10" ht="32.25" customHeight="1">
      <c r="A39" s="69"/>
      <c r="B39" s="69"/>
      <c r="C39" s="69"/>
      <c r="D39" s="69"/>
      <c r="E39" s="69"/>
      <c r="F39" s="69"/>
      <c r="G39" s="69"/>
      <c r="H39" s="69"/>
      <c r="I39" s="69"/>
      <c r="J39" s="69"/>
    </row>
  </sheetData>
  <mergeCells count="6">
    <mergeCell ref="I14:I18"/>
    <mergeCell ref="A2:C2"/>
    <mergeCell ref="D9:E9"/>
    <mergeCell ref="E2:G2"/>
    <mergeCell ref="B12:G12"/>
    <mergeCell ref="I5:I9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P40"/>
  <sheetViews>
    <sheetView workbookViewId="0">
      <selection activeCell="K42" sqref="K42"/>
    </sheetView>
  </sheetViews>
  <sheetFormatPr defaultColWidth="14.42578125" defaultRowHeight="15.75" customHeight="1"/>
  <cols>
    <col min="1" max="1" width="2.140625" customWidth="1"/>
    <col min="2" max="2" width="2.28515625" customWidth="1"/>
    <col min="3" max="3" width="33.85546875" customWidth="1"/>
    <col min="4" max="15" width="12.28515625" customWidth="1"/>
  </cols>
  <sheetData>
    <row r="1" spans="1:16" ht="27" customHeight="1">
      <c r="A1" s="44"/>
      <c r="B1" s="108" t="str">
        <f>Dados!B4</f>
        <v>DADOS</v>
      </c>
      <c r="C1" s="109"/>
      <c r="D1" s="45" t="str">
        <f>Dados!D4</f>
        <v>janeiro</v>
      </c>
      <c r="E1" s="46" t="s">
        <v>2</v>
      </c>
      <c r="F1" s="45" t="str">
        <f>Dados!F4</f>
        <v>março</v>
      </c>
      <c r="G1" s="46" t="s">
        <v>4</v>
      </c>
      <c r="H1" s="45" t="str">
        <f>Dados!H4</f>
        <v>maio</v>
      </c>
      <c r="I1" s="46" t="s">
        <v>6</v>
      </c>
      <c r="J1" s="45" t="str">
        <f>Dados!J4</f>
        <v>julho</v>
      </c>
      <c r="K1" s="46" t="s">
        <v>8</v>
      </c>
      <c r="L1" s="45" t="str">
        <f>Dados!L4</f>
        <v>setembro</v>
      </c>
      <c r="M1" s="46" t="s">
        <v>10</v>
      </c>
      <c r="N1" s="45" t="str">
        <f>Dados!N4</f>
        <v>novembro</v>
      </c>
      <c r="O1" s="46" t="s">
        <v>12</v>
      </c>
      <c r="P1" s="44" t="str">
        <f>Dados!P4</f>
        <v>ano</v>
      </c>
    </row>
    <row r="2" spans="1:16" ht="12.75">
      <c r="A2" s="117" t="s">
        <v>14</v>
      </c>
      <c r="B2" s="118"/>
      <c r="C2" s="119"/>
      <c r="D2" s="47">
        <f>Dados!D5</f>
        <v>300</v>
      </c>
      <c r="E2" s="47">
        <f>Dados!E5</f>
        <v>296</v>
      </c>
      <c r="F2" s="47">
        <f>Dados!F5</f>
        <v>295</v>
      </c>
      <c r="G2" s="47">
        <f>Dados!G5</f>
        <v>303</v>
      </c>
      <c r="H2" s="47">
        <f>Dados!H5</f>
        <v>310</v>
      </c>
      <c r="I2" s="47">
        <f>Dados!I5</f>
        <v>316</v>
      </c>
      <c r="J2" s="47">
        <f>Dados!J5</f>
        <v>311</v>
      </c>
      <c r="K2" s="47">
        <f>Dados!K5</f>
        <v>316</v>
      </c>
      <c r="L2" s="47">
        <f>Dados!L5</f>
        <v>316</v>
      </c>
      <c r="M2" s="47">
        <f>Dados!M5</f>
        <v>316</v>
      </c>
      <c r="N2" s="47">
        <f>Dados!N5</f>
        <v>312</v>
      </c>
      <c r="O2" s="47">
        <f>Dados!O5</f>
        <v>320</v>
      </c>
      <c r="P2" s="21">
        <f>Dados!P5</f>
        <v>311.5</v>
      </c>
    </row>
    <row r="3" spans="1:16" ht="12.75">
      <c r="A3" s="114" t="s">
        <v>15</v>
      </c>
      <c r="B3" s="115"/>
      <c r="C3" s="116"/>
      <c r="D3" s="21">
        <f>Dados!D6</f>
        <v>26</v>
      </c>
      <c r="E3" s="21">
        <f>Dados!E6</f>
        <v>15</v>
      </c>
      <c r="F3" s="21">
        <f>Dados!F6</f>
        <v>22</v>
      </c>
      <c r="G3" s="21">
        <f>Dados!G6</f>
        <v>13</v>
      </c>
      <c r="H3" s="21">
        <f>Dados!H6</f>
        <v>28</v>
      </c>
      <c r="I3" s="21">
        <f>Dados!I6</f>
        <v>14</v>
      </c>
      <c r="J3" s="21">
        <f>Dados!J6</f>
        <v>16</v>
      </c>
      <c r="K3" s="21">
        <f>Dados!K6</f>
        <v>17</v>
      </c>
      <c r="L3" s="21">
        <f>Dados!L6</f>
        <v>18</v>
      </c>
      <c r="M3" s="21">
        <f>Dados!M6</f>
        <v>11</v>
      </c>
      <c r="N3" s="21">
        <f>Dados!N6</f>
        <v>21</v>
      </c>
      <c r="O3" s="21">
        <f>Dados!O6</f>
        <v>23</v>
      </c>
      <c r="P3" s="21">
        <f>Dados!P6</f>
        <v>224</v>
      </c>
    </row>
    <row r="4" spans="1:16" ht="12.75">
      <c r="A4" s="114" t="s">
        <v>16</v>
      </c>
      <c r="B4" s="115"/>
      <c r="C4" s="116"/>
      <c r="D4" s="21">
        <f>Dados!D7</f>
        <v>30</v>
      </c>
      <c r="E4" s="21">
        <f>Dados!E7</f>
        <v>16</v>
      </c>
      <c r="F4" s="21">
        <f>Dados!F7</f>
        <v>14</v>
      </c>
      <c r="G4" s="21">
        <f>Dados!G7</f>
        <v>6</v>
      </c>
      <c r="H4" s="21">
        <f>Dados!H7</f>
        <v>22</v>
      </c>
      <c r="I4" s="21">
        <f>Dados!I7</f>
        <v>19</v>
      </c>
      <c r="J4" s="21">
        <f>Dados!J7</f>
        <v>11</v>
      </c>
      <c r="K4" s="21">
        <f>Dados!K7</f>
        <v>17</v>
      </c>
      <c r="L4" s="21">
        <f>Dados!L7</f>
        <v>18</v>
      </c>
      <c r="M4" s="21">
        <f>Dados!M7</f>
        <v>15</v>
      </c>
      <c r="N4" s="21">
        <f>Dados!N7</f>
        <v>13</v>
      </c>
      <c r="O4" s="21">
        <f>Dados!O7</f>
        <v>20</v>
      </c>
      <c r="P4" s="21">
        <f>Dados!P7</f>
        <v>201</v>
      </c>
    </row>
    <row r="5" spans="1:16" ht="3" customHeight="1">
      <c r="A5" s="10"/>
      <c r="B5" s="10"/>
      <c r="C5" s="10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2"/>
    </row>
    <row r="6" spans="1:16" ht="12.75">
      <c r="A6" s="110"/>
      <c r="B6" s="86"/>
      <c r="C6" s="48" t="str">
        <f>Dados!C9</f>
        <v>Demissões por iniciativa</v>
      </c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50"/>
    </row>
    <row r="7" spans="1:16" ht="12.75">
      <c r="A7" s="87"/>
      <c r="B7" s="88"/>
      <c r="C7" s="51" t="str">
        <f>Dados!C10</f>
        <v>Da empresa</v>
      </c>
      <c r="D7" s="21">
        <f>Dados!D10</f>
        <v>18</v>
      </c>
      <c r="E7" s="21">
        <f>Dados!E10</f>
        <v>12</v>
      </c>
      <c r="F7" s="21">
        <f>Dados!F10</f>
        <v>7</v>
      </c>
      <c r="G7" s="21">
        <f>Dados!G10</f>
        <v>4</v>
      </c>
      <c r="H7" s="21">
        <f>Dados!H10</f>
        <v>17</v>
      </c>
      <c r="I7" s="21">
        <f>Dados!I10</f>
        <v>8</v>
      </c>
      <c r="J7" s="21">
        <f>Dados!J10</f>
        <v>5</v>
      </c>
      <c r="K7" s="21">
        <f>Dados!K10</f>
        <v>7</v>
      </c>
      <c r="L7" s="21">
        <f>Dados!L10</f>
        <v>6</v>
      </c>
      <c r="M7" s="21">
        <f>Dados!M10</f>
        <v>8</v>
      </c>
      <c r="N7" s="21">
        <f>Dados!N10</f>
        <v>8</v>
      </c>
      <c r="O7" s="21">
        <f>Dados!O10</f>
        <v>12</v>
      </c>
      <c r="P7" s="21">
        <f>Dados!P10</f>
        <v>112</v>
      </c>
    </row>
    <row r="8" spans="1:16" ht="12.75">
      <c r="A8" s="87"/>
      <c r="B8" s="88"/>
      <c r="C8" s="51" t="str">
        <f>Dados!C11</f>
        <v>Do colaborador</v>
      </c>
      <c r="D8" s="21">
        <f>Dados!D11</f>
        <v>12</v>
      </c>
      <c r="E8" s="21">
        <f>Dados!E11</f>
        <v>4</v>
      </c>
      <c r="F8" s="21">
        <f>Dados!F11</f>
        <v>7</v>
      </c>
      <c r="G8" s="21">
        <f>Dados!G11</f>
        <v>2</v>
      </c>
      <c r="H8" s="21">
        <f>Dados!H11</f>
        <v>5</v>
      </c>
      <c r="I8" s="21">
        <f>Dados!I11</f>
        <v>11</v>
      </c>
      <c r="J8" s="21">
        <f>Dados!J11</f>
        <v>6</v>
      </c>
      <c r="K8" s="21">
        <f>Dados!K11</f>
        <v>10</v>
      </c>
      <c r="L8" s="21">
        <f>Dados!L11</f>
        <v>12</v>
      </c>
      <c r="M8" s="21">
        <f>Dados!M11</f>
        <v>7</v>
      </c>
      <c r="N8" s="21">
        <f>Dados!N11</f>
        <v>5</v>
      </c>
      <c r="O8" s="21">
        <f>Dados!O11</f>
        <v>8</v>
      </c>
      <c r="P8" s="21">
        <f>Dados!P11</f>
        <v>89</v>
      </c>
    </row>
    <row r="9" spans="1:16" ht="6" customHeight="1">
      <c r="A9" s="27"/>
      <c r="B9" s="27"/>
      <c r="C9" s="27"/>
      <c r="D9" s="29"/>
      <c r="E9" s="29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</row>
    <row r="10" spans="1:16" ht="12.75">
      <c r="A10" s="110"/>
      <c r="B10" s="86"/>
      <c r="C10" s="48" t="str">
        <f>Dados!C13</f>
        <v>Demissões por tempo de empresa</v>
      </c>
      <c r="D10" s="49"/>
      <c r="E10" s="49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</row>
    <row r="11" spans="1:16" ht="12.75">
      <c r="A11" s="87"/>
      <c r="B11" s="88"/>
      <c r="C11" s="51" t="str">
        <f>Dados!C14</f>
        <v>Em período de experiência</v>
      </c>
      <c r="D11" s="21">
        <f>Dados!D14</f>
        <v>3</v>
      </c>
      <c r="E11" s="21">
        <f>Dados!E14</f>
        <v>4</v>
      </c>
      <c r="F11" s="21">
        <f>Dados!F14</f>
        <v>2</v>
      </c>
      <c r="G11" s="21">
        <f>Dados!G14</f>
        <v>1</v>
      </c>
      <c r="H11" s="21">
        <f>Dados!H14</f>
        <v>4</v>
      </c>
      <c r="I11" s="21">
        <f>Dados!I14</f>
        <v>7</v>
      </c>
      <c r="J11" s="21">
        <f>Dados!J14</f>
        <v>3</v>
      </c>
      <c r="K11" s="21">
        <f>Dados!K14</f>
        <v>1</v>
      </c>
      <c r="L11" s="21">
        <f>Dados!L14</f>
        <v>4</v>
      </c>
      <c r="M11" s="21">
        <f>Dados!M14</f>
        <v>3</v>
      </c>
      <c r="N11" s="21">
        <f>Dados!N14</f>
        <v>2</v>
      </c>
      <c r="O11" s="21">
        <f>Dados!O14</f>
        <v>4</v>
      </c>
      <c r="P11" s="21">
        <f>Dados!P14</f>
        <v>38</v>
      </c>
    </row>
    <row r="12" spans="1:16" ht="12.75">
      <c r="A12" s="87"/>
      <c r="B12" s="88"/>
      <c r="C12" s="51" t="str">
        <f>Dados!C15</f>
        <v>Menos de seis meses</v>
      </c>
      <c r="D12" s="21">
        <f>Dados!D15</f>
        <v>2</v>
      </c>
      <c r="E12" s="21">
        <f>Dados!E15</f>
        <v>3</v>
      </c>
      <c r="F12" s="21">
        <f>Dados!F15</f>
        <v>7</v>
      </c>
      <c r="G12" s="21">
        <f>Dados!G15</f>
        <v>2</v>
      </c>
      <c r="H12" s="21">
        <f>Dados!H15</f>
        <v>6</v>
      </c>
      <c r="I12" s="21">
        <f>Dados!I15</f>
        <v>6</v>
      </c>
      <c r="J12" s="21">
        <f>Dados!J15</f>
        <v>2</v>
      </c>
      <c r="K12" s="21">
        <f>Dados!K15</f>
        <v>3</v>
      </c>
      <c r="L12" s="21">
        <f>Dados!L15</f>
        <v>3</v>
      </c>
      <c r="M12" s="21">
        <f>Dados!M15</f>
        <v>5</v>
      </c>
      <c r="N12" s="21">
        <f>Dados!N15</f>
        <v>3</v>
      </c>
      <c r="O12" s="21">
        <f>Dados!O15</f>
        <v>2</v>
      </c>
      <c r="P12" s="21">
        <f>Dados!P15</f>
        <v>44</v>
      </c>
    </row>
    <row r="13" spans="1:16" ht="12.75">
      <c r="A13" s="87"/>
      <c r="B13" s="88"/>
      <c r="C13" s="51" t="str">
        <f>Dados!C16</f>
        <v>Mais de seis meses</v>
      </c>
      <c r="D13" s="21">
        <f>Dados!D16</f>
        <v>25</v>
      </c>
      <c r="E13" s="21">
        <f>Dados!E16</f>
        <v>9</v>
      </c>
      <c r="F13" s="21">
        <f>Dados!F16</f>
        <v>5</v>
      </c>
      <c r="G13" s="21">
        <f>Dados!G16</f>
        <v>3</v>
      </c>
      <c r="H13" s="21">
        <f>Dados!H16</f>
        <v>12</v>
      </c>
      <c r="I13" s="21">
        <f>Dados!I16</f>
        <v>6</v>
      </c>
      <c r="J13" s="21">
        <f>Dados!J16</f>
        <v>6</v>
      </c>
      <c r="K13" s="21">
        <f>Dados!K16</f>
        <v>13</v>
      </c>
      <c r="L13" s="21">
        <f>Dados!L16</f>
        <v>11</v>
      </c>
      <c r="M13" s="21">
        <f>Dados!M16</f>
        <v>7</v>
      </c>
      <c r="N13" s="21">
        <f>Dados!N16</f>
        <v>8</v>
      </c>
      <c r="O13" s="21">
        <f>Dados!O16</f>
        <v>14</v>
      </c>
      <c r="P13" s="21">
        <f>Dados!P16</f>
        <v>119</v>
      </c>
    </row>
    <row r="14" spans="1:16" ht="6.75" customHeight="1">
      <c r="A14" s="27"/>
      <c r="B14" s="27"/>
      <c r="C14" s="27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</row>
    <row r="15" spans="1:16" ht="12.75">
      <c r="A15" s="110"/>
      <c r="B15" s="86"/>
      <c r="C15" s="48" t="str">
        <f>Dados!C18</f>
        <v>Demissões por causa</v>
      </c>
      <c r="D15" s="49"/>
      <c r="E15" s="49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</row>
    <row r="16" spans="1:16" ht="12.75">
      <c r="A16" s="87"/>
      <c r="B16" s="88"/>
      <c r="C16" s="51" t="str">
        <f>Dados!C19</f>
        <v>Inadequação comportamental</v>
      </c>
      <c r="D16" s="21">
        <f>Dados!D19</f>
        <v>7</v>
      </c>
      <c r="E16" s="21">
        <f>Dados!E19</f>
        <v>2</v>
      </c>
      <c r="F16" s="21">
        <f>Dados!F19</f>
        <v>1</v>
      </c>
      <c r="G16" s="21">
        <f>Dados!G19</f>
        <v>1</v>
      </c>
      <c r="H16" s="21">
        <f>Dados!H19</f>
        <v>6</v>
      </c>
      <c r="I16" s="21">
        <f>Dados!I19</f>
        <v>6</v>
      </c>
      <c r="J16" s="21">
        <f>Dados!J19</f>
        <v>5</v>
      </c>
      <c r="K16" s="21">
        <f>Dados!K19</f>
        <v>1</v>
      </c>
      <c r="L16" s="21">
        <f>Dados!L19</f>
        <v>4</v>
      </c>
      <c r="M16" s="21">
        <f>Dados!M19</f>
        <v>1</v>
      </c>
      <c r="N16" s="21">
        <f>Dados!N19</f>
        <v>6</v>
      </c>
      <c r="O16" s="21">
        <f>Dados!O19</f>
        <v>8</v>
      </c>
      <c r="P16" s="21">
        <f>Dados!P19</f>
        <v>48</v>
      </c>
    </row>
    <row r="17" spans="1:16" ht="12.75">
      <c r="A17" s="87"/>
      <c r="B17" s="88"/>
      <c r="C17" s="51" t="str">
        <f>Dados!C20</f>
        <v>Baixa produtividade</v>
      </c>
      <c r="D17" s="21">
        <f>Dados!D20</f>
        <v>4</v>
      </c>
      <c r="E17" s="21">
        <f>Dados!E20</f>
        <v>7</v>
      </c>
      <c r="F17" s="21">
        <f>Dados!F20</f>
        <v>4</v>
      </c>
      <c r="G17" s="21">
        <f>Dados!G20</f>
        <v>1</v>
      </c>
      <c r="H17" s="21">
        <f>Dados!H20</f>
        <v>8</v>
      </c>
      <c r="I17" s="21">
        <f>Dados!I20</f>
        <v>2</v>
      </c>
      <c r="J17" s="21">
        <f>Dados!J20</f>
        <v>1</v>
      </c>
      <c r="K17" s="21">
        <f>Dados!K20</f>
        <v>6</v>
      </c>
      <c r="L17" s="21">
        <f>Dados!L20</f>
        <v>3</v>
      </c>
      <c r="M17" s="21">
        <f>Dados!M20</f>
        <v>1</v>
      </c>
      <c r="N17" s="21">
        <f>Dados!N20</f>
        <v>3</v>
      </c>
      <c r="O17" s="21">
        <f>Dados!O20</f>
        <v>4</v>
      </c>
      <c r="P17" s="21">
        <f>Dados!P20</f>
        <v>44</v>
      </c>
    </row>
    <row r="18" spans="1:16" ht="12.75">
      <c r="A18" s="87"/>
      <c r="B18" s="88"/>
      <c r="C18" s="51" t="str">
        <f>Dados!C21</f>
        <v>A pedido do cliente</v>
      </c>
      <c r="D18" s="21">
        <f>Dados!D21</f>
        <v>3</v>
      </c>
      <c r="E18" s="21">
        <f>Dados!E21</f>
        <v>2</v>
      </c>
      <c r="F18" s="21">
        <f>Dados!F21</f>
        <v>4</v>
      </c>
      <c r="G18" s="21">
        <f>Dados!G21</f>
        <v>1</v>
      </c>
      <c r="H18" s="21">
        <f>Dados!H21</f>
        <v>1</v>
      </c>
      <c r="I18" s="21">
        <f>Dados!I21</f>
        <v>7</v>
      </c>
      <c r="J18" s="21">
        <f>Dados!J21</f>
        <v>2</v>
      </c>
      <c r="K18" s="21">
        <f>Dados!K21</f>
        <v>3</v>
      </c>
      <c r="L18" s="21">
        <f>Dados!L21</f>
        <v>1</v>
      </c>
      <c r="M18" s="21">
        <f>Dados!M21</f>
        <v>4</v>
      </c>
      <c r="N18" s="21">
        <f>Dados!N21</f>
        <v>2</v>
      </c>
      <c r="O18" s="21">
        <f>Dados!O21</f>
        <v>6</v>
      </c>
      <c r="P18" s="21">
        <f>Dados!P21</f>
        <v>36</v>
      </c>
    </row>
    <row r="19" spans="1:16" ht="12.75">
      <c r="A19" s="83"/>
      <c r="B19" s="84"/>
      <c r="C19" s="51" t="str">
        <f>Dados!C22</f>
        <v>Outras</v>
      </c>
      <c r="D19" s="21">
        <f>Dados!D22</f>
        <v>16</v>
      </c>
      <c r="E19" s="21">
        <f>Dados!E22</f>
        <v>5</v>
      </c>
      <c r="F19" s="21">
        <f>Dados!F22</f>
        <v>5</v>
      </c>
      <c r="G19" s="21">
        <f>Dados!G22</f>
        <v>3</v>
      </c>
      <c r="H19" s="21">
        <f>Dados!H22</f>
        <v>7</v>
      </c>
      <c r="I19" s="21">
        <f>Dados!I22</f>
        <v>4</v>
      </c>
      <c r="J19" s="21">
        <f>Dados!J22</f>
        <v>3</v>
      </c>
      <c r="K19" s="21">
        <f>Dados!K22</f>
        <v>7</v>
      </c>
      <c r="L19" s="21">
        <f>Dados!L22</f>
        <v>10</v>
      </c>
      <c r="M19" s="21">
        <f>Dados!M22</f>
        <v>9</v>
      </c>
      <c r="N19" s="21">
        <f>Dados!N22</f>
        <v>2</v>
      </c>
      <c r="O19" s="21">
        <f>Dados!O22</f>
        <v>2</v>
      </c>
      <c r="P19" s="21">
        <f>Dados!P22</f>
        <v>73</v>
      </c>
    </row>
    <row r="20" spans="1:16" ht="13.5" customHeight="1">
      <c r="A20" s="54"/>
      <c r="B20" s="54"/>
      <c r="C20" s="54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>
        <f>SUM(O16:O19)</f>
        <v>20</v>
      </c>
      <c r="P20" s="30"/>
    </row>
    <row r="21" spans="1:16">
      <c r="A21" s="56"/>
      <c r="B21" s="56"/>
      <c r="C21" s="112" t="s">
        <v>38</v>
      </c>
      <c r="D21" s="57" t="s">
        <v>1</v>
      </c>
      <c r="E21" s="57" t="s">
        <v>2</v>
      </c>
      <c r="F21" s="57" t="s">
        <v>3</v>
      </c>
      <c r="G21" s="57" t="s">
        <v>4</v>
      </c>
      <c r="H21" s="57" t="s">
        <v>5</v>
      </c>
      <c r="I21" s="57" t="s">
        <v>6</v>
      </c>
      <c r="J21" s="57" t="s">
        <v>7</v>
      </c>
      <c r="K21" s="57" t="s">
        <v>8</v>
      </c>
      <c r="L21" s="57" t="s">
        <v>9</v>
      </c>
      <c r="M21" s="57" t="s">
        <v>10</v>
      </c>
      <c r="N21" s="57" t="s">
        <v>11</v>
      </c>
      <c r="O21" s="57" t="s">
        <v>12</v>
      </c>
      <c r="P21" s="57" t="s">
        <v>13</v>
      </c>
    </row>
    <row r="22" spans="1:16" ht="12.75">
      <c r="A22" s="54"/>
      <c r="B22" s="54"/>
      <c r="C22" s="113"/>
      <c r="D22" s="60">
        <f t="shared" ref="D22:O22" si="0">(D3+D4)/2/D2</f>
        <v>9.3333333333333338E-2</v>
      </c>
      <c r="E22" s="60">
        <f t="shared" si="0"/>
        <v>5.2364864864864864E-2</v>
      </c>
      <c r="F22" s="60">
        <f t="shared" si="0"/>
        <v>6.1016949152542375E-2</v>
      </c>
      <c r="G22" s="60">
        <f t="shared" si="0"/>
        <v>3.1353135313531351E-2</v>
      </c>
      <c r="H22" s="60">
        <f t="shared" si="0"/>
        <v>8.0645161290322578E-2</v>
      </c>
      <c r="I22" s="60">
        <f t="shared" si="0"/>
        <v>5.2215189873417722E-2</v>
      </c>
      <c r="J22" s="60">
        <f t="shared" si="0"/>
        <v>4.3408360128617367E-2</v>
      </c>
      <c r="K22" s="60">
        <f t="shared" si="0"/>
        <v>5.3797468354430382E-2</v>
      </c>
      <c r="L22" s="60">
        <f t="shared" si="0"/>
        <v>5.6962025316455694E-2</v>
      </c>
      <c r="M22" s="60">
        <f t="shared" si="0"/>
        <v>4.1139240506329111E-2</v>
      </c>
      <c r="N22" s="60">
        <f t="shared" si="0"/>
        <v>5.4487179487179488E-2</v>
      </c>
      <c r="O22" s="60">
        <f t="shared" si="0"/>
        <v>6.7187499999999997E-2</v>
      </c>
      <c r="P22" s="60">
        <f>MEDIAN(D22:O22)</f>
        <v>5.4142323920804938E-2</v>
      </c>
    </row>
    <row r="23" spans="1:16" ht="35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35.25" customHeight="1">
      <c r="A24" s="56"/>
      <c r="B24" s="56"/>
      <c r="C24" s="56"/>
      <c r="D24" s="56" t="s">
        <v>1</v>
      </c>
      <c r="E24" s="56" t="s">
        <v>2</v>
      </c>
      <c r="F24" s="56" t="s">
        <v>3</v>
      </c>
      <c r="G24" s="56" t="s">
        <v>4</v>
      </c>
      <c r="H24" s="56" t="s">
        <v>5</v>
      </c>
      <c r="I24" s="56" t="s">
        <v>6</v>
      </c>
      <c r="J24" s="56" t="s">
        <v>7</v>
      </c>
      <c r="K24" s="56" t="s">
        <v>8</v>
      </c>
      <c r="L24" s="56" t="s">
        <v>9</v>
      </c>
      <c r="M24" s="56" t="s">
        <v>10</v>
      </c>
      <c r="N24" s="56" t="s">
        <v>11</v>
      </c>
      <c r="O24" s="56" t="s">
        <v>12</v>
      </c>
      <c r="P24" s="56" t="s">
        <v>13</v>
      </c>
    </row>
    <row r="25" spans="1:16" ht="12.75">
      <c r="A25" s="54"/>
      <c r="B25" s="54"/>
      <c r="C25" s="54" t="s">
        <v>41</v>
      </c>
      <c r="D25" s="60">
        <f t="shared" ref="D25:O25" si="1">D7/D$4</f>
        <v>0.6</v>
      </c>
      <c r="E25" s="60">
        <f t="shared" si="1"/>
        <v>0.75</v>
      </c>
      <c r="F25" s="60">
        <f t="shared" si="1"/>
        <v>0.5</v>
      </c>
      <c r="G25" s="60">
        <f t="shared" si="1"/>
        <v>0.66666666666666663</v>
      </c>
      <c r="H25" s="60">
        <f t="shared" si="1"/>
        <v>0.77272727272727271</v>
      </c>
      <c r="I25" s="60">
        <f t="shared" si="1"/>
        <v>0.42105263157894735</v>
      </c>
      <c r="J25" s="60">
        <f t="shared" si="1"/>
        <v>0.45454545454545453</v>
      </c>
      <c r="K25" s="60">
        <f t="shared" si="1"/>
        <v>0.41176470588235292</v>
      </c>
      <c r="L25" s="60">
        <f t="shared" si="1"/>
        <v>0.33333333333333331</v>
      </c>
      <c r="M25" s="60">
        <f t="shared" si="1"/>
        <v>0.53333333333333333</v>
      </c>
      <c r="N25" s="60">
        <f t="shared" si="1"/>
        <v>0.61538461538461542</v>
      </c>
      <c r="O25" s="60">
        <f t="shared" si="1"/>
        <v>0.6</v>
      </c>
      <c r="P25" s="60">
        <f t="shared" ref="P25:P26" si="2">MEDIAN(D25:O25)</f>
        <v>0.56666666666666665</v>
      </c>
    </row>
    <row r="26" spans="1:16" ht="12.75">
      <c r="A26" s="54"/>
      <c r="B26" s="54"/>
      <c r="C26" s="54" t="s">
        <v>42</v>
      </c>
      <c r="D26" s="60">
        <f t="shared" ref="D26:O26" si="3">D8/D$4</f>
        <v>0.4</v>
      </c>
      <c r="E26" s="60">
        <f t="shared" si="3"/>
        <v>0.25</v>
      </c>
      <c r="F26" s="60">
        <f t="shared" si="3"/>
        <v>0.5</v>
      </c>
      <c r="G26" s="60">
        <f t="shared" si="3"/>
        <v>0.33333333333333331</v>
      </c>
      <c r="H26" s="60">
        <f t="shared" si="3"/>
        <v>0.22727272727272727</v>
      </c>
      <c r="I26" s="60">
        <f t="shared" si="3"/>
        <v>0.57894736842105265</v>
      </c>
      <c r="J26" s="60">
        <f t="shared" si="3"/>
        <v>0.54545454545454541</v>
      </c>
      <c r="K26" s="60">
        <f t="shared" si="3"/>
        <v>0.58823529411764708</v>
      </c>
      <c r="L26" s="60">
        <f t="shared" si="3"/>
        <v>0.66666666666666663</v>
      </c>
      <c r="M26" s="60">
        <f t="shared" si="3"/>
        <v>0.46666666666666667</v>
      </c>
      <c r="N26" s="60">
        <f t="shared" si="3"/>
        <v>0.38461538461538464</v>
      </c>
      <c r="O26" s="60">
        <f t="shared" si="3"/>
        <v>0.4</v>
      </c>
      <c r="P26" s="60">
        <f t="shared" si="2"/>
        <v>0.43333333333333335</v>
      </c>
    </row>
    <row r="27" spans="1:16" ht="9" customHeight="1">
      <c r="A27" s="54"/>
      <c r="B27" s="54"/>
      <c r="C27" s="54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</row>
    <row r="28" spans="1:16">
      <c r="A28" s="56"/>
      <c r="B28" s="56"/>
      <c r="C28" s="56"/>
      <c r="D28" s="57" t="s">
        <v>1</v>
      </c>
      <c r="E28" s="57" t="s">
        <v>2</v>
      </c>
      <c r="F28" s="57" t="s">
        <v>3</v>
      </c>
      <c r="G28" s="57" t="s">
        <v>4</v>
      </c>
      <c r="H28" s="57" t="s">
        <v>5</v>
      </c>
      <c r="I28" s="57" t="s">
        <v>6</v>
      </c>
      <c r="J28" s="57" t="s">
        <v>7</v>
      </c>
      <c r="K28" s="57" t="s">
        <v>8</v>
      </c>
      <c r="L28" s="57" t="s">
        <v>9</v>
      </c>
      <c r="M28" s="57" t="s">
        <v>10</v>
      </c>
      <c r="N28" s="57" t="s">
        <v>11</v>
      </c>
      <c r="O28" s="57" t="s">
        <v>12</v>
      </c>
      <c r="P28" s="57" t="s">
        <v>13</v>
      </c>
    </row>
    <row r="29" spans="1:16" ht="12.75">
      <c r="A29" s="54"/>
      <c r="B29" s="54"/>
      <c r="C29" s="54" t="s">
        <v>32</v>
      </c>
      <c r="D29" s="60">
        <f t="shared" ref="D29:O29" si="4">D$11/D$4</f>
        <v>0.1</v>
      </c>
      <c r="E29" s="60">
        <f t="shared" si="4"/>
        <v>0.25</v>
      </c>
      <c r="F29" s="60">
        <f t="shared" si="4"/>
        <v>0.14285714285714285</v>
      </c>
      <c r="G29" s="60">
        <f t="shared" si="4"/>
        <v>0.16666666666666666</v>
      </c>
      <c r="H29" s="60">
        <f t="shared" si="4"/>
        <v>0.18181818181818182</v>
      </c>
      <c r="I29" s="60">
        <f t="shared" si="4"/>
        <v>0.36842105263157893</v>
      </c>
      <c r="J29" s="60">
        <f t="shared" si="4"/>
        <v>0.27272727272727271</v>
      </c>
      <c r="K29" s="60">
        <f t="shared" si="4"/>
        <v>5.8823529411764705E-2</v>
      </c>
      <c r="L29" s="60">
        <f t="shared" si="4"/>
        <v>0.22222222222222221</v>
      </c>
      <c r="M29" s="60">
        <f t="shared" si="4"/>
        <v>0.2</v>
      </c>
      <c r="N29" s="60">
        <f t="shared" si="4"/>
        <v>0.15384615384615385</v>
      </c>
      <c r="O29" s="60">
        <f t="shared" si="4"/>
        <v>0.2</v>
      </c>
      <c r="P29" s="60">
        <f t="shared" ref="P29:P31" si="5">MEDIAN(D29:O29)</f>
        <v>0.19090909090909092</v>
      </c>
    </row>
    <row r="30" spans="1:16" ht="12.75">
      <c r="A30" s="54"/>
      <c r="B30" s="54"/>
      <c r="C30" s="54" t="s">
        <v>33</v>
      </c>
      <c r="D30" s="60">
        <f t="shared" ref="D30:O30" si="6">D$12/D$4</f>
        <v>6.6666666666666666E-2</v>
      </c>
      <c r="E30" s="60">
        <f t="shared" si="6"/>
        <v>0.1875</v>
      </c>
      <c r="F30" s="60">
        <f t="shared" si="6"/>
        <v>0.5</v>
      </c>
      <c r="G30" s="60">
        <f t="shared" si="6"/>
        <v>0.33333333333333331</v>
      </c>
      <c r="H30" s="60">
        <f t="shared" si="6"/>
        <v>0.27272727272727271</v>
      </c>
      <c r="I30" s="60">
        <f t="shared" si="6"/>
        <v>0.31578947368421051</v>
      </c>
      <c r="J30" s="60">
        <f t="shared" si="6"/>
        <v>0.18181818181818182</v>
      </c>
      <c r="K30" s="60">
        <f t="shared" si="6"/>
        <v>0.17647058823529413</v>
      </c>
      <c r="L30" s="60">
        <f t="shared" si="6"/>
        <v>0.16666666666666666</v>
      </c>
      <c r="M30" s="60">
        <f t="shared" si="6"/>
        <v>0.33333333333333331</v>
      </c>
      <c r="N30" s="60">
        <f t="shared" si="6"/>
        <v>0.23076923076923078</v>
      </c>
      <c r="O30" s="60">
        <f t="shared" si="6"/>
        <v>0.1</v>
      </c>
      <c r="P30" s="60">
        <f t="shared" si="5"/>
        <v>0.20913461538461539</v>
      </c>
    </row>
    <row r="31" spans="1:16" ht="12.75">
      <c r="A31" s="61"/>
      <c r="B31" s="61"/>
      <c r="C31" s="61" t="s">
        <v>34</v>
      </c>
      <c r="D31" s="60">
        <f t="shared" ref="D31:O31" si="7">D$13/D$4</f>
        <v>0.83333333333333337</v>
      </c>
      <c r="E31" s="60">
        <f t="shared" si="7"/>
        <v>0.5625</v>
      </c>
      <c r="F31" s="60">
        <f t="shared" si="7"/>
        <v>0.35714285714285715</v>
      </c>
      <c r="G31" s="60">
        <f t="shared" si="7"/>
        <v>0.5</v>
      </c>
      <c r="H31" s="60">
        <f t="shared" si="7"/>
        <v>0.54545454545454541</v>
      </c>
      <c r="I31" s="60">
        <f t="shared" si="7"/>
        <v>0.31578947368421051</v>
      </c>
      <c r="J31" s="60">
        <f t="shared" si="7"/>
        <v>0.54545454545454541</v>
      </c>
      <c r="K31" s="60">
        <f t="shared" si="7"/>
        <v>0.76470588235294112</v>
      </c>
      <c r="L31" s="60">
        <f t="shared" si="7"/>
        <v>0.61111111111111116</v>
      </c>
      <c r="M31" s="60">
        <f t="shared" si="7"/>
        <v>0.46666666666666667</v>
      </c>
      <c r="N31" s="60">
        <f t="shared" si="7"/>
        <v>0.61538461538461542</v>
      </c>
      <c r="O31" s="60">
        <f t="shared" si="7"/>
        <v>0.7</v>
      </c>
      <c r="P31" s="60">
        <f t="shared" si="5"/>
        <v>0.55397727272727271</v>
      </c>
    </row>
    <row r="32" spans="1:16" ht="12.75">
      <c r="A32" s="62"/>
      <c r="B32" s="62"/>
      <c r="C32" s="62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3"/>
    </row>
    <row r="33" spans="1:16">
      <c r="A33" s="56"/>
      <c r="B33" s="56"/>
      <c r="C33" s="56"/>
      <c r="D33" s="57" t="s">
        <v>1</v>
      </c>
      <c r="E33" s="57" t="s">
        <v>2</v>
      </c>
      <c r="F33" s="57" t="s">
        <v>3</v>
      </c>
      <c r="G33" s="57" t="s">
        <v>4</v>
      </c>
      <c r="H33" s="57" t="s">
        <v>5</v>
      </c>
      <c r="I33" s="57" t="s">
        <v>6</v>
      </c>
      <c r="J33" s="57" t="s">
        <v>7</v>
      </c>
      <c r="K33" s="57" t="s">
        <v>8</v>
      </c>
      <c r="L33" s="57" t="s">
        <v>9</v>
      </c>
      <c r="M33" s="57" t="s">
        <v>10</v>
      </c>
      <c r="N33" s="57" t="s">
        <v>11</v>
      </c>
      <c r="O33" s="57" t="s">
        <v>12</v>
      </c>
      <c r="P33" s="57" t="s">
        <v>13</v>
      </c>
    </row>
    <row r="34" spans="1:16" ht="12.75">
      <c r="A34" s="61"/>
      <c r="B34" s="61"/>
      <c r="C34" s="10" t="s">
        <v>36</v>
      </c>
      <c r="D34" s="60">
        <f t="shared" ref="D34:O34" si="8">D$16/D$4</f>
        <v>0.23333333333333334</v>
      </c>
      <c r="E34" s="60">
        <f t="shared" si="8"/>
        <v>0.125</v>
      </c>
      <c r="F34" s="60">
        <f t="shared" si="8"/>
        <v>7.1428571428571425E-2</v>
      </c>
      <c r="G34" s="60">
        <f t="shared" si="8"/>
        <v>0.16666666666666666</v>
      </c>
      <c r="H34" s="60">
        <f t="shared" si="8"/>
        <v>0.27272727272727271</v>
      </c>
      <c r="I34" s="60">
        <f t="shared" si="8"/>
        <v>0.31578947368421051</v>
      </c>
      <c r="J34" s="60">
        <f t="shared" si="8"/>
        <v>0.45454545454545453</v>
      </c>
      <c r="K34" s="60">
        <f t="shared" si="8"/>
        <v>5.8823529411764705E-2</v>
      </c>
      <c r="L34" s="60">
        <f t="shared" si="8"/>
        <v>0.22222222222222221</v>
      </c>
      <c r="M34" s="60">
        <f t="shared" si="8"/>
        <v>6.6666666666666666E-2</v>
      </c>
      <c r="N34" s="60">
        <f t="shared" si="8"/>
        <v>0.46153846153846156</v>
      </c>
      <c r="O34" s="60">
        <f t="shared" si="8"/>
        <v>0.4</v>
      </c>
      <c r="P34" s="64">
        <f t="shared" ref="P34:P36" si="9">MEDIAN(D34:O34)</f>
        <v>0.22777777777777777</v>
      </c>
    </row>
    <row r="35" spans="1:16" ht="12.75">
      <c r="A35" s="61"/>
      <c r="B35" s="61"/>
      <c r="C35" s="10" t="s">
        <v>37</v>
      </c>
      <c r="D35" s="60">
        <f t="shared" ref="D35:O35" si="10">D$17/D$4</f>
        <v>0.13333333333333333</v>
      </c>
      <c r="E35" s="60">
        <f t="shared" si="10"/>
        <v>0.4375</v>
      </c>
      <c r="F35" s="60">
        <f t="shared" si="10"/>
        <v>0.2857142857142857</v>
      </c>
      <c r="G35" s="60">
        <f t="shared" si="10"/>
        <v>0.16666666666666666</v>
      </c>
      <c r="H35" s="60">
        <f t="shared" si="10"/>
        <v>0.36363636363636365</v>
      </c>
      <c r="I35" s="60">
        <f t="shared" si="10"/>
        <v>0.10526315789473684</v>
      </c>
      <c r="J35" s="60">
        <f t="shared" si="10"/>
        <v>9.0909090909090912E-2</v>
      </c>
      <c r="K35" s="60">
        <f t="shared" si="10"/>
        <v>0.35294117647058826</v>
      </c>
      <c r="L35" s="60">
        <f t="shared" si="10"/>
        <v>0.16666666666666666</v>
      </c>
      <c r="M35" s="60">
        <f t="shared" si="10"/>
        <v>6.6666666666666666E-2</v>
      </c>
      <c r="N35" s="60">
        <f t="shared" si="10"/>
        <v>0.23076923076923078</v>
      </c>
      <c r="O35" s="60">
        <f t="shared" si="10"/>
        <v>0.2</v>
      </c>
      <c r="P35" s="64">
        <f t="shared" si="9"/>
        <v>0.18333333333333335</v>
      </c>
    </row>
    <row r="36" spans="1:16" ht="12.75">
      <c r="A36" s="61"/>
      <c r="B36" s="61"/>
      <c r="C36" s="10" t="s">
        <v>39</v>
      </c>
      <c r="D36" s="60">
        <f t="shared" ref="D36:O36" si="11">D$18/D$4</f>
        <v>0.1</v>
      </c>
      <c r="E36" s="60">
        <f t="shared" si="11"/>
        <v>0.125</v>
      </c>
      <c r="F36" s="60">
        <f t="shared" si="11"/>
        <v>0.2857142857142857</v>
      </c>
      <c r="G36" s="60">
        <f t="shared" si="11"/>
        <v>0.16666666666666666</v>
      </c>
      <c r="H36" s="60">
        <f t="shared" si="11"/>
        <v>4.5454545454545456E-2</v>
      </c>
      <c r="I36" s="60">
        <f t="shared" si="11"/>
        <v>0.36842105263157893</v>
      </c>
      <c r="J36" s="60">
        <f t="shared" si="11"/>
        <v>0.18181818181818182</v>
      </c>
      <c r="K36" s="60">
        <f t="shared" si="11"/>
        <v>0.17647058823529413</v>
      </c>
      <c r="L36" s="60">
        <f t="shared" si="11"/>
        <v>5.5555555555555552E-2</v>
      </c>
      <c r="M36" s="60">
        <f t="shared" si="11"/>
        <v>0.26666666666666666</v>
      </c>
      <c r="N36" s="60">
        <f t="shared" si="11"/>
        <v>0.15384615384615385</v>
      </c>
      <c r="O36" s="60">
        <f t="shared" si="11"/>
        <v>0.3</v>
      </c>
      <c r="P36" s="64">
        <f t="shared" si="9"/>
        <v>0.17156862745098039</v>
      </c>
    </row>
    <row r="37" spans="1:16" ht="12.75">
      <c r="A37" s="65"/>
      <c r="B37" s="65"/>
      <c r="C37" s="10" t="s">
        <v>40</v>
      </c>
      <c r="D37" s="60">
        <f t="shared" ref="D37:O37" si="12">D$19/D$4</f>
        <v>0.53333333333333333</v>
      </c>
      <c r="E37" s="60">
        <f t="shared" si="12"/>
        <v>0.3125</v>
      </c>
      <c r="F37" s="60">
        <f t="shared" si="12"/>
        <v>0.35714285714285715</v>
      </c>
      <c r="G37" s="60">
        <f t="shared" si="12"/>
        <v>0.5</v>
      </c>
      <c r="H37" s="60">
        <f t="shared" si="12"/>
        <v>0.31818181818181818</v>
      </c>
      <c r="I37" s="60">
        <f t="shared" si="12"/>
        <v>0.21052631578947367</v>
      </c>
      <c r="J37" s="60">
        <f t="shared" si="12"/>
        <v>0.27272727272727271</v>
      </c>
      <c r="K37" s="60">
        <f t="shared" si="12"/>
        <v>0.41176470588235292</v>
      </c>
      <c r="L37" s="60">
        <f t="shared" si="12"/>
        <v>0.55555555555555558</v>
      </c>
      <c r="M37" s="60">
        <f t="shared" si="12"/>
        <v>0.6</v>
      </c>
      <c r="N37" s="60">
        <f t="shared" si="12"/>
        <v>0.15384615384615385</v>
      </c>
      <c r="O37" s="60">
        <f t="shared" si="12"/>
        <v>0.1</v>
      </c>
      <c r="P37" s="64">
        <f>((P$3+P$19)/2)/(P$2)</f>
        <v>0.4767255216693419</v>
      </c>
    </row>
    <row r="38" spans="1:16" ht="12.75">
      <c r="A38" s="65"/>
      <c r="B38" s="65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2"/>
    </row>
    <row r="39" spans="1:16" ht="54.75" customHeight="1">
      <c r="A39" s="65"/>
      <c r="B39" s="65"/>
      <c r="C39" s="111" t="s">
        <v>43</v>
      </c>
      <c r="D39" s="89"/>
      <c r="E39" s="89"/>
      <c r="F39" s="89"/>
      <c r="G39" s="90"/>
      <c r="H39" s="12"/>
      <c r="I39" s="12"/>
      <c r="J39" s="12"/>
      <c r="K39" s="12"/>
      <c r="L39" s="12"/>
      <c r="M39" s="12"/>
      <c r="N39" s="12"/>
      <c r="O39" s="12"/>
      <c r="P39" s="12"/>
    </row>
    <row r="40" spans="1:16" ht="12.75">
      <c r="A40" s="62"/>
      <c r="B40" s="62"/>
      <c r="C40" s="62"/>
      <c r="D40" s="29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</row>
  </sheetData>
  <protectedRanges>
    <protectedRange algorithmName="SHA-512" hashValue="uYILiyp1/3o5k8d7T3NX2cvC/HiplK0Y1Xe6Rp0OMK2whiqg6qgO6WQFyJiRR0tY5p18owMui3B3BvV+ozfvcw==" saltValue="Kmu3fjbDEdJ8LXkrYNiVXA==" spinCount="100000" sqref="A1:XFD40 A41:XFD1048576" name="Todo o Cálculo"/>
  </protectedRanges>
  <mergeCells count="18">
    <mergeCell ref="A2:C2"/>
    <mergeCell ref="A3:C3"/>
    <mergeCell ref="B1:C1"/>
    <mergeCell ref="A6:B6"/>
    <mergeCell ref="A19:B19"/>
    <mergeCell ref="C39:G39"/>
    <mergeCell ref="C21:C22"/>
    <mergeCell ref="A18:B18"/>
    <mergeCell ref="A11:B11"/>
    <mergeCell ref="A12:B12"/>
    <mergeCell ref="A13:B13"/>
    <mergeCell ref="A16:B16"/>
    <mergeCell ref="A15:B15"/>
    <mergeCell ref="A17:B17"/>
    <mergeCell ref="A10:B10"/>
    <mergeCell ref="A7:B7"/>
    <mergeCell ref="A8:B8"/>
    <mergeCell ref="A4:C4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Sobre</vt:lpstr>
      <vt:lpstr>Dados</vt:lpstr>
      <vt:lpstr>Dashboard</vt:lpstr>
      <vt:lpstr>Cálculo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Nathalia Duarte</dc:creator>
  <cp:lastModifiedBy>Nathalia Duarte</cp:lastModifiedBy>
  <dcterms:created xsi:type="dcterms:W3CDTF">2018-09-11T21:44:19Z</dcterms:created>
  <dcterms:modified xsi:type="dcterms:W3CDTF">2018-09-12T13:29:25Z</dcterms:modified>
</cp:coreProperties>
</file>