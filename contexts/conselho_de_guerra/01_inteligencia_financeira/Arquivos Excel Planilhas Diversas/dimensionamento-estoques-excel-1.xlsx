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mart Planilhas\Planilhas Grátis Gui\Planilhas Diversas\"/>
    </mc:Choice>
  </mc:AlternateContent>
  <xr:revisionPtr revIDLastSave="0" documentId="13_ncr:1_{B217E216-8816-45A6-A30B-97DC956180A5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Plan1" sheetId="1" r:id="rId1"/>
    <sheet name="Plan2" sheetId="2" r:id="rId2"/>
    <sheet name="Plan3" sheetId="3" r:id="rId3"/>
    <sheet name="Sobre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18" i="1" l="1"/>
  <c r="P18" i="1"/>
  <c r="S18" i="1" s="1"/>
  <c r="W18" i="1"/>
  <c r="T18" i="1" l="1"/>
  <c r="X18" i="1"/>
  <c r="Z18" i="1" s="1"/>
  <c r="N3" i="1"/>
  <c r="P3" i="1"/>
  <c r="S3" i="1" s="1"/>
  <c r="W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P17" i="1"/>
  <c r="S17" i="1" s="1"/>
  <c r="W17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P8" i="1"/>
  <c r="S8" i="1" s="1"/>
  <c r="P13" i="1"/>
  <c r="S13" i="1" s="1"/>
  <c r="P15" i="1"/>
  <c r="S15" i="1" s="1"/>
  <c r="P7" i="1"/>
  <c r="S7" i="1" s="1"/>
  <c r="P9" i="1"/>
  <c r="S9" i="1" s="1"/>
  <c r="P16" i="1"/>
  <c r="S16" i="1" s="1"/>
  <c r="P12" i="1"/>
  <c r="S12" i="1" s="1"/>
  <c r="P14" i="1"/>
  <c r="S14" i="1" s="1"/>
  <c r="P10" i="1"/>
  <c r="S10" i="1" s="1"/>
  <c r="P5" i="1"/>
  <c r="S5" i="1" s="1"/>
  <c r="P6" i="1"/>
  <c r="S6" i="1" s="1"/>
  <c r="P11" i="1"/>
  <c r="S11" i="1" s="1"/>
  <c r="P4" i="1"/>
  <c r="S4" i="1" s="1"/>
  <c r="Y18" i="1" l="1"/>
  <c r="X16" i="1"/>
  <c r="Y16" i="1" s="1"/>
  <c r="T3" i="1"/>
  <c r="X3" i="1"/>
  <c r="Z3" i="1" s="1"/>
  <c r="T5" i="1"/>
  <c r="X17" i="1"/>
  <c r="Z17" i="1" s="1"/>
  <c r="T17" i="1"/>
  <c r="X15" i="1"/>
  <c r="Z15" i="1" s="1"/>
  <c r="X6" i="1"/>
  <c r="Z6" i="1" s="1"/>
  <c r="X10" i="1"/>
  <c r="Y10" i="1" s="1"/>
  <c r="T15" i="1"/>
  <c r="T10" i="1"/>
  <c r="X4" i="1"/>
  <c r="Z4" i="1" s="1"/>
  <c r="X13" i="1"/>
  <c r="Z13" i="1" s="1"/>
  <c r="X14" i="1"/>
  <c r="Z14" i="1" s="1"/>
  <c r="X9" i="1"/>
  <c r="Z9" i="1" s="1"/>
  <c r="X8" i="1"/>
  <c r="Z8" i="1" s="1"/>
  <c r="X12" i="1"/>
  <c r="Z12" i="1" s="1"/>
  <c r="X11" i="1"/>
  <c r="Z11" i="1" s="1"/>
  <c r="X5" i="1"/>
  <c r="T14" i="1"/>
  <c r="T4" i="1"/>
  <c r="T6" i="1"/>
  <c r="T16" i="1"/>
  <c r="T13" i="1"/>
  <c r="T7" i="1"/>
  <c r="T11" i="1"/>
  <c r="T8" i="1"/>
  <c r="T9" i="1"/>
  <c r="X7" i="1"/>
  <c r="Z7" i="1" s="1"/>
  <c r="T12" i="1"/>
  <c r="Z16" i="1" l="1"/>
  <c r="Y3" i="1"/>
  <c r="Y17" i="1"/>
  <c r="Y15" i="1"/>
  <c r="Z5" i="1"/>
  <c r="Y5" i="1"/>
  <c r="Y4" i="1"/>
  <c r="Z10" i="1"/>
  <c r="Y14" i="1"/>
  <c r="Y9" i="1"/>
  <c r="Y13" i="1"/>
  <c r="Y6" i="1"/>
  <c r="Y11" i="1"/>
  <c r="Y12" i="1"/>
  <c r="Y8" i="1"/>
  <c r="Y7" i="1"/>
</calcChain>
</file>

<file path=xl/sharedStrings.xml><?xml version="1.0" encoding="utf-8"?>
<sst xmlns="http://schemas.openxmlformats.org/spreadsheetml/2006/main" count="30" uniqueCount="30">
  <si>
    <t>s</t>
  </si>
  <si>
    <t>TA</t>
  </si>
  <si>
    <t>CONSUMO</t>
  </si>
  <si>
    <t>MED</t>
  </si>
  <si>
    <t>FS</t>
  </si>
  <si>
    <t>Est Seg</t>
  </si>
  <si>
    <t>Lote Econ.</t>
  </si>
  <si>
    <t>Custo Pedido</t>
  </si>
  <si>
    <t>Custo Unit</t>
  </si>
  <si>
    <t>Est Médio</t>
  </si>
  <si>
    <t>a.a.</t>
  </si>
  <si>
    <t>CÓDIGO</t>
  </si>
  <si>
    <t>Est. Máx.</t>
  </si>
  <si>
    <t>Custo Est.</t>
  </si>
  <si>
    <t>Pto de Pedido</t>
  </si>
  <si>
    <t>PARÂMETROS DE PLANEJAMENTO</t>
  </si>
  <si>
    <t>Taxa de Juros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</si>
  <si>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</si>
  <si>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</si>
  <si>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</si>
  <si>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</si>
  <si>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</si>
  <si>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</si>
  <si>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</si>
  <si>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</si>
  <si>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</si>
  <si>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</si>
  <si>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</si>
  <si>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</si>
  <si>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Variação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</si>
</sst>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0"/>
      <color theme="0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4.9989318521683403E-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 vertical="center" wrapText="1"/>
    </xf>
    <xf numFmtId="9" fontId="6" fillId="2" borderId="1" xfId="1" applyFont="1" applyFill="1" applyBorder="1"/>
    <xf numFmtId="0" fontId="6" fillId="2" borderId="2" xfId="0" applyFont="1" applyFill="1" applyBorder="1"/>
    <xf numFmtId="165" fontId="6" fillId="2" borderId="1" xfId="0" applyNumberFormat="1" applyFont="1" applyFill="1" applyBorder="1"/>
    <xf numFmtId="1" fontId="4" fillId="0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3" fontId="5" fillId="0" borderId="3" xfId="0" applyNumberFormat="1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65" fontId="5" fillId="0" borderId="3" xfId="0" applyNumberFormat="1" applyFont="1" applyFill="1" applyBorder="1" applyAlignment="1">
      <alignment horizontal="center"/>
    </xf>
    <xf numFmtId="1" fontId="5" fillId="0" borderId="3" xfId="0" applyNumberFormat="1" applyFont="1" applyFill="1" applyBorder="1" applyAlignment="1">
      <alignment horizontal="center"/>
    </xf>
    <xf numFmtId="2" fontId="5" fillId="0" borderId="3" xfId="0" applyNumberFormat="1" applyFont="1" applyFill="1" applyBorder="1" applyAlignment="1">
      <alignment horizontal="center"/>
    </xf>
    <xf numFmtId="164" fontId="5" fillId="0" borderId="3" xfId="2" applyFont="1" applyFill="1" applyBorder="1" applyAlignment="1">
      <alignment horizontal="center"/>
    </xf>
    <xf numFmtId="4" fontId="5" fillId="0" borderId="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4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/>
    </xf>
    <xf numFmtId="1" fontId="6" fillId="3" borderId="3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3" fontId="5" fillId="0" borderId="9" xfId="0" applyNumberFormat="1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1" fontId="4" fillId="0" borderId="10" xfId="0" applyNumberFormat="1" applyFont="1" applyFill="1" applyBorder="1" applyAlignment="1">
      <alignment horizontal="center"/>
    </xf>
    <xf numFmtId="1" fontId="6" fillId="3" borderId="10" xfId="0" applyNumberFormat="1" applyFont="1" applyFill="1" applyBorder="1" applyAlignment="1">
      <alignment horizontal="center"/>
    </xf>
    <xf numFmtId="165" fontId="5" fillId="0" borderId="10" xfId="0" applyNumberFormat="1" applyFont="1" applyFill="1" applyBorder="1" applyAlignment="1">
      <alignment horizontal="center"/>
    </xf>
    <xf numFmtId="1" fontId="5" fillId="0" borderId="10" xfId="0" applyNumberFormat="1" applyFont="1" applyFill="1" applyBorder="1" applyAlignment="1">
      <alignment horizontal="center"/>
    </xf>
    <xf numFmtId="4" fontId="5" fillId="0" borderId="10" xfId="0" applyNumberFormat="1" applyFont="1" applyFill="1" applyBorder="1" applyAlignment="1">
      <alignment horizontal="center"/>
    </xf>
    <xf numFmtId="3" fontId="5" fillId="0" borderId="10" xfId="0" applyNumberFormat="1" applyFont="1" applyFill="1" applyBorder="1" applyAlignment="1">
      <alignment horizontal="center"/>
    </xf>
    <xf numFmtId="3" fontId="5" fillId="0" borderId="11" xfId="0" applyNumberFormat="1" applyFont="1" applyFill="1" applyBorder="1" applyAlignment="1">
      <alignment horizontal="center"/>
    </xf>
    <xf numFmtId="0" fontId="6" fillId="4" borderId="3" xfId="0" applyFont="1" applyFill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center" vertical="center" wrapText="1"/>
    </xf>
    <xf numFmtId="165" fontId="7" fillId="4" borderId="7" xfId="0" applyNumberFormat="1" applyFont="1" applyFill="1" applyBorder="1" applyAlignment="1">
      <alignment horizontal="center" vertical="center" wrapText="1"/>
    </xf>
    <xf numFmtId="4" fontId="6" fillId="4" borderId="7" xfId="0" applyNumberFormat="1" applyFont="1" applyFill="1" applyBorder="1" applyAlignment="1">
      <alignment horizontal="center" vertical="center" wrapText="1"/>
    </xf>
    <xf numFmtId="3" fontId="6" fillId="4" borderId="7" xfId="0" applyNumberFormat="1" applyFont="1" applyFill="1" applyBorder="1" applyAlignment="1">
      <alignment horizontal="center" vertical="center" wrapText="1"/>
    </xf>
    <xf numFmtId="3" fontId="6" fillId="4" borderId="8" xfId="0" applyNumberFormat="1" applyFont="1" applyFill="1" applyBorder="1" applyAlignment="1">
      <alignment horizontal="center" vertical="center" wrapText="1"/>
    </xf>
    <xf numFmtId="0" fontId="5" fillId="5" borderId="0" xfId="0" applyFont="1" applyFill="1"/>
    <xf numFmtId="0" fontId="5" fillId="5" borderId="0" xfId="0" applyFont="1" applyFill="1" applyAlignment="1">
      <alignment horizontal="center" vertical="center" wrapText="1"/>
    </xf>
    <xf numFmtId="3" fontId="5" fillId="5" borderId="4" xfId="0" applyNumberFormat="1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" fontId="4" fillId="5" borderId="3" xfId="0" applyNumberFormat="1" applyFont="1" applyFill="1" applyBorder="1" applyAlignment="1">
      <alignment horizontal="center"/>
    </xf>
    <xf numFmtId="165" fontId="5" fillId="5" borderId="3" xfId="0" applyNumberFormat="1" applyFont="1" applyFill="1" applyBorder="1" applyAlignment="1">
      <alignment horizontal="center"/>
    </xf>
    <xf numFmtId="1" fontId="5" fillId="5" borderId="3" xfId="0" applyNumberFormat="1" applyFont="1" applyFill="1" applyBorder="1" applyAlignment="1">
      <alignment horizontal="center"/>
    </xf>
    <xf numFmtId="4" fontId="5" fillId="5" borderId="3" xfId="0" applyNumberFormat="1" applyFont="1" applyFill="1" applyBorder="1" applyAlignment="1">
      <alignment horizontal="center"/>
    </xf>
    <xf numFmtId="3" fontId="5" fillId="5" borderId="3" xfId="0" applyNumberFormat="1" applyFont="1" applyFill="1" applyBorder="1" applyAlignment="1">
      <alignment horizontal="center"/>
    </xf>
    <xf numFmtId="3" fontId="5" fillId="5" borderId="5" xfId="0" applyNumberFormat="1" applyFont="1" applyFill="1" applyBorder="1" applyAlignment="1">
      <alignment horizontal="center"/>
    </xf>
    <xf numFmtId="0" fontId="1" fillId="6" borderId="0" xfId="3" applyFill="1"/>
    <xf numFmtId="0" fontId="1" fillId="0" borderId="0" xfId="3"/>
    <xf numFmtId="4" fontId="6" fillId="4" borderId="3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3" fontId="2" fillId="0" borderId="4" xfId="0" applyNumberFormat="1" applyFont="1" applyFill="1" applyBorder="1" applyAlignment="1">
      <alignment horizontal="center"/>
    </xf>
    <xf numFmtId="165" fontId="2" fillId="0" borderId="3" xfId="0" applyNumberFormat="1" applyFont="1" applyFill="1" applyBorder="1" applyAlignment="1">
      <alignment horizontal="center"/>
    </xf>
    <xf numFmtId="1" fontId="2" fillId="0" borderId="3" xfId="0" applyNumberFormat="1" applyFont="1" applyFill="1" applyBorder="1" applyAlignment="1">
      <alignment horizontal="center"/>
    </xf>
    <xf numFmtId="4" fontId="2" fillId="0" borderId="3" xfId="0" applyNumberFormat="1" applyFont="1" applyFill="1" applyBorder="1" applyAlignment="1">
      <alignment horizontal="center"/>
    </xf>
    <xf numFmtId="3" fontId="2" fillId="0" borderId="3" xfId="0" applyNumberFormat="1" applyFont="1" applyFill="1" applyBorder="1" applyAlignment="1">
      <alignment horizontal="center"/>
    </xf>
    <xf numFmtId="3" fontId="2" fillId="0" borderId="5" xfId="0" applyNumberFormat="1" applyFont="1" applyFill="1" applyBorder="1" applyAlignment="1">
      <alignment horizontal="center"/>
    </xf>
  </cellXfs>
  <cellStyles count="4">
    <cellStyle name="Normal" xfId="0" builtinId="0"/>
    <cellStyle name="Normal 2" xfId="3" xr:uid="{97E80274-1187-48C6-A093-35EB1E9C3FD0}"/>
    <cellStyle name="Porcentagem" xfId="1" builtinId="5"/>
    <cellStyle name="Vírgula" xfId="2" builtinId="3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/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/>
        <horizontal/>
      </border>
    </dxf>
    <dxf>
      <border outline="0">
        <top style="thin">
          <color theme="0" tint="-0.249977111117893"/>
        </top>
      </border>
    </dxf>
    <dxf>
      <border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0" tint="-0.24997711111789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3" formatCode="#,##0"/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/>
        <bottom/>
      </border>
    </dxf>
  </dxfs>
  <tableStyles count="0" defaultTableStyle="TableStyleMedium2" defaultPivotStyle="PivotStyleLight16"/>
  <colors>
    <mruColors>
      <color rgb="FF38D03C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12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6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46E0C3A-AE64-4329-9C0E-930F24711B45}"/>
            </a:ext>
          </a:extLst>
        </xdr:cNvPr>
        <xdr:cNvSpPr/>
      </xdr:nvSpPr>
      <xdr:spPr>
        <a:xfrm>
          <a:off x="0" y="0"/>
          <a:ext cx="11820525" cy="728382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oneCellAnchor>
    <xdr:from>
      <xdr:col>3</xdr:col>
      <xdr:colOff>137198</xdr:colOff>
      <xdr:row>1</xdr:row>
      <xdr:rowOff>53790</xdr:rowOff>
    </xdr:from>
    <xdr:ext cx="4063264" cy="994883"/>
    <xdr:pic>
      <xdr:nvPicPr>
        <xdr:cNvPr id="3" name="Imagem 2">
          <a:extLst>
            <a:ext uri="{FF2B5EF4-FFF2-40B4-BE49-F238E27FC236}">
              <a16:creationId xmlns:a16="http://schemas.microsoft.com/office/drawing/2014/main" id="{8185BD95-47F5-459F-9895-BE4C1D2D5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8848" y="244290"/>
          <a:ext cx="4063264" cy="994883"/>
        </a:xfrm>
        <a:prstGeom prst="rect">
          <a:avLst/>
        </a:prstGeom>
      </xdr:spPr>
    </xdr:pic>
    <xdr:clientData/>
  </xdr:oneCellAnchor>
  <xdr:oneCellAnchor>
    <xdr:from>
      <xdr:col>0</xdr:col>
      <xdr:colOff>437918</xdr:colOff>
      <xdr:row>5</xdr:row>
      <xdr:rowOff>147338</xdr:rowOff>
    </xdr:from>
    <xdr:ext cx="6477059" cy="5661310"/>
    <xdr:pic>
      <xdr:nvPicPr>
        <xdr:cNvPr id="4" name="Imagem 3">
          <a:extLst>
            <a:ext uri="{FF2B5EF4-FFF2-40B4-BE49-F238E27FC236}">
              <a16:creationId xmlns:a16="http://schemas.microsoft.com/office/drawing/2014/main" id="{A3251222-9C04-4B15-896B-0A9769E88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99838"/>
          <a:ext cx="6477059" cy="5661310"/>
        </a:xfrm>
        <a:prstGeom prst="rect">
          <a:avLst/>
        </a:prstGeom>
      </xdr:spPr>
    </xdr:pic>
    <xdr:clientData/>
  </xdr:oneCellAnchor>
  <xdr:oneCellAnchor>
    <xdr:from>
      <xdr:col>0</xdr:col>
      <xdr:colOff>322413</xdr:colOff>
      <xdr:row>8</xdr:row>
      <xdr:rowOff>12918</xdr:rowOff>
    </xdr:from>
    <xdr:ext cx="6434241" cy="5490335"/>
    <xdr:pic>
      <xdr:nvPicPr>
        <xdr:cNvPr id="5" name="Imagem 4">
          <a:extLst>
            <a:ext uri="{FF2B5EF4-FFF2-40B4-BE49-F238E27FC236}">
              <a16:creationId xmlns:a16="http://schemas.microsoft.com/office/drawing/2014/main" id="{78D9E990-97FC-40C8-830E-DAB610AF9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536918"/>
          <a:ext cx="6434241" cy="5490335"/>
        </a:xfrm>
        <a:prstGeom prst="rect">
          <a:avLst/>
        </a:prstGeom>
      </xdr:spPr>
    </xdr:pic>
    <xdr:clientData/>
  </xdr:one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205C40D9-63E7-4B07-8FC0-DF371C81D6BC}"/>
            </a:ext>
          </a:extLst>
        </xdr:cNvPr>
        <xdr:cNvSpPr txBox="1"/>
      </xdr:nvSpPr>
      <xdr:spPr>
        <a:xfrm>
          <a:off x="591185" y="1691214"/>
          <a:ext cx="6110561" cy="4686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104022</xdr:colOff>
      <xdr:row>25</xdr:row>
      <xdr:rowOff>114547</xdr:rowOff>
    </xdr:from>
    <xdr:to>
      <xdr:col>19</xdr:col>
      <xdr:colOff>194218</xdr:colOff>
      <xdr:row>29</xdr:row>
      <xdr:rowOff>68004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5A696B06-6ACC-40EA-883C-B6905755CBA9}"/>
            </a:ext>
          </a:extLst>
        </xdr:cNvPr>
        <xdr:cNvSpPr txBox="1"/>
      </xdr:nvSpPr>
      <xdr:spPr>
        <a:xfrm>
          <a:off x="7781172" y="4877047"/>
          <a:ext cx="3633496" cy="71545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oneCellAnchor>
    <xdr:from>
      <xdr:col>17</xdr:col>
      <xdr:colOff>190932</xdr:colOff>
      <xdr:row>27</xdr:row>
      <xdr:rowOff>93031</xdr:rowOff>
    </xdr:from>
    <xdr:ext cx="573309" cy="567720"/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B365021E-CA21-4A22-9DC0-37BD9D058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0282" y="5236531"/>
          <a:ext cx="573309" cy="56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F1559E-7C0D-4DAD-93B8-5C846452DA73}"/>
            </a:ext>
          </a:extLst>
        </xdr:cNvPr>
        <xdr:cNvSpPr/>
      </xdr:nvSpPr>
      <xdr:spPr>
        <a:xfrm>
          <a:off x="7959485" y="6356331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BCE9410-23D1-4015-93C2-207A03AF7438}"/>
            </a:ext>
          </a:extLst>
        </xdr:cNvPr>
        <xdr:cNvSpPr/>
      </xdr:nvSpPr>
      <xdr:spPr>
        <a:xfrm>
          <a:off x="9114673" y="6356330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176B7B0-12D7-4FA7-9787-1563EEDCDA6F}"/>
            </a:ext>
          </a:extLst>
        </xdr:cNvPr>
        <xdr:cNvSpPr/>
      </xdr:nvSpPr>
      <xdr:spPr>
        <a:xfrm>
          <a:off x="10243192" y="6356329"/>
          <a:ext cx="978936" cy="36263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oneCellAnchor>
    <xdr:from>
      <xdr:col>13</xdr:col>
      <xdr:colOff>535746</xdr:colOff>
      <xdr:row>1</xdr:row>
      <xdr:rowOff>148586</xdr:rowOff>
    </xdr:from>
    <xdr:ext cx="1172531" cy="1150911"/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A0A42DA2-C30D-4FFA-BB55-E37A7ACC74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212896" y="339086"/>
          <a:ext cx="1172531" cy="1150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197391</xdr:colOff>
      <xdr:row>1</xdr:row>
      <xdr:rowOff>91847</xdr:rowOff>
    </xdr:from>
    <xdr:ext cx="959009" cy="1363899"/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EE4EBB9E-0A9B-4570-964E-F4A838914A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236741" y="282347"/>
          <a:ext cx="959009" cy="136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D6BD5E6F-EF24-48A4-9C56-54DC35C3F0E0}"/>
            </a:ext>
          </a:extLst>
        </xdr:cNvPr>
        <xdr:cNvSpPr/>
      </xdr:nvSpPr>
      <xdr:spPr>
        <a:xfrm>
          <a:off x="10124634" y="244290"/>
          <a:ext cx="933073" cy="10758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oneCellAnchor>
    <xdr:from>
      <xdr:col>15</xdr:col>
      <xdr:colOff>561282</xdr:colOff>
      <xdr:row>1</xdr:row>
      <xdr:rowOff>131046</xdr:rowOff>
    </xdr:from>
    <xdr:ext cx="624679" cy="840371"/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AE23E39B-BCBF-47D5-AD19-A7C708FB2F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419532" y="321546"/>
          <a:ext cx="624679" cy="8403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2FC59ED5-375B-4297-B7ED-DBAB6EAE7F9B}"/>
            </a:ext>
          </a:extLst>
        </xdr:cNvPr>
        <xdr:cNvSpPr txBox="1"/>
      </xdr:nvSpPr>
      <xdr:spPr>
        <a:xfrm>
          <a:off x="7505607" y="1592971"/>
          <a:ext cx="4012385" cy="19121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C559254-9239-4B1B-A75B-94868F3F499E}"/>
            </a:ext>
          </a:extLst>
        </xdr:cNvPr>
        <xdr:cNvGrpSpPr/>
      </xdr:nvGrpSpPr>
      <xdr:grpSpPr>
        <a:xfrm>
          <a:off x="8417763" y="3658293"/>
          <a:ext cx="2575470" cy="673155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1F68DB1A-D71B-430E-B59A-9E8AEF3BEAEF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31ED1DDB-BC89-444D-9717-D7CADA54912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oneCellAnchor>
    <xdr:from>
      <xdr:col>8</xdr:col>
      <xdr:colOff>331862</xdr:colOff>
      <xdr:row>28</xdr:row>
      <xdr:rowOff>91848</xdr:rowOff>
    </xdr:from>
    <xdr:ext cx="378592" cy="553605"/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841D3D36-5721-4C5F-B73F-6EC7FF324F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056262" y="5425848"/>
          <a:ext cx="378592" cy="553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116541</xdr:colOff>
      <xdr:row>29</xdr:row>
      <xdr:rowOff>161364</xdr:rowOff>
    </xdr:from>
    <xdr:to>
      <xdr:col>19</xdr:col>
      <xdr:colOff>206737</xdr:colOff>
      <xdr:row>31</xdr:row>
      <xdr:rowOff>168196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1EEEDBA7-C92B-4D99-8B5C-ADAF43F81567}"/>
            </a:ext>
          </a:extLst>
        </xdr:cNvPr>
        <xdr:cNvSpPr txBox="1"/>
      </xdr:nvSpPr>
      <xdr:spPr>
        <a:xfrm>
          <a:off x="7793691" y="5685864"/>
          <a:ext cx="3633496" cy="3878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E48D79-1648-48DE-A109-3A5DE1200364}" name="Tabela1" displayName="Tabela1" ref="A2:Z18" totalsRowShown="0" headerRowDxfId="30" dataDxfId="28" headerRowBorderDxfId="29" tableBorderDxfId="27" totalsRowBorderDxfId="26">
  <tableColumns count="26">
    <tableColumn id="1" xr3:uid="{790B3336-54DF-4BD7-BD6B-F1533341C9E5}" name="CÓDIGO" dataDxfId="25"/>
    <tableColumn id="2" xr3:uid="{D3D9CD7D-FB76-4C1E-AF46-F8E5F084CF70}" name="JAN" dataDxfId="1"/>
    <tableColumn id="3" xr3:uid="{95C1228B-2C27-413C-874B-2F77878F1250}" name="FEV" dataDxfId="24"/>
    <tableColumn id="4" xr3:uid="{E0D73E4F-2431-42BC-BC3F-8B08D8E4BA42}" name="MAR" dataDxfId="23"/>
    <tableColumn id="5" xr3:uid="{F8A7CD54-D448-43F7-926E-486229830001}" name="ABR" dataDxfId="22"/>
    <tableColumn id="6" xr3:uid="{A1E3794F-2BB8-41F7-8E71-4305631C2BFA}" name="MAI" dataDxfId="21"/>
    <tableColumn id="7" xr3:uid="{69B647B6-FCAF-4801-A0B1-02B60ABA0DDC}" name="JUN" dataDxfId="20"/>
    <tableColumn id="8" xr3:uid="{15260287-BAFA-4F26-934C-A239AF335C02}" name="JUL" dataDxfId="19"/>
    <tableColumn id="9" xr3:uid="{99369C8C-A878-49CE-BDF3-1A4DCC43E980}" name="AGO" dataDxfId="18"/>
    <tableColumn id="10" xr3:uid="{217A0664-0E74-4B1C-98E7-46EF50720746}" name="SET" dataDxfId="17"/>
    <tableColumn id="11" xr3:uid="{91BD155D-1FA0-442D-AE6A-2C2BF29E60D4}" name="OUT" dataDxfId="16"/>
    <tableColumn id="12" xr3:uid="{F0531561-31E7-4A82-A138-133BDADEF4CB}" name="NOV" dataDxfId="15"/>
    <tableColumn id="13" xr3:uid="{05C3FACD-35BD-48C4-A6DB-DA2777ACB09D}" name="DEZ" dataDxfId="14"/>
    <tableColumn id="14" xr3:uid="{CF87294A-432A-4993-88E4-EA6E198065A5}" name="MED" dataDxfId="13">
      <calculatedColumnFormula>AVERAGE(B3:M3)</calculatedColumnFormula>
    </tableColumn>
    <tableColumn id="15" xr3:uid="{4C824742-4045-439E-892B-1CC1CC694B3F}" name="Variação" dataDxfId="12"/>
    <tableColumn id="16" xr3:uid="{1A2A79E6-6B37-4388-A255-B857F77B1BE1}" name="s" dataDxfId="11">
      <calculatedColumnFormula>STDEV(B3:I3)</calculatedColumnFormula>
    </tableColumn>
    <tableColumn id="17" xr3:uid="{D248EBB2-ED81-4653-8155-C51772DF985E}" name="FS" dataDxfId="0"/>
    <tableColumn id="18" xr3:uid="{02832B3B-F903-4EC8-B205-AA11CE0C4D85}" name="TA" dataDxfId="10"/>
    <tableColumn id="19" xr3:uid="{B4EFE1A2-6319-4DF7-8315-D7DD0DDB9326}" name="Est Seg" dataDxfId="9">
      <calculatedColumnFormula>SQRT(R3)*Q3*P3</calculatedColumnFormula>
    </tableColumn>
    <tableColumn id="20" xr3:uid="{E25290C5-594F-4642-81CE-13EC17CBEE02}" name="Pto de Pedido" dataDxfId="8">
      <calculatedColumnFormula>N3*R3+S3</calculatedColumnFormula>
    </tableColumn>
    <tableColumn id="21" xr3:uid="{8CCF852B-DDD1-44BB-91E8-625BA2BF2950}" name="Custo Unit" dataDxfId="7"/>
    <tableColumn id="22" xr3:uid="{F827C5DA-CFF5-4D20-9713-80430C35144D}" name="Custo Pedido" dataDxfId="6" dataCellStyle="Vírgula"/>
    <tableColumn id="23" xr3:uid="{9C9C338B-9D07-49CC-985E-C74D3F71D22B}" name="Custo Est." dataDxfId="5">
      <calculatedColumnFormula>U3*$AB$2/0.8</calculatedColumnFormula>
    </tableColumn>
    <tableColumn id="24" xr3:uid="{38C65CA5-FA61-4FFC-A03D-33E2202E3560}" name="Lote Econ." dataDxfId="4">
      <calculatedColumnFormula>SQRT((2*V3*N3*53)/W3)</calculatedColumnFormula>
    </tableColumn>
    <tableColumn id="25" xr3:uid="{C2DA7436-287D-41DA-90E9-08A4356F9E16}" name="Est Médio" dataDxfId="3">
      <calculatedColumnFormula>S3+X3/2</calculatedColumnFormula>
    </tableColumn>
    <tableColumn id="26" xr3:uid="{9F422DB7-7D59-42D7-92E3-A8E64E44967A}" name="Est. Máx." dataDxfId="2">
      <calculatedColumnFormula>X3+S3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fitToPage="1"/>
  </sheetPr>
  <dimension ref="A1:AL19"/>
  <sheetViews>
    <sheetView showGridLines="0" tabSelected="1" zoomScale="85" zoomScaleNormal="85" workbookViewId="0">
      <pane xSplit="1" ySplit="2" topLeftCell="B3" activePane="bottomRight" state="frozen"/>
      <selection pane="topRight" activeCell="B1" sqref="B1"/>
      <selection pane="bottomLeft" activeCell="A5" sqref="A5"/>
      <selection pane="bottomRight" activeCell="Q5" sqref="Q5"/>
    </sheetView>
  </sheetViews>
  <sheetFormatPr defaultColWidth="9.140625" defaultRowHeight="12.75" x14ac:dyDescent="0.2"/>
  <cols>
    <col min="1" max="1" width="10.85546875" style="7" customWidth="1"/>
    <col min="2" max="3" width="6.5703125" style="7" customWidth="1"/>
    <col min="4" max="4" width="6.85546875" style="7" customWidth="1"/>
    <col min="5" max="5" width="6.7109375" style="7" customWidth="1"/>
    <col min="6" max="8" width="6.5703125" style="7" customWidth="1"/>
    <col min="9" max="9" width="7" style="7" customWidth="1"/>
    <col min="10" max="10" width="6.5703125" style="7" customWidth="1"/>
    <col min="11" max="11" width="6.7109375" style="7" customWidth="1"/>
    <col min="12" max="12" width="6.85546875" style="7" customWidth="1"/>
    <col min="13" max="13" width="6.5703125" style="7" customWidth="1"/>
    <col min="14" max="14" width="10" style="7" customWidth="1"/>
    <col min="15" max="15" width="10.42578125" style="7" customWidth="1"/>
    <col min="16" max="16" width="7.140625" style="15" customWidth="1"/>
    <col min="17" max="17" width="7.28515625" style="7" customWidth="1"/>
    <col min="18" max="18" width="5.28515625" style="7" customWidth="1"/>
    <col min="19" max="19" width="9.7109375" style="7" customWidth="1"/>
    <col min="20" max="20" width="15.140625" style="7" customWidth="1"/>
    <col min="21" max="21" width="12.28515625" style="16" customWidth="1"/>
    <col min="22" max="22" width="14.7109375" style="16" customWidth="1"/>
    <col min="23" max="23" width="12.140625" style="16" customWidth="1"/>
    <col min="24" max="24" width="12.28515625" style="17" customWidth="1"/>
    <col min="25" max="25" width="11.42578125" style="17" customWidth="1"/>
    <col min="26" max="26" width="10.85546875" style="17" customWidth="1"/>
    <col min="27" max="27" width="13.42578125" style="1" bestFit="1" customWidth="1"/>
    <col min="28" max="16384" width="9.140625" style="1"/>
  </cols>
  <sheetData>
    <row r="1" spans="1:38" ht="22.5" customHeight="1" x14ac:dyDescent="0.2">
      <c r="A1" s="30"/>
      <c r="B1" s="51" t="s">
        <v>2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31"/>
      <c r="P1" s="50" t="s">
        <v>15</v>
      </c>
      <c r="Q1" s="50"/>
      <c r="R1" s="50"/>
      <c r="S1" s="50"/>
      <c r="T1" s="50"/>
      <c r="U1" s="50"/>
      <c r="V1" s="50"/>
      <c r="W1" s="50"/>
      <c r="X1" s="50"/>
      <c r="Y1" s="50"/>
      <c r="Z1" s="50"/>
      <c r="AA1" s="38"/>
      <c r="AB1" s="38"/>
      <c r="AC1" s="38"/>
      <c r="AD1" s="38"/>
      <c r="AE1" s="38"/>
      <c r="AF1" s="38"/>
    </row>
    <row r="2" spans="1:38" s="2" customFormat="1" ht="32.25" customHeight="1" x14ac:dyDescent="0.2">
      <c r="A2" s="32" t="s">
        <v>11</v>
      </c>
      <c r="B2" s="33" t="s">
        <v>17</v>
      </c>
      <c r="C2" s="33" t="s">
        <v>18</v>
      </c>
      <c r="D2" s="33" t="s">
        <v>19</v>
      </c>
      <c r="E2" s="33" t="s">
        <v>20</v>
      </c>
      <c r="F2" s="33" t="s">
        <v>21</v>
      </c>
      <c r="G2" s="33" t="s">
        <v>22</v>
      </c>
      <c r="H2" s="33" t="s">
        <v>23</v>
      </c>
      <c r="I2" s="33" t="s">
        <v>24</v>
      </c>
      <c r="J2" s="33" t="s">
        <v>25</v>
      </c>
      <c r="K2" s="33" t="s">
        <v>26</v>
      </c>
      <c r="L2" s="33" t="s">
        <v>27</v>
      </c>
      <c r="M2" s="33" t="s">
        <v>28</v>
      </c>
      <c r="N2" s="33" t="s">
        <v>3</v>
      </c>
      <c r="O2" s="33" t="s">
        <v>29</v>
      </c>
      <c r="P2" s="34" t="s">
        <v>0</v>
      </c>
      <c r="Q2" s="33" t="s">
        <v>4</v>
      </c>
      <c r="R2" s="33" t="s">
        <v>1</v>
      </c>
      <c r="S2" s="33" t="s">
        <v>5</v>
      </c>
      <c r="T2" s="33" t="s">
        <v>14</v>
      </c>
      <c r="U2" s="35" t="s">
        <v>8</v>
      </c>
      <c r="V2" s="35" t="s">
        <v>7</v>
      </c>
      <c r="W2" s="35" t="s">
        <v>13</v>
      </c>
      <c r="X2" s="36" t="s">
        <v>6</v>
      </c>
      <c r="Y2" s="36" t="s">
        <v>9</v>
      </c>
      <c r="Z2" s="37" t="s">
        <v>12</v>
      </c>
      <c r="AA2" s="5" t="s">
        <v>16</v>
      </c>
      <c r="AB2" s="3">
        <v>0.15</v>
      </c>
      <c r="AC2" s="4" t="s">
        <v>10</v>
      </c>
      <c r="AD2" s="39"/>
      <c r="AE2" s="39"/>
      <c r="AF2" s="39"/>
    </row>
    <row r="3" spans="1:38" ht="20.25" customHeight="1" x14ac:dyDescent="0.2">
      <c r="A3" s="19"/>
      <c r="B3" s="9">
        <v>878</v>
      </c>
      <c r="C3" s="9">
        <v>1231</v>
      </c>
      <c r="D3" s="9">
        <v>1170</v>
      </c>
      <c r="E3" s="9">
        <v>1222</v>
      </c>
      <c r="F3" s="9">
        <v>951</v>
      </c>
      <c r="G3" s="9">
        <v>635</v>
      </c>
      <c r="H3" s="9">
        <v>763</v>
      </c>
      <c r="I3" s="9">
        <v>833</v>
      </c>
      <c r="J3" s="9">
        <v>1240</v>
      </c>
      <c r="K3" s="9">
        <v>1118</v>
      </c>
      <c r="L3" s="9">
        <v>1138</v>
      </c>
      <c r="M3" s="9">
        <v>802</v>
      </c>
      <c r="N3" s="6">
        <f>AVERAGE(B3:M3)</f>
        <v>998.41666666666663</v>
      </c>
      <c r="O3" s="18"/>
      <c r="P3" s="10">
        <f t="shared" ref="P3:P17" si="0">STDEV(B3:I3)</f>
        <v>224.73853856044744</v>
      </c>
      <c r="Q3" s="9">
        <v>60</v>
      </c>
      <c r="R3" s="9">
        <v>1</v>
      </c>
      <c r="S3" s="11">
        <f t="shared" ref="S3:S17" si="1">SQRT(R3)*Q3*P3</f>
        <v>13484.312313626846</v>
      </c>
      <c r="T3" s="11">
        <f t="shared" ref="T3:T17" si="2">N3*R3+S3</f>
        <v>14482.728980293512</v>
      </c>
      <c r="U3" s="12">
        <v>13.5</v>
      </c>
      <c r="V3" s="13">
        <v>15</v>
      </c>
      <c r="W3" s="14">
        <f t="shared" ref="W3:W17" si="3">U3*$AB$2/0.8</f>
        <v>2.5312499999999996</v>
      </c>
      <c r="X3" s="8">
        <f t="shared" ref="X3:X17" si="4">SQRT((2*V3*N3*53)/W3)</f>
        <v>791.93028749184339</v>
      </c>
      <c r="Y3" s="8">
        <f t="shared" ref="Y3:Y17" si="5">S3+X3/2</f>
        <v>13880.277457372767</v>
      </c>
      <c r="Z3" s="20">
        <f t="shared" ref="Z3:Z17" si="6">X3+S3</f>
        <v>14276.242601118689</v>
      </c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</row>
    <row r="4" spans="1:38" ht="20.25" customHeight="1" x14ac:dyDescent="0.2">
      <c r="A4" s="40"/>
      <c r="B4" s="9">
        <v>1281</v>
      </c>
      <c r="C4" s="9">
        <v>889</v>
      </c>
      <c r="D4" s="9">
        <v>790</v>
      </c>
      <c r="E4" s="9">
        <v>763</v>
      </c>
      <c r="F4" s="9">
        <v>1203</v>
      </c>
      <c r="G4" s="9">
        <v>796</v>
      </c>
      <c r="H4" s="9">
        <v>873</v>
      </c>
      <c r="I4" s="9">
        <v>508</v>
      </c>
      <c r="J4" s="9">
        <v>1173</v>
      </c>
      <c r="K4" s="9">
        <v>1243</v>
      </c>
      <c r="L4" s="9">
        <v>602</v>
      </c>
      <c r="M4" s="9">
        <v>719</v>
      </c>
      <c r="N4" s="42">
        <f t="shared" ref="N4:N17" si="7">AVERAGE(B4:M4)</f>
        <v>903.33333333333337</v>
      </c>
      <c r="O4" s="18"/>
      <c r="P4" s="43">
        <f t="shared" si="0"/>
        <v>248.42155272267109</v>
      </c>
      <c r="Q4" s="41">
        <v>105</v>
      </c>
      <c r="R4" s="41">
        <v>1</v>
      </c>
      <c r="S4" s="44">
        <f t="shared" si="1"/>
        <v>26084.263035880464</v>
      </c>
      <c r="T4" s="44">
        <f t="shared" si="2"/>
        <v>26987.596369213796</v>
      </c>
      <c r="U4" s="12">
        <v>13.5</v>
      </c>
      <c r="V4" s="13">
        <v>15</v>
      </c>
      <c r="W4" s="45">
        <f t="shared" si="3"/>
        <v>2.5312499999999996</v>
      </c>
      <c r="X4" s="46">
        <f t="shared" si="4"/>
        <v>753.27761183631844</v>
      </c>
      <c r="Y4" s="46">
        <f t="shared" si="5"/>
        <v>26460.901841798623</v>
      </c>
      <c r="Z4" s="47">
        <f t="shared" si="6"/>
        <v>26837.540647716782</v>
      </c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</row>
    <row r="5" spans="1:38" ht="20.25" customHeight="1" x14ac:dyDescent="0.2">
      <c r="A5" s="19"/>
      <c r="B5" s="9">
        <v>1101</v>
      </c>
      <c r="C5" s="9">
        <v>833</v>
      </c>
      <c r="D5" s="9">
        <v>1003</v>
      </c>
      <c r="E5" s="9">
        <v>969</v>
      </c>
      <c r="F5" s="9">
        <v>964</v>
      </c>
      <c r="G5" s="9">
        <v>841</v>
      </c>
      <c r="H5" s="9">
        <v>537</v>
      </c>
      <c r="I5" s="9">
        <v>968</v>
      </c>
      <c r="J5" s="9">
        <v>953</v>
      </c>
      <c r="K5" s="9">
        <v>688</v>
      </c>
      <c r="L5" s="9">
        <v>866</v>
      </c>
      <c r="M5" s="9">
        <v>951</v>
      </c>
      <c r="N5" s="6">
        <f t="shared" si="7"/>
        <v>889.5</v>
      </c>
      <c r="O5" s="18"/>
      <c r="P5" s="10">
        <f t="shared" si="0"/>
        <v>170.7956172070667</v>
      </c>
      <c r="Q5" s="9">
        <v>64</v>
      </c>
      <c r="R5" s="9">
        <v>8</v>
      </c>
      <c r="S5" s="11">
        <f t="shared" si="1"/>
        <v>30917.309215759014</v>
      </c>
      <c r="T5" s="11">
        <f t="shared" si="2"/>
        <v>38033.309215759014</v>
      </c>
      <c r="U5" s="12">
        <v>13.5</v>
      </c>
      <c r="V5" s="13">
        <v>15</v>
      </c>
      <c r="W5" s="14">
        <f t="shared" si="3"/>
        <v>2.5312499999999996</v>
      </c>
      <c r="X5" s="8">
        <f t="shared" si="4"/>
        <v>747.48764389639098</v>
      </c>
      <c r="Y5" s="8">
        <f t="shared" si="5"/>
        <v>31291.05303770721</v>
      </c>
      <c r="Z5" s="20">
        <f t="shared" si="6"/>
        <v>31664.796859655406</v>
      </c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</row>
    <row r="6" spans="1:38" ht="20.25" customHeight="1" x14ac:dyDescent="0.2">
      <c r="A6" s="40"/>
      <c r="B6" s="9">
        <v>708</v>
      </c>
      <c r="C6" s="9">
        <v>864</v>
      </c>
      <c r="D6" s="9">
        <v>502</v>
      </c>
      <c r="E6" s="9">
        <v>792</v>
      </c>
      <c r="F6" s="9">
        <v>523</v>
      </c>
      <c r="G6" s="9">
        <v>598</v>
      </c>
      <c r="H6" s="9">
        <v>568</v>
      </c>
      <c r="I6" s="9">
        <v>1112</v>
      </c>
      <c r="J6" s="9">
        <v>777</v>
      </c>
      <c r="K6" s="9">
        <v>1115</v>
      </c>
      <c r="L6" s="9">
        <v>519</v>
      </c>
      <c r="M6" s="9">
        <v>1251</v>
      </c>
      <c r="N6" s="42">
        <f t="shared" si="7"/>
        <v>777.41666666666663</v>
      </c>
      <c r="O6" s="18"/>
      <c r="P6" s="43">
        <f t="shared" si="0"/>
        <v>208.04116179256451</v>
      </c>
      <c r="Q6" s="41">
        <v>27</v>
      </c>
      <c r="R6" s="41">
        <v>1</v>
      </c>
      <c r="S6" s="44">
        <f t="shared" si="1"/>
        <v>5617.1113683992417</v>
      </c>
      <c r="T6" s="44">
        <f t="shared" si="2"/>
        <v>6394.5280350659086</v>
      </c>
      <c r="U6" s="12">
        <v>13.5</v>
      </c>
      <c r="V6" s="13">
        <v>15</v>
      </c>
      <c r="W6" s="45">
        <f t="shared" si="3"/>
        <v>2.5312499999999996</v>
      </c>
      <c r="X6" s="46">
        <f t="shared" si="4"/>
        <v>698.80815643935705</v>
      </c>
      <c r="Y6" s="46">
        <f t="shared" si="5"/>
        <v>5966.5154466189206</v>
      </c>
      <c r="Z6" s="47">
        <f t="shared" si="6"/>
        <v>6315.9195248385986</v>
      </c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</row>
    <row r="7" spans="1:38" ht="20.25" customHeight="1" x14ac:dyDescent="0.2">
      <c r="A7" s="19"/>
      <c r="B7" s="9">
        <v>514</v>
      </c>
      <c r="C7" s="9">
        <v>637</v>
      </c>
      <c r="D7" s="9">
        <v>1274</v>
      </c>
      <c r="E7" s="9">
        <v>1243</v>
      </c>
      <c r="F7" s="9">
        <v>651</v>
      </c>
      <c r="G7" s="9">
        <v>995</v>
      </c>
      <c r="H7" s="9">
        <v>504</v>
      </c>
      <c r="I7" s="9">
        <v>1286</v>
      </c>
      <c r="J7" s="9">
        <v>992</v>
      </c>
      <c r="K7" s="9">
        <v>1079</v>
      </c>
      <c r="L7" s="9">
        <v>1288</v>
      </c>
      <c r="M7" s="9">
        <v>741</v>
      </c>
      <c r="N7" s="6">
        <f t="shared" si="7"/>
        <v>933.66666666666663</v>
      </c>
      <c r="O7" s="18"/>
      <c r="P7" s="10">
        <f t="shared" si="0"/>
        <v>348.74796466379968</v>
      </c>
      <c r="Q7" s="9">
        <v>96</v>
      </c>
      <c r="R7" s="9">
        <v>1</v>
      </c>
      <c r="S7" s="11">
        <f t="shared" si="1"/>
        <v>33479.804607724771</v>
      </c>
      <c r="T7" s="11">
        <f t="shared" si="2"/>
        <v>34413.471274391435</v>
      </c>
      <c r="U7" s="12">
        <v>13.5</v>
      </c>
      <c r="V7" s="13">
        <v>15</v>
      </c>
      <c r="W7" s="14">
        <f t="shared" si="3"/>
        <v>2.5312499999999996</v>
      </c>
      <c r="X7" s="8">
        <f t="shared" si="4"/>
        <v>765.82046698578199</v>
      </c>
      <c r="Y7" s="8">
        <f t="shared" si="5"/>
        <v>33862.714841217661</v>
      </c>
      <c r="Z7" s="20">
        <f t="shared" si="6"/>
        <v>34245.625074710551</v>
      </c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</row>
    <row r="8" spans="1:38" ht="20.25" customHeight="1" x14ac:dyDescent="0.2">
      <c r="A8" s="40"/>
      <c r="B8" s="9">
        <v>517</v>
      </c>
      <c r="C8" s="9">
        <v>1053</v>
      </c>
      <c r="D8" s="9">
        <v>941</v>
      </c>
      <c r="E8" s="9">
        <v>627</v>
      </c>
      <c r="F8" s="9">
        <v>1221</v>
      </c>
      <c r="G8" s="9">
        <v>1244</v>
      </c>
      <c r="H8" s="9">
        <v>999</v>
      </c>
      <c r="I8" s="9">
        <v>646</v>
      </c>
      <c r="J8" s="9">
        <v>572</v>
      </c>
      <c r="K8" s="9">
        <v>985</v>
      </c>
      <c r="L8" s="9">
        <v>959</v>
      </c>
      <c r="M8" s="9">
        <v>535</v>
      </c>
      <c r="N8" s="42">
        <f t="shared" si="7"/>
        <v>858.25</v>
      </c>
      <c r="O8" s="18"/>
      <c r="P8" s="43">
        <f t="shared" si="0"/>
        <v>278.18647394457247</v>
      </c>
      <c r="Q8" s="41">
        <v>61</v>
      </c>
      <c r="R8" s="41">
        <v>47</v>
      </c>
      <c r="S8" s="44">
        <f t="shared" si="1"/>
        <v>116336.17317191465</v>
      </c>
      <c r="T8" s="44">
        <f t="shared" si="2"/>
        <v>156673.92317191465</v>
      </c>
      <c r="U8" s="12">
        <v>13.5</v>
      </c>
      <c r="V8" s="13">
        <v>15</v>
      </c>
      <c r="W8" s="45">
        <f t="shared" si="3"/>
        <v>2.5312499999999996</v>
      </c>
      <c r="X8" s="46">
        <f t="shared" si="4"/>
        <v>734.23984374872236</v>
      </c>
      <c r="Y8" s="46">
        <f t="shared" si="5"/>
        <v>116703.29309378901</v>
      </c>
      <c r="Z8" s="47">
        <f t="shared" si="6"/>
        <v>117070.41301566338</v>
      </c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</row>
    <row r="9" spans="1:38" ht="20.25" customHeight="1" x14ac:dyDescent="0.2">
      <c r="A9" s="19"/>
      <c r="B9" s="9">
        <v>542</v>
      </c>
      <c r="C9" s="9">
        <v>852</v>
      </c>
      <c r="D9" s="9">
        <v>951</v>
      </c>
      <c r="E9" s="9">
        <v>1198</v>
      </c>
      <c r="F9" s="9">
        <v>966</v>
      </c>
      <c r="G9" s="9">
        <v>579</v>
      </c>
      <c r="H9" s="9">
        <v>1173</v>
      </c>
      <c r="I9" s="9">
        <v>1259</v>
      </c>
      <c r="J9" s="9">
        <v>1257</v>
      </c>
      <c r="K9" s="9">
        <v>682</v>
      </c>
      <c r="L9" s="9">
        <v>600</v>
      </c>
      <c r="M9" s="9">
        <v>528</v>
      </c>
      <c r="N9" s="6">
        <f t="shared" si="7"/>
        <v>882.25</v>
      </c>
      <c r="O9" s="18"/>
      <c r="P9" s="10">
        <f t="shared" si="0"/>
        <v>272.5226071880486</v>
      </c>
      <c r="Q9" s="9">
        <v>81</v>
      </c>
      <c r="R9" s="9">
        <v>2</v>
      </c>
      <c r="S9" s="11">
        <f t="shared" si="1"/>
        <v>31217.818538227722</v>
      </c>
      <c r="T9" s="11">
        <f t="shared" si="2"/>
        <v>32982.318538227722</v>
      </c>
      <c r="U9" s="12">
        <v>13.5</v>
      </c>
      <c r="V9" s="13">
        <v>15</v>
      </c>
      <c r="W9" s="14">
        <f t="shared" si="3"/>
        <v>2.5312499999999996</v>
      </c>
      <c r="X9" s="8">
        <f t="shared" si="4"/>
        <v>744.43515748767788</v>
      </c>
      <c r="Y9" s="8">
        <f t="shared" si="5"/>
        <v>31590.036116971562</v>
      </c>
      <c r="Z9" s="20">
        <f t="shared" si="6"/>
        <v>31962.253695715401</v>
      </c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</row>
    <row r="10" spans="1:38" ht="20.25" customHeight="1" x14ac:dyDescent="0.2">
      <c r="A10" s="40"/>
      <c r="B10" s="9">
        <v>1142</v>
      </c>
      <c r="C10" s="9">
        <v>634</v>
      </c>
      <c r="D10" s="9">
        <v>953</v>
      </c>
      <c r="E10" s="9">
        <v>1207</v>
      </c>
      <c r="F10" s="9">
        <v>602</v>
      </c>
      <c r="G10" s="9">
        <v>1296</v>
      </c>
      <c r="H10" s="9">
        <v>513</v>
      </c>
      <c r="I10" s="9">
        <v>569</v>
      </c>
      <c r="J10" s="9">
        <v>517</v>
      </c>
      <c r="K10" s="9">
        <v>634</v>
      </c>
      <c r="L10" s="9">
        <v>954</v>
      </c>
      <c r="M10" s="9">
        <v>869</v>
      </c>
      <c r="N10" s="42">
        <f t="shared" si="7"/>
        <v>824.16666666666663</v>
      </c>
      <c r="O10" s="18"/>
      <c r="P10" s="43">
        <f t="shared" si="0"/>
        <v>320.99087659486969</v>
      </c>
      <c r="Q10" s="41">
        <v>112</v>
      </c>
      <c r="R10" s="41">
        <v>4</v>
      </c>
      <c r="S10" s="44">
        <f t="shared" si="1"/>
        <v>71901.956357250805</v>
      </c>
      <c r="T10" s="44">
        <f t="shared" si="2"/>
        <v>75198.623023917477</v>
      </c>
      <c r="U10" s="12">
        <v>13.5</v>
      </c>
      <c r="V10" s="13">
        <v>15</v>
      </c>
      <c r="W10" s="45">
        <f t="shared" si="3"/>
        <v>2.5312499999999996</v>
      </c>
      <c r="X10" s="46">
        <f t="shared" si="4"/>
        <v>719.51286675923927</v>
      </c>
      <c r="Y10" s="46">
        <f t="shared" si="5"/>
        <v>72261.712790630423</v>
      </c>
      <c r="Z10" s="47">
        <f t="shared" si="6"/>
        <v>72621.469224010041</v>
      </c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</row>
    <row r="11" spans="1:38" ht="20.25" customHeight="1" x14ac:dyDescent="0.2">
      <c r="A11" s="19"/>
      <c r="B11" s="9">
        <v>880</v>
      </c>
      <c r="C11" s="9">
        <v>541</v>
      </c>
      <c r="D11" s="9">
        <v>741</v>
      </c>
      <c r="E11" s="9">
        <v>571</v>
      </c>
      <c r="F11" s="9">
        <v>614</v>
      </c>
      <c r="G11" s="9">
        <v>516</v>
      </c>
      <c r="H11" s="9">
        <v>739</v>
      </c>
      <c r="I11" s="9">
        <v>1112</v>
      </c>
      <c r="J11" s="9">
        <v>744</v>
      </c>
      <c r="K11" s="9">
        <v>1173</v>
      </c>
      <c r="L11" s="9">
        <v>1235</v>
      </c>
      <c r="M11" s="9">
        <v>1261</v>
      </c>
      <c r="N11" s="6">
        <f t="shared" si="7"/>
        <v>843.91666666666663</v>
      </c>
      <c r="O11" s="18"/>
      <c r="P11" s="10">
        <f t="shared" si="0"/>
        <v>202.44770047736139</v>
      </c>
      <c r="Q11" s="9">
        <v>43</v>
      </c>
      <c r="R11" s="9">
        <v>6</v>
      </c>
      <c r="S11" s="11">
        <f t="shared" si="1"/>
        <v>21323.423328081524</v>
      </c>
      <c r="T11" s="11">
        <f t="shared" si="2"/>
        <v>26386.923328081524</v>
      </c>
      <c r="U11" s="12">
        <v>13.5</v>
      </c>
      <c r="V11" s="13">
        <v>15</v>
      </c>
      <c r="W11" s="14">
        <f t="shared" si="3"/>
        <v>2.5312499999999996</v>
      </c>
      <c r="X11" s="8">
        <f t="shared" si="4"/>
        <v>728.08288769756484</v>
      </c>
      <c r="Y11" s="8">
        <f t="shared" si="5"/>
        <v>21687.464771930307</v>
      </c>
      <c r="Z11" s="20">
        <f t="shared" si="6"/>
        <v>22051.506215779089</v>
      </c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</row>
    <row r="12" spans="1:38" ht="20.25" customHeight="1" x14ac:dyDescent="0.2">
      <c r="A12" s="40"/>
      <c r="B12" s="9">
        <v>925</v>
      </c>
      <c r="C12" s="9">
        <v>661</v>
      </c>
      <c r="D12" s="9">
        <v>844</v>
      </c>
      <c r="E12" s="9">
        <v>998</v>
      </c>
      <c r="F12" s="9">
        <v>1257</v>
      </c>
      <c r="G12" s="9">
        <v>718</v>
      </c>
      <c r="H12" s="9">
        <v>565</v>
      </c>
      <c r="I12" s="9">
        <v>1287</v>
      </c>
      <c r="J12" s="9">
        <v>705</v>
      </c>
      <c r="K12" s="9">
        <v>619</v>
      </c>
      <c r="L12" s="9">
        <v>783</v>
      </c>
      <c r="M12" s="9">
        <v>886</v>
      </c>
      <c r="N12" s="42">
        <f t="shared" si="7"/>
        <v>854</v>
      </c>
      <c r="O12" s="18"/>
      <c r="P12" s="43">
        <f t="shared" si="0"/>
        <v>265.29629661945904</v>
      </c>
      <c r="Q12" s="41">
        <v>42</v>
      </c>
      <c r="R12" s="41">
        <v>4</v>
      </c>
      <c r="S12" s="44">
        <f t="shared" si="1"/>
        <v>22284.888916034561</v>
      </c>
      <c r="T12" s="44">
        <f t="shared" si="2"/>
        <v>25700.888916034561</v>
      </c>
      <c r="U12" s="12">
        <v>13.5</v>
      </c>
      <c r="V12" s="13">
        <v>15</v>
      </c>
      <c r="W12" s="45">
        <f t="shared" si="3"/>
        <v>2.5312499999999996</v>
      </c>
      <c r="X12" s="46">
        <f t="shared" si="4"/>
        <v>732.41963280520997</v>
      </c>
      <c r="Y12" s="46">
        <f t="shared" si="5"/>
        <v>22651.098732437167</v>
      </c>
      <c r="Z12" s="47">
        <f t="shared" si="6"/>
        <v>23017.30854883977</v>
      </c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</row>
    <row r="13" spans="1:38" ht="20.25" customHeight="1" x14ac:dyDescent="0.2">
      <c r="A13" s="19"/>
      <c r="B13" s="9">
        <v>766</v>
      </c>
      <c r="C13" s="9">
        <v>647</v>
      </c>
      <c r="D13" s="9">
        <v>737</v>
      </c>
      <c r="E13" s="9">
        <v>723</v>
      </c>
      <c r="F13" s="9">
        <v>614</v>
      </c>
      <c r="G13" s="9">
        <v>1245</v>
      </c>
      <c r="H13" s="9">
        <v>1029</v>
      </c>
      <c r="I13" s="9">
        <v>742</v>
      </c>
      <c r="J13" s="9">
        <v>781</v>
      </c>
      <c r="K13" s="9">
        <v>751</v>
      </c>
      <c r="L13" s="9">
        <v>671</v>
      </c>
      <c r="M13" s="9">
        <v>663</v>
      </c>
      <c r="N13" s="6">
        <f t="shared" si="7"/>
        <v>780.75</v>
      </c>
      <c r="O13" s="18"/>
      <c r="P13" s="10">
        <f t="shared" si="0"/>
        <v>214.33047746745811</v>
      </c>
      <c r="Q13" s="9">
        <v>100</v>
      </c>
      <c r="R13" s="9">
        <v>1</v>
      </c>
      <c r="S13" s="11">
        <f t="shared" si="1"/>
        <v>21433.047746745811</v>
      </c>
      <c r="T13" s="11">
        <f t="shared" si="2"/>
        <v>22213.797746745811</v>
      </c>
      <c r="U13" s="12">
        <v>13.5</v>
      </c>
      <c r="V13" s="13">
        <v>15</v>
      </c>
      <c r="W13" s="14">
        <f t="shared" si="3"/>
        <v>2.5312499999999996</v>
      </c>
      <c r="X13" s="8">
        <f t="shared" si="4"/>
        <v>700.30469559090261</v>
      </c>
      <c r="Y13" s="8">
        <f t="shared" si="5"/>
        <v>21783.200094541262</v>
      </c>
      <c r="Z13" s="20">
        <f t="shared" si="6"/>
        <v>22133.352442336713</v>
      </c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</row>
    <row r="14" spans="1:38" ht="20.25" customHeight="1" x14ac:dyDescent="0.2">
      <c r="A14" s="40"/>
      <c r="B14" s="9">
        <v>768</v>
      </c>
      <c r="C14" s="9">
        <v>1206</v>
      </c>
      <c r="D14" s="9">
        <v>521</v>
      </c>
      <c r="E14" s="9">
        <v>670</v>
      </c>
      <c r="F14" s="9">
        <v>930</v>
      </c>
      <c r="G14" s="9">
        <v>615</v>
      </c>
      <c r="H14" s="9">
        <v>1018</v>
      </c>
      <c r="I14" s="9">
        <v>544</v>
      </c>
      <c r="J14" s="9">
        <v>1220</v>
      </c>
      <c r="K14" s="9">
        <v>706</v>
      </c>
      <c r="L14" s="9">
        <v>549</v>
      </c>
      <c r="M14" s="9">
        <v>632</v>
      </c>
      <c r="N14" s="42">
        <f t="shared" si="7"/>
        <v>781.58333333333337</v>
      </c>
      <c r="O14" s="18"/>
      <c r="P14" s="43">
        <f t="shared" si="0"/>
        <v>245.74609428664957</v>
      </c>
      <c r="Q14" s="41">
        <v>76</v>
      </c>
      <c r="R14" s="41">
        <v>2</v>
      </c>
      <c r="S14" s="44">
        <f t="shared" si="1"/>
        <v>26412.846917470186</v>
      </c>
      <c r="T14" s="44">
        <f t="shared" si="2"/>
        <v>27976.013584136854</v>
      </c>
      <c r="U14" s="12">
        <v>13.5</v>
      </c>
      <c r="V14" s="13">
        <v>15</v>
      </c>
      <c r="W14" s="45">
        <f t="shared" si="3"/>
        <v>2.5312499999999996</v>
      </c>
      <c r="X14" s="46">
        <f t="shared" si="4"/>
        <v>700.67833094565594</v>
      </c>
      <c r="Y14" s="46">
        <f t="shared" si="5"/>
        <v>26763.186082943015</v>
      </c>
      <c r="Z14" s="47">
        <f t="shared" si="6"/>
        <v>27113.525248415841</v>
      </c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</row>
    <row r="15" spans="1:38" ht="20.25" customHeight="1" x14ac:dyDescent="0.2">
      <c r="A15" s="19"/>
      <c r="B15" s="9">
        <v>1159</v>
      </c>
      <c r="C15" s="9">
        <v>874</v>
      </c>
      <c r="D15" s="9">
        <v>992</v>
      </c>
      <c r="E15" s="9">
        <v>1199</v>
      </c>
      <c r="F15" s="9">
        <v>1009</v>
      </c>
      <c r="G15" s="9">
        <v>1183</v>
      </c>
      <c r="H15" s="9">
        <v>1030</v>
      </c>
      <c r="I15" s="9">
        <v>994</v>
      </c>
      <c r="J15" s="9">
        <v>1163</v>
      </c>
      <c r="K15" s="9">
        <v>1199</v>
      </c>
      <c r="L15" s="9">
        <v>872</v>
      </c>
      <c r="M15" s="9">
        <v>890</v>
      </c>
      <c r="N15" s="6">
        <f t="shared" si="7"/>
        <v>1047</v>
      </c>
      <c r="O15" s="18"/>
      <c r="P15" s="10">
        <f t="shared" si="0"/>
        <v>114.09770249345827</v>
      </c>
      <c r="Q15" s="9">
        <v>20</v>
      </c>
      <c r="R15" s="9">
        <v>1</v>
      </c>
      <c r="S15" s="11">
        <f t="shared" si="1"/>
        <v>2281.9540498691654</v>
      </c>
      <c r="T15" s="11">
        <f t="shared" si="2"/>
        <v>3328.9540498691654</v>
      </c>
      <c r="U15" s="12">
        <v>13.5</v>
      </c>
      <c r="V15" s="13">
        <v>15</v>
      </c>
      <c r="W15" s="14">
        <f t="shared" si="3"/>
        <v>2.5312499999999996</v>
      </c>
      <c r="X15" s="8">
        <f t="shared" si="4"/>
        <v>810.96924177869482</v>
      </c>
      <c r="Y15" s="8">
        <f t="shared" si="5"/>
        <v>2687.4386707585127</v>
      </c>
      <c r="Z15" s="20">
        <f t="shared" si="6"/>
        <v>3092.9232916478604</v>
      </c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</row>
    <row r="16" spans="1:38" ht="20.25" customHeight="1" x14ac:dyDescent="0.2">
      <c r="A16" s="40"/>
      <c r="B16" s="9">
        <v>1106</v>
      </c>
      <c r="C16" s="9">
        <v>1228</v>
      </c>
      <c r="D16" s="9">
        <v>823</v>
      </c>
      <c r="E16" s="9">
        <v>555</v>
      </c>
      <c r="F16" s="9">
        <v>914</v>
      </c>
      <c r="G16" s="9">
        <v>1175</v>
      </c>
      <c r="H16" s="9">
        <v>1300</v>
      </c>
      <c r="I16" s="9">
        <v>1217</v>
      </c>
      <c r="J16" s="9">
        <v>1083</v>
      </c>
      <c r="K16" s="9">
        <v>505</v>
      </c>
      <c r="L16" s="9">
        <v>851</v>
      </c>
      <c r="M16" s="9">
        <v>810</v>
      </c>
      <c r="N16" s="42">
        <f t="shared" si="7"/>
        <v>963.91666666666663</v>
      </c>
      <c r="O16" s="18"/>
      <c r="P16" s="43">
        <f t="shared" si="0"/>
        <v>254.96316260533459</v>
      </c>
      <c r="Q16" s="41">
        <v>39</v>
      </c>
      <c r="R16" s="41">
        <v>4</v>
      </c>
      <c r="S16" s="44">
        <f t="shared" si="1"/>
        <v>19887.126683216098</v>
      </c>
      <c r="T16" s="44">
        <f t="shared" si="2"/>
        <v>23742.793349882766</v>
      </c>
      <c r="U16" s="12">
        <v>13.5</v>
      </c>
      <c r="V16" s="13">
        <v>15</v>
      </c>
      <c r="W16" s="45">
        <f t="shared" si="3"/>
        <v>2.5312499999999996</v>
      </c>
      <c r="X16" s="46">
        <f t="shared" si="4"/>
        <v>778.12754040440097</v>
      </c>
      <c r="Y16" s="46">
        <f t="shared" si="5"/>
        <v>20276.190453418298</v>
      </c>
      <c r="Z16" s="47">
        <f t="shared" si="6"/>
        <v>20665.254223620501</v>
      </c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</row>
    <row r="17" spans="1:38" ht="20.25" customHeight="1" x14ac:dyDescent="0.2">
      <c r="A17" s="21"/>
      <c r="B17" s="9">
        <v>1006</v>
      </c>
      <c r="C17" s="9">
        <v>1075</v>
      </c>
      <c r="D17" s="9">
        <v>1257</v>
      </c>
      <c r="E17" s="9">
        <v>593</v>
      </c>
      <c r="F17" s="9">
        <v>519</v>
      </c>
      <c r="G17" s="9">
        <v>595</v>
      </c>
      <c r="H17" s="9">
        <v>1077</v>
      </c>
      <c r="I17" s="9">
        <v>1135</v>
      </c>
      <c r="J17" s="9">
        <v>1271</v>
      </c>
      <c r="K17" s="9">
        <v>749</v>
      </c>
      <c r="L17" s="9">
        <v>1288</v>
      </c>
      <c r="M17" s="9">
        <v>893</v>
      </c>
      <c r="N17" s="23">
        <f t="shared" si="7"/>
        <v>954.83333333333337</v>
      </c>
      <c r="O17" s="24"/>
      <c r="P17" s="25">
        <f t="shared" si="0"/>
        <v>289.80113255225803</v>
      </c>
      <c r="Q17" s="22">
        <v>51</v>
      </c>
      <c r="R17" s="22">
        <v>1</v>
      </c>
      <c r="S17" s="26">
        <f t="shared" si="1"/>
        <v>14779.85776016516</v>
      </c>
      <c r="T17" s="26">
        <f t="shared" si="2"/>
        <v>15734.691093498494</v>
      </c>
      <c r="U17" s="12">
        <v>13.5</v>
      </c>
      <c r="V17" s="13">
        <v>15</v>
      </c>
      <c r="W17" s="27">
        <f t="shared" si="3"/>
        <v>2.5312499999999996</v>
      </c>
      <c r="X17" s="28">
        <f t="shared" si="4"/>
        <v>774.45257448307109</v>
      </c>
      <c r="Y17" s="28">
        <f t="shared" si="5"/>
        <v>15167.084047406695</v>
      </c>
      <c r="Z17" s="29">
        <f t="shared" si="6"/>
        <v>15554.310334648231</v>
      </c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</row>
    <row r="18" spans="1:38" x14ac:dyDescent="0.2">
      <c r="A18" s="52"/>
      <c r="B18" s="9">
        <v>1006</v>
      </c>
      <c r="C18" s="9">
        <v>1075</v>
      </c>
      <c r="D18" s="9">
        <v>1257</v>
      </c>
      <c r="E18" s="9">
        <v>593</v>
      </c>
      <c r="F18" s="9">
        <v>519</v>
      </c>
      <c r="G18" s="9">
        <v>595</v>
      </c>
      <c r="H18" s="9">
        <v>1077</v>
      </c>
      <c r="I18" s="9">
        <v>1135</v>
      </c>
      <c r="J18" s="9">
        <v>1271</v>
      </c>
      <c r="K18" s="9">
        <v>749</v>
      </c>
      <c r="L18" s="9">
        <v>1288</v>
      </c>
      <c r="M18" s="9">
        <v>893</v>
      </c>
      <c r="N18" s="6">
        <f>AVERAGE(B18:M18)</f>
        <v>954.83333333333337</v>
      </c>
      <c r="O18" s="18"/>
      <c r="P18" s="53">
        <f>STDEV(B18:I18)</f>
        <v>289.80113255225803</v>
      </c>
      <c r="Q18" s="22">
        <v>51</v>
      </c>
      <c r="R18" s="22">
        <v>1</v>
      </c>
      <c r="S18" s="54">
        <f>SQRT(R18)*Q18*P18</f>
        <v>14779.85776016516</v>
      </c>
      <c r="T18" s="54">
        <f>N18*R18+S18</f>
        <v>15734.691093498494</v>
      </c>
      <c r="U18" s="12">
        <v>13.5</v>
      </c>
      <c r="V18" s="13">
        <v>15</v>
      </c>
      <c r="W18" s="55">
        <f>U18*$AB$2/0.8</f>
        <v>2.5312499999999996</v>
      </c>
      <c r="X18" s="56">
        <f>SQRT((2*V18*N18*53)/W18)</f>
        <v>774.45257448307109</v>
      </c>
      <c r="Y18" s="56">
        <f>S18+X18/2</f>
        <v>15167.084047406695</v>
      </c>
      <c r="Z18" s="57">
        <f>X18+S18</f>
        <v>15554.310334648231</v>
      </c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</row>
    <row r="19" spans="1:38" x14ac:dyDescent="0.2"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</row>
  </sheetData>
  <mergeCells count="2">
    <mergeCell ref="P1:Z1"/>
    <mergeCell ref="B1:N1"/>
  </mergeCells>
  <phoneticPr fontId="3" type="noConversion"/>
  <printOptions horizontalCentered="1"/>
  <pageMargins left="0.19685039370078741" right="0.19685039370078741" top="0.98425196850393704" bottom="0.98425196850393704" header="0.51181102362204722" footer="0.51181102362204722"/>
  <pageSetup paperSize="9" scale="97" fitToWidth="2" orientation="landscape" horizontalDpi="360" verticalDpi="360" r:id="rId1"/>
  <headerFooter alignWithMargins="0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90B2E61-8F0E-4ABC-9D52-55568A5148C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Plan1!B3:M3</xm:f>
              <xm:sqref>O3</xm:sqref>
            </x14:sparkline>
            <x14:sparkline>
              <xm:f>Plan1!B4:M4</xm:f>
              <xm:sqref>O4</xm:sqref>
            </x14:sparkline>
            <x14:sparkline>
              <xm:f>Plan1!B5:M5</xm:f>
              <xm:sqref>O5</xm:sqref>
            </x14:sparkline>
            <x14:sparkline>
              <xm:f>Plan1!B6:M6</xm:f>
              <xm:sqref>O6</xm:sqref>
            </x14:sparkline>
            <x14:sparkline>
              <xm:f>Plan1!B7:M7</xm:f>
              <xm:sqref>O7</xm:sqref>
            </x14:sparkline>
            <x14:sparkline>
              <xm:f>Plan1!B8:M8</xm:f>
              <xm:sqref>O8</xm:sqref>
            </x14:sparkline>
            <x14:sparkline>
              <xm:f>Plan1!B9:M9</xm:f>
              <xm:sqref>O9</xm:sqref>
            </x14:sparkline>
            <x14:sparkline>
              <xm:f>Plan1!B10:M10</xm:f>
              <xm:sqref>O10</xm:sqref>
            </x14:sparkline>
            <x14:sparkline>
              <xm:f>Plan1!B11:M11</xm:f>
              <xm:sqref>O11</xm:sqref>
            </x14:sparkline>
            <x14:sparkline>
              <xm:f>Plan1!B12:M12</xm:f>
              <xm:sqref>O12</xm:sqref>
            </x14:sparkline>
            <x14:sparkline>
              <xm:f>Plan1!B13:M13</xm:f>
              <xm:sqref>O13</xm:sqref>
            </x14:sparkline>
            <x14:sparkline>
              <xm:f>Plan1!B14:M14</xm:f>
              <xm:sqref>O14</xm:sqref>
            </x14:sparkline>
            <x14:sparkline>
              <xm:f>Plan1!B15:M15</xm:f>
              <xm:sqref>O15</xm:sqref>
            </x14:sparkline>
            <x14:sparkline>
              <xm:f>Plan1!B16:M16</xm:f>
              <xm:sqref>O16</xm:sqref>
            </x14:sparkline>
            <x14:sparkline>
              <xm:f>Plan1!B17:M17</xm:f>
              <xm:sqref>O17</xm:sqref>
            </x14:sparkline>
            <x14:sparkline>
              <xm:f>Plan1!B18:M18</xm:f>
              <xm:sqref>O18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"/>
  <sheetViews>
    <sheetView workbookViewId="0">
      <selection activeCell="I16" sqref="A1:I16"/>
    </sheetView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F8F5-FD9F-42E0-B704-C3C53EF39C6C}">
  <dimension ref="A1:U45"/>
  <sheetViews>
    <sheetView topLeftCell="A16" zoomScale="85" zoomScaleNormal="85" workbookViewId="0">
      <selection sqref="A1:U39"/>
    </sheetView>
  </sheetViews>
  <sheetFormatPr defaultColWidth="0" defaultRowHeight="15" customHeight="1" zeroHeight="1" x14ac:dyDescent="0.25"/>
  <cols>
    <col min="1" max="19" width="8.85546875" style="49" customWidth="1"/>
    <col min="20" max="20" width="9" style="49" customWidth="1"/>
    <col min="21" max="21" width="1.42578125" style="49" customWidth="1"/>
    <col min="22" max="16384" width="8.85546875" style="49" hidden="1"/>
  </cols>
  <sheetData>
    <row r="1" spans="1:2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</row>
    <row r="2" spans="1:2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21" x14ac:dyDescent="0.25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</row>
    <row r="4" spans="1:2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</row>
    <row r="5" spans="1:21" x14ac:dyDescent="0.25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</row>
    <row r="6" spans="1:21" x14ac:dyDescent="0.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</row>
    <row r="7" spans="1:21" x14ac:dyDescent="0.25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</row>
    <row r="8" spans="1:21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</row>
    <row r="9" spans="1:21" x14ac:dyDescent="0.25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</row>
    <row r="10" spans="1:21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</row>
    <row r="11" spans="1:21" x14ac:dyDescent="0.25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</row>
    <row r="12" spans="1:21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</row>
    <row r="13" spans="1:21" x14ac:dyDescent="0.25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</row>
    <row r="14" spans="1:21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</row>
    <row r="15" spans="1:21" x14ac:dyDescent="0.2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</row>
    <row r="16" spans="1:21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</row>
    <row r="17" spans="1:21" x14ac:dyDescent="0.25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</row>
    <row r="18" spans="1:21" x14ac:dyDescent="0.25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</row>
    <row r="19" spans="1:21" x14ac:dyDescent="0.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</row>
    <row r="20" spans="1:21" x14ac:dyDescent="0.25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</row>
    <row r="21" spans="1:21" x14ac:dyDescent="0.25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</row>
    <row r="22" spans="1:21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</row>
    <row r="23" spans="1:21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</row>
    <row r="24" spans="1:21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</row>
    <row r="25" spans="1:2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</row>
    <row r="26" spans="1:21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</row>
    <row r="27" spans="1:21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</row>
    <row r="28" spans="1:21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</row>
    <row r="29" spans="1:21" x14ac:dyDescent="0.25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</row>
    <row r="30" spans="1:21" x14ac:dyDescent="0.25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</row>
    <row r="31" spans="1:2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</row>
    <row r="32" spans="1:21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</row>
    <row r="33" spans="1:2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</row>
    <row r="34" spans="1:21" x14ac:dyDescent="0.25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</row>
    <row r="35" spans="1:2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</row>
    <row r="36" spans="1:21" x14ac:dyDescent="0.25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</row>
    <row r="37" spans="1:21" x14ac:dyDescent="0.25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</row>
    <row r="38" spans="1:21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</row>
    <row r="39" spans="1:21" x14ac:dyDescent="0.25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</row>
    <row r="40" spans="1:21" hidden="1" x14ac:dyDescent="0.25"/>
    <row r="41" spans="1:21" hidden="1" x14ac:dyDescent="0.25"/>
    <row r="42" spans="1:21" hidden="1" x14ac:dyDescent="0.25"/>
    <row r="43" spans="1:21" hidden="1" x14ac:dyDescent="0.25"/>
    <row r="44" spans="1:21" hidden="1" x14ac:dyDescent="0.25"/>
    <row r="45" spans="1:21" hidden="1" x14ac:dyDescent="0.25"/>
  </sheetData>
  <sheetProtection algorithmName="SHA-512" hashValue="cbhGefmSalz3lemg8wRSJmN7TSoGmmrkYsNsEqJDkgz3aiq0+YP6m5rVWkBQ9Hw2YQIhFjmYkCQIj6WzJ2ZQqg==" saltValue="LaB9ROByIwzZGI6XpRwKAw==" spinCount="100000" sheet="1" objects="1" scenario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Plan1</vt:lpstr>
      <vt:lpstr>Plan2</vt:lpstr>
      <vt:lpstr>Plan3</vt:lpstr>
      <vt:lpstr>Sobre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Ahvener</dc:creator>
  <cp:lastModifiedBy>Guilherme</cp:lastModifiedBy>
  <cp:lastPrinted>2008-10-01T14:08:00Z</cp:lastPrinted>
  <dcterms:created xsi:type="dcterms:W3CDTF">2007-09-19T18:00:35Z</dcterms:created>
  <dcterms:modified xsi:type="dcterms:W3CDTF">2020-07-17T23:51:27Z</dcterms:modified>
</cp:coreProperties>
</file>