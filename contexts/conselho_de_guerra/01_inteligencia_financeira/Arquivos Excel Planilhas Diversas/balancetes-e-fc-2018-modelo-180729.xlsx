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/>
  <mc:AlternateContent xmlns:mc="http://schemas.openxmlformats.org/markup-compatibility/2006">
    <mc:Choice Requires="x15">
      <x15ac:absPath xmlns:x15ac="http://schemas.microsoft.com/office/spreadsheetml/2010/11/ac" url="F:\denise\Denise HDExt\Ciências Contábeis EAD\"/>
    </mc:Choice>
  </mc:AlternateContent>
  <xr:revisionPtr revIDLastSave="0" documentId="13_ncr:40009_{D1A16F6A-BDAE-41B9-BAE0-22698CA977CF}" xr6:coauthVersionLast="34" xr6:coauthVersionMax="34" xr10:uidLastSave="{00000000-0000-0000-0000-000000000000}"/>
  <bookViews>
    <workbookView xWindow="90" yWindow="32760" windowWidth="16125" windowHeight="9705" tabRatio="761" firstSheet="2" activeTab="12"/>
  </bookViews>
  <sheets>
    <sheet name="Janeiro" sheetId="3" r:id="rId1"/>
    <sheet name="Fevereiro" sheetId="13" r:id="rId2"/>
    <sheet name=" Março" sheetId="14" r:id="rId3"/>
    <sheet name="Abril" sheetId="4" r:id="rId4"/>
    <sheet name="Maio" sheetId="5" r:id="rId5"/>
    <sheet name="Junho" sheetId="6" r:id="rId6"/>
    <sheet name="Julho" sheetId="7" r:id="rId7"/>
    <sheet name="Agosto" sheetId="8" r:id="rId8"/>
    <sheet name="Setembro" sheetId="9" r:id="rId9"/>
    <sheet name="Outubro" sheetId="10" r:id="rId10"/>
    <sheet name="Novembro" sheetId="11" r:id="rId11"/>
    <sheet name="Dezembro" sheetId="12" r:id="rId12"/>
    <sheet name="Fluxo Contábil" sheetId="1" r:id="rId13"/>
  </sheets>
  <definedNames>
    <definedName name="_xlnm.Print_Area" localSheetId="12">'Fluxo Contábil'!$A$1:$M$33</definedName>
  </definedNames>
  <calcPr calcId="179017"/>
</workbook>
</file>

<file path=xl/calcChain.xml><?xml version="1.0" encoding="utf-8"?>
<calcChain xmlns="http://schemas.openxmlformats.org/spreadsheetml/2006/main">
  <c r="B12" i="12" l="1"/>
  <c r="B12" i="11"/>
  <c r="B12" i="10"/>
  <c r="B12" i="9"/>
  <c r="B12" i="8"/>
  <c r="B12" i="7"/>
  <c r="B12" i="6"/>
  <c r="B12" i="5"/>
  <c r="B12" i="4"/>
  <c r="B12" i="14"/>
  <c r="B21" i="14"/>
  <c r="B21" i="4"/>
  <c r="B23" i="4" s="1"/>
  <c r="B21" i="5"/>
  <c r="B21" i="6"/>
  <c r="B23" i="6" s="1"/>
  <c r="B21" i="7"/>
  <c r="B21" i="8"/>
  <c r="B21" i="9"/>
  <c r="B23" i="9" s="1"/>
  <c r="B21" i="10"/>
  <c r="B23" i="10" s="1"/>
  <c r="B21" i="11"/>
  <c r="B23" i="11" s="1"/>
  <c r="B12" i="13"/>
  <c r="B21" i="13"/>
  <c r="B21" i="3"/>
  <c r="B12" i="3"/>
  <c r="B21" i="12"/>
  <c r="B23" i="12" s="1"/>
  <c r="M20" i="1"/>
  <c r="M30" i="1"/>
  <c r="L30" i="1"/>
  <c r="L20" i="1"/>
  <c r="K30" i="1"/>
  <c r="K31" i="1" s="1"/>
  <c r="K20" i="1"/>
  <c r="J30" i="1"/>
  <c r="J31" i="1" s="1"/>
  <c r="J20" i="1"/>
  <c r="I30" i="1"/>
  <c r="I20" i="1"/>
  <c r="H30" i="1"/>
  <c r="H20" i="1"/>
  <c r="G30" i="1"/>
  <c r="G20" i="1"/>
  <c r="F30" i="1"/>
  <c r="F20" i="1"/>
  <c r="E30" i="1"/>
  <c r="E20" i="1"/>
  <c r="D30" i="1"/>
  <c r="D20" i="1"/>
  <c r="C30" i="1"/>
  <c r="C20" i="1"/>
  <c r="B30" i="1"/>
  <c r="B20" i="1"/>
  <c r="B23" i="8"/>
  <c r="L31" i="1" l="1"/>
  <c r="I31" i="1"/>
  <c r="M31" i="1"/>
  <c r="B23" i="3"/>
  <c r="B25" i="3" s="1"/>
  <c r="B24" i="13" s="1"/>
  <c r="B23" i="7"/>
  <c r="B23" i="5"/>
  <c r="B23" i="14"/>
  <c r="B23" i="13"/>
  <c r="H31" i="1"/>
  <c r="G31" i="1"/>
  <c r="F31" i="1"/>
  <c r="E31" i="1"/>
  <c r="D31" i="1"/>
  <c r="C31" i="1"/>
  <c r="B33" i="1"/>
  <c r="C32" i="1" s="1"/>
  <c r="C33" i="1" s="1"/>
  <c r="D32" i="1" s="1"/>
  <c r="D33" i="1" s="1"/>
  <c r="E32" i="1" s="1"/>
  <c r="E33" i="1" s="1"/>
  <c r="F32" i="1" s="1"/>
  <c r="F33" i="1" s="1"/>
  <c r="G32" i="1" s="1"/>
  <c r="G33" i="1" s="1"/>
  <c r="H32" i="1" s="1"/>
  <c r="H33" i="1" s="1"/>
  <c r="I32" i="1" s="1"/>
  <c r="I33" i="1" s="1"/>
  <c r="J32" i="1" s="1"/>
  <c r="J33" i="1" s="1"/>
  <c r="K32" i="1" s="1"/>
  <c r="K33" i="1" s="1"/>
  <c r="L32" i="1" s="1"/>
  <c r="L33" i="1" s="1"/>
  <c r="M32" i="1" s="1"/>
  <c r="M33" i="1" s="1"/>
  <c r="B31" i="1"/>
  <c r="B25" i="13" l="1"/>
  <c r="B24" i="14" s="1"/>
  <c r="B25" i="14" s="1"/>
  <c r="B24" i="4" l="1"/>
  <c r="B25" i="4" s="1"/>
  <c r="B24" i="5" l="1"/>
  <c r="B25" i="5" s="1"/>
  <c r="B24" i="6" l="1"/>
  <c r="B25" i="6" s="1"/>
  <c r="B24" i="7" l="1"/>
  <c r="B25" i="7" s="1"/>
  <c r="B24" i="8" l="1"/>
  <c r="B25" i="8" s="1"/>
  <c r="B24" i="9" l="1"/>
  <c r="B25" i="9" s="1"/>
  <c r="B24" i="10" l="1"/>
  <c r="B25" i="10" s="1"/>
  <c r="B24" i="11" l="1"/>
  <c r="B25" i="11" s="1"/>
  <c r="B24" i="12" s="1"/>
  <c r="B25" i="12" s="1"/>
</calcChain>
</file>

<file path=xl/sharedStrings.xml><?xml version="1.0" encoding="utf-8"?>
<sst xmlns="http://schemas.openxmlformats.org/spreadsheetml/2006/main" count="332" uniqueCount="100">
  <si>
    <t>JAN</t>
  </si>
  <si>
    <t>MAR</t>
  </si>
  <si>
    <t>JUN</t>
  </si>
  <si>
    <t>JUL</t>
  </si>
  <si>
    <t>SET</t>
  </si>
  <si>
    <t>DEZ</t>
  </si>
  <si>
    <t>ABRIL</t>
  </si>
  <si>
    <t>MAI</t>
  </si>
  <si>
    <t xml:space="preserve">OUT </t>
  </si>
  <si>
    <t xml:space="preserve">NOV </t>
  </si>
  <si>
    <t>TOTAL DAS DESPESAS</t>
  </si>
  <si>
    <t>TOTAL RECEBIMENTOS</t>
  </si>
  <si>
    <t>FEV</t>
  </si>
  <si>
    <t>Conservadora</t>
  </si>
  <si>
    <t>Cond Apto 101</t>
  </si>
  <si>
    <t>Cond Apto 302</t>
  </si>
  <si>
    <t>Cond Apto 301</t>
  </si>
  <si>
    <t>Cond Apto 102</t>
  </si>
  <si>
    <t>Cond Apto 201</t>
  </si>
  <si>
    <t>Multas</t>
  </si>
  <si>
    <t>RECEITAS</t>
  </si>
  <si>
    <t>DESPESAS</t>
  </si>
  <si>
    <t>Saldo Anterior</t>
  </si>
  <si>
    <t>SALDO ATUAL</t>
  </si>
  <si>
    <t>Cemig</t>
  </si>
  <si>
    <t>Copasa</t>
  </si>
  <si>
    <t>Balanço Mensal</t>
  </si>
  <si>
    <t>Receitas</t>
  </si>
  <si>
    <t>Taxas de Condomínio</t>
  </si>
  <si>
    <t>Fundo de reserva</t>
  </si>
  <si>
    <t>Taxas de Condomínio atrasadas</t>
  </si>
  <si>
    <t>Outros recebimentos</t>
  </si>
  <si>
    <t>Despesas</t>
  </si>
  <si>
    <t>Total de receitas</t>
  </si>
  <si>
    <t>Total de despesas</t>
  </si>
  <si>
    <t>Saldo do mês</t>
  </si>
  <si>
    <t>Saldo anterior</t>
  </si>
  <si>
    <t>Saldo atual</t>
  </si>
  <si>
    <t>xxx</t>
  </si>
  <si>
    <t>AGO</t>
  </si>
  <si>
    <t>Saldo no mês</t>
  </si>
  <si>
    <t>Moto-boy</t>
  </si>
  <si>
    <t>Manutenção do portão/elétrica</t>
  </si>
  <si>
    <t>Conserto de interfone</t>
  </si>
  <si>
    <t>Cond Apto 202</t>
  </si>
  <si>
    <t>Cond atrasados</t>
  </si>
  <si>
    <t>Pintor</t>
  </si>
  <si>
    <t>Material de escritório</t>
  </si>
  <si>
    <t>Extintores</t>
  </si>
  <si>
    <t>Material de limpeza</t>
  </si>
  <si>
    <t>Limpeza do lote</t>
  </si>
  <si>
    <t>Conservadora + INSS</t>
  </si>
  <si>
    <t>Material manutenção</t>
  </si>
  <si>
    <t>Material p/ jardinagem</t>
  </si>
  <si>
    <t>Manutenção elétrica</t>
  </si>
  <si>
    <t>Presente de Natal para faxineira</t>
  </si>
  <si>
    <t>Despesas diversas</t>
  </si>
  <si>
    <t>Tapetes para hall de entrada</t>
  </si>
  <si>
    <t>Mês: Janeiro/2018</t>
  </si>
  <si>
    <t>Mês: Fevereiro/2018</t>
  </si>
  <si>
    <t>Conserto fechadura do portão</t>
  </si>
  <si>
    <t>Mês: Março/2018</t>
  </si>
  <si>
    <t>Seguro obrigatório</t>
  </si>
  <si>
    <t>Mês: Abril/2018</t>
  </si>
  <si>
    <t>Síndica</t>
  </si>
  <si>
    <t>Conserto portão da garagem (desempenar/roldanas)</t>
  </si>
  <si>
    <t>Mês: Maio/2018</t>
  </si>
  <si>
    <t>Conserto portão da garagem (engrenagem/sensor)</t>
  </si>
  <si>
    <t>xxxx</t>
  </si>
  <si>
    <t>Seguro obrigatório (2ª parcela)</t>
  </si>
  <si>
    <t>Seguro obrigatório (3ª parcela)</t>
  </si>
  <si>
    <t>Seguro obrigatório (4ª parcela)</t>
  </si>
  <si>
    <t>Mês: Julho/2018</t>
  </si>
  <si>
    <t>Mês: Junho/2018</t>
  </si>
  <si>
    <t>Belo Horizonte, 01 de junho de 2018</t>
  </si>
  <si>
    <t>Poda de árvores</t>
  </si>
  <si>
    <t>Material/manutenção (Lâmpadas)</t>
  </si>
  <si>
    <t>Conserto portão (bobina/lingueta)</t>
  </si>
  <si>
    <t>Fluxo Contábil do Condomínio do Edifício X</t>
  </si>
  <si>
    <t>Belo Horizonte, 01 de fevereiro de 2018</t>
  </si>
  <si>
    <t>XXXXXXXXXXX</t>
  </si>
  <si>
    <t>Belo Horizonte, 01 de março de 2018</t>
  </si>
  <si>
    <t>Belo Horizonte, 01 de abril de 2018</t>
  </si>
  <si>
    <t>Condomínio do Edifício X</t>
  </si>
  <si>
    <t>Belo Horizonte, 01 de maio de 2018</t>
  </si>
  <si>
    <t>Belo Horizonte, 01 de julho de 2018</t>
  </si>
  <si>
    <t>Belo Horizonte, 01 de agosto de 2018</t>
  </si>
  <si>
    <t>Mês: Agosto/2018</t>
  </si>
  <si>
    <t>Belo Horizonte, 01 de setembro de 2018</t>
  </si>
  <si>
    <t>Mês: Setembro/2018</t>
  </si>
  <si>
    <t>Belo Horizonte, 01 de outubro de 2018</t>
  </si>
  <si>
    <t>Mês: Outubro/2018</t>
  </si>
  <si>
    <t>Belo Horizonte, 01 de novembro de 2018</t>
  </si>
  <si>
    <t>Mês: Novembro/2018</t>
  </si>
  <si>
    <t>Belo Horizonte, 01 de dezembro de 2018</t>
  </si>
  <si>
    <t>Mês: Dezembro/2018</t>
  </si>
  <si>
    <t>Belo Horizonte, 01 de janeiro 2019</t>
  </si>
  <si>
    <t>Bombeiro</t>
  </si>
  <si>
    <t>Eletricista</t>
  </si>
  <si>
    <t>Manutenção dos portões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</si>
</sst>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2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8"/>
      <name val="Arial"/>
    </font>
    <font>
      <b/>
      <i/>
      <sz val="14"/>
      <name val="Arial"/>
      <family val="2"/>
    </font>
    <font>
      <sz val="18"/>
      <name val="Arial"/>
      <family val="2"/>
    </font>
    <font>
      <sz val="14"/>
      <name val="Arial"/>
      <family val="2"/>
    </font>
    <font>
      <sz val="10"/>
      <name val="Arial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vertical="justify"/>
    </xf>
    <xf numFmtId="171" fontId="0" fillId="0" borderId="0" xfId="1" applyFont="1"/>
    <xf numFmtId="0" fontId="4" fillId="0" borderId="0" xfId="0" applyFont="1"/>
    <xf numFmtId="171" fontId="6" fillId="0" borderId="1" xfId="1" applyFont="1" applyBorder="1" applyAlignment="1">
      <alignment horizontal="center" vertical="center"/>
    </xf>
    <xf numFmtId="171" fontId="6" fillId="0" borderId="2" xfId="1" applyFont="1" applyBorder="1" applyAlignment="1">
      <alignment horizontal="center" vertical="center"/>
    </xf>
    <xf numFmtId="171" fontId="6" fillId="0" borderId="3" xfId="1" applyFont="1" applyBorder="1" applyAlignment="1">
      <alignment horizontal="center" vertical="center"/>
    </xf>
    <xf numFmtId="171" fontId="6" fillId="0" borderId="4" xfId="1" applyFont="1" applyBorder="1" applyAlignment="1">
      <alignment horizontal="center" vertical="center"/>
    </xf>
    <xf numFmtId="171" fontId="6" fillId="0" borderId="5" xfId="1" applyFont="1" applyBorder="1" applyAlignment="1">
      <alignment horizontal="center" vertical="center"/>
    </xf>
    <xf numFmtId="171" fontId="6" fillId="0" borderId="6" xfId="1" applyFont="1" applyBorder="1" applyAlignment="1">
      <alignment horizontal="center" vertical="center"/>
    </xf>
    <xf numFmtId="171" fontId="5" fillId="2" borderId="7" xfId="1" applyFont="1" applyFill="1" applyBorder="1" applyAlignment="1">
      <alignment horizontal="center" vertical="center"/>
    </xf>
    <xf numFmtId="171" fontId="5" fillId="2" borderId="8" xfId="1" applyFont="1" applyFill="1" applyBorder="1" applyAlignment="1">
      <alignment horizontal="center" vertical="center"/>
    </xf>
    <xf numFmtId="171" fontId="5" fillId="2" borderId="9" xfId="1" applyFont="1" applyFill="1" applyBorder="1" applyAlignment="1">
      <alignment horizontal="center" vertical="center"/>
    </xf>
    <xf numFmtId="171" fontId="6" fillId="0" borderId="10" xfId="1" applyFont="1" applyBorder="1" applyAlignment="1">
      <alignment horizontal="center" vertical="center"/>
    </xf>
    <xf numFmtId="171" fontId="6" fillId="0" borderId="11" xfId="1" applyFont="1" applyBorder="1" applyAlignment="1">
      <alignment horizontal="center" vertical="center"/>
    </xf>
    <xf numFmtId="171" fontId="6" fillId="0" borderId="12" xfId="1" applyFont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5" fillId="3" borderId="16" xfId="0" applyFont="1" applyFill="1" applyBorder="1" applyAlignment="1">
      <alignment horizontal="left" vertical="center"/>
    </xf>
    <xf numFmtId="171" fontId="2" fillId="0" borderId="17" xfId="1" applyFont="1" applyBorder="1" applyAlignment="1">
      <alignment horizontal="center" vertical="center"/>
    </xf>
    <xf numFmtId="171" fontId="2" fillId="0" borderId="18" xfId="1" applyFont="1" applyBorder="1" applyAlignment="1">
      <alignment horizontal="center" vertical="center"/>
    </xf>
    <xf numFmtId="171" fontId="2" fillId="0" borderId="19" xfId="1" applyFont="1" applyBorder="1" applyAlignment="1">
      <alignment horizontal="center" vertical="center"/>
    </xf>
    <xf numFmtId="171" fontId="6" fillId="0" borderId="20" xfId="1" applyFont="1" applyBorder="1" applyAlignment="1">
      <alignment horizontal="center" vertical="center"/>
    </xf>
    <xf numFmtId="171" fontId="6" fillId="0" borderId="21" xfId="1" applyFont="1" applyBorder="1" applyAlignment="1">
      <alignment horizontal="center" vertical="center"/>
    </xf>
    <xf numFmtId="171" fontId="6" fillId="0" borderId="22" xfId="1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/>
    </xf>
    <xf numFmtId="0" fontId="5" fillId="3" borderId="24" xfId="0" applyFont="1" applyFill="1" applyBorder="1" applyAlignment="1">
      <alignment horizontal="left" vertical="center"/>
    </xf>
    <xf numFmtId="0" fontId="5" fillId="3" borderId="25" xfId="0" applyFont="1" applyFill="1" applyBorder="1" applyAlignment="1">
      <alignment horizontal="left" vertical="center"/>
    </xf>
    <xf numFmtId="0" fontId="5" fillId="3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7" fillId="0" borderId="0" xfId="0" applyFont="1"/>
    <xf numFmtId="0" fontId="4" fillId="0" borderId="7" xfId="0" applyFont="1" applyBorder="1" applyAlignment="1">
      <alignment horizontal="right" vertical="center"/>
    </xf>
    <xf numFmtId="0" fontId="8" fillId="0" borderId="28" xfId="0" applyFont="1" applyBorder="1" applyAlignment="1">
      <alignment vertical="center"/>
    </xf>
    <xf numFmtId="0" fontId="0" fillId="0" borderId="29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0" fillId="0" borderId="15" xfId="0" applyFont="1" applyBorder="1" applyAlignment="1">
      <alignment vertical="center"/>
    </xf>
    <xf numFmtId="0" fontId="8" fillId="0" borderId="30" xfId="0" applyFont="1" applyBorder="1" applyAlignment="1">
      <alignment horizontal="center" vertical="center"/>
    </xf>
    <xf numFmtId="0" fontId="7" fillId="0" borderId="28" xfId="0" applyFont="1" applyBorder="1" applyAlignment="1">
      <alignment horizontal="right" vertical="center"/>
    </xf>
    <xf numFmtId="171" fontId="7" fillId="0" borderId="12" xfId="1" applyFont="1" applyBorder="1" applyAlignment="1">
      <alignment horizontal="center" vertical="center"/>
    </xf>
    <xf numFmtId="171" fontId="7" fillId="0" borderId="3" xfId="1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7" xfId="0" applyFont="1" applyFill="1" applyBorder="1" applyAlignment="1">
      <alignment horizontal="right" vertical="center"/>
    </xf>
    <xf numFmtId="171" fontId="7" fillId="0" borderId="3" xfId="0" applyNumberFormat="1" applyFont="1" applyBorder="1" applyAlignment="1">
      <alignment vertical="center"/>
    </xf>
    <xf numFmtId="171" fontId="7" fillId="0" borderId="22" xfId="0" applyNumberFormat="1" applyFont="1" applyBorder="1" applyAlignment="1">
      <alignment vertical="center"/>
    </xf>
    <xf numFmtId="171" fontId="7" fillId="0" borderId="9" xfId="0" applyNumberFormat="1" applyFont="1" applyBorder="1" applyAlignment="1">
      <alignment vertical="center"/>
    </xf>
    <xf numFmtId="171" fontId="7" fillId="0" borderId="29" xfId="0" applyNumberFormat="1" applyFont="1" applyBorder="1" applyAlignment="1">
      <alignment vertical="center"/>
    </xf>
    <xf numFmtId="171" fontId="7" fillId="0" borderId="6" xfId="0" applyNumberFormat="1" applyFont="1" applyBorder="1" applyAlignment="1">
      <alignment vertical="center"/>
    </xf>
    <xf numFmtId="171" fontId="7" fillId="0" borderId="12" xfId="1" applyNumberFormat="1" applyFont="1" applyBorder="1" applyAlignment="1">
      <alignment horizontal="center" vertical="center"/>
    </xf>
    <xf numFmtId="171" fontId="7" fillId="0" borderId="3" xfId="1" applyNumberFormat="1" applyFont="1" applyBorder="1" applyAlignment="1">
      <alignment horizontal="center" vertical="center"/>
    </xf>
    <xf numFmtId="0" fontId="5" fillId="3" borderId="31" xfId="0" applyFont="1" applyFill="1" applyBorder="1" applyAlignment="1">
      <alignment horizontal="left" vertical="center"/>
    </xf>
    <xf numFmtId="171" fontId="6" fillId="0" borderId="32" xfId="1" applyFont="1" applyBorder="1" applyAlignment="1">
      <alignment horizontal="center" vertical="center"/>
    </xf>
    <xf numFmtId="171" fontId="6" fillId="0" borderId="33" xfId="1" applyFont="1" applyBorder="1" applyAlignment="1">
      <alignment horizontal="center" vertical="center"/>
    </xf>
    <xf numFmtId="171" fontId="6" fillId="0" borderId="34" xfId="1" applyFont="1" applyBorder="1" applyAlignment="1">
      <alignment horizontal="center" vertical="center"/>
    </xf>
    <xf numFmtId="171" fontId="5" fillId="3" borderId="7" xfId="1" applyFont="1" applyFill="1" applyBorder="1" applyAlignment="1">
      <alignment horizontal="center" vertical="center"/>
    </xf>
    <xf numFmtId="171" fontId="5" fillId="3" borderId="8" xfId="1" applyFont="1" applyFill="1" applyBorder="1" applyAlignment="1">
      <alignment horizontal="center" vertical="center"/>
    </xf>
    <xf numFmtId="171" fontId="6" fillId="0" borderId="3" xfId="1" applyFont="1" applyFill="1" applyBorder="1" applyAlignment="1">
      <alignment horizontal="center" vertical="center"/>
    </xf>
    <xf numFmtId="171" fontId="5" fillId="3" borderId="9" xfId="1" applyFont="1" applyFill="1" applyBorder="1" applyAlignment="1">
      <alignment horizontal="center" vertical="center"/>
    </xf>
    <xf numFmtId="0" fontId="13" fillId="0" borderId="15" xfId="0" applyFont="1" applyBorder="1" applyAlignment="1">
      <alignment vertical="center"/>
    </xf>
    <xf numFmtId="0" fontId="15" fillId="0" borderId="0" xfId="0" applyFont="1"/>
    <xf numFmtId="0" fontId="16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4" fillId="0" borderId="28" xfId="0" applyFont="1" applyBorder="1" applyAlignment="1">
      <alignment vertical="center"/>
    </xf>
    <xf numFmtId="0" fontId="15" fillId="0" borderId="29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171" fontId="18" fillId="0" borderId="3" xfId="0" applyNumberFormat="1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171" fontId="18" fillId="0" borderId="22" xfId="0" applyNumberFormat="1" applyFont="1" applyBorder="1" applyAlignment="1">
      <alignment vertical="center"/>
    </xf>
    <xf numFmtId="0" fontId="17" fillId="0" borderId="7" xfId="0" applyFont="1" applyBorder="1" applyAlignment="1">
      <alignment horizontal="right" vertical="center"/>
    </xf>
    <xf numFmtId="171" fontId="18" fillId="0" borderId="9" xfId="0" applyNumberFormat="1" applyFont="1" applyBorder="1" applyAlignment="1">
      <alignment vertical="center"/>
    </xf>
    <xf numFmtId="171" fontId="18" fillId="0" borderId="12" xfId="1" applyFont="1" applyBorder="1" applyAlignment="1">
      <alignment horizontal="center" vertical="center"/>
    </xf>
    <xf numFmtId="171" fontId="18" fillId="0" borderId="3" xfId="1" applyFont="1" applyBorder="1" applyAlignment="1">
      <alignment horizontal="center" vertical="center"/>
    </xf>
    <xf numFmtId="0" fontId="18" fillId="0" borderId="28" xfId="0" applyFont="1" applyBorder="1" applyAlignment="1">
      <alignment horizontal="right" vertical="center"/>
    </xf>
    <xf numFmtId="171" fontId="18" fillId="0" borderId="29" xfId="0" applyNumberFormat="1" applyFont="1" applyBorder="1" applyAlignment="1">
      <alignment vertical="center"/>
    </xf>
    <xf numFmtId="0" fontId="18" fillId="0" borderId="4" xfId="0" applyFont="1" applyBorder="1" applyAlignment="1">
      <alignment horizontal="right" vertical="center"/>
    </xf>
    <xf numFmtId="171" fontId="18" fillId="0" borderId="6" xfId="0" applyNumberFormat="1" applyFont="1" applyBorder="1" applyAlignment="1">
      <alignment vertical="center"/>
    </xf>
    <xf numFmtId="0" fontId="18" fillId="0" borderId="7" xfId="0" applyFont="1" applyFill="1" applyBorder="1" applyAlignment="1">
      <alignment horizontal="right" vertical="center"/>
    </xf>
    <xf numFmtId="0" fontId="18" fillId="0" borderId="0" xfId="0" applyFont="1"/>
    <xf numFmtId="0" fontId="1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2" fillId="0" borderId="27" xfId="0" applyFont="1" applyBorder="1" applyAlignment="1">
      <alignment horizontal="center" vertical="justify"/>
    </xf>
    <xf numFmtId="0" fontId="12" fillId="0" borderId="35" xfId="0" applyFont="1" applyBorder="1" applyAlignment="1">
      <alignment horizontal="center" vertical="justify"/>
    </xf>
    <xf numFmtId="0" fontId="12" fillId="0" borderId="36" xfId="0" applyFont="1" applyBorder="1" applyAlignment="1">
      <alignment horizontal="center" vertical="justify"/>
    </xf>
    <xf numFmtId="171" fontId="2" fillId="0" borderId="37" xfId="1" applyFont="1" applyBorder="1" applyAlignment="1">
      <alignment horizontal="center" vertical="center"/>
    </xf>
    <xf numFmtId="171" fontId="2" fillId="0" borderId="38" xfId="1" applyFont="1" applyBorder="1" applyAlignment="1">
      <alignment horizontal="center" vertical="center"/>
    </xf>
    <xf numFmtId="171" fontId="2" fillId="0" borderId="39" xfId="1" applyFont="1" applyBorder="1" applyAlignment="1">
      <alignment horizontal="center" vertical="center"/>
    </xf>
    <xf numFmtId="171" fontId="6" fillId="0" borderId="37" xfId="1" applyFont="1" applyBorder="1" applyAlignment="1">
      <alignment horizontal="center" vertical="center"/>
    </xf>
    <xf numFmtId="171" fontId="6" fillId="0" borderId="38" xfId="1" applyFont="1" applyBorder="1" applyAlignment="1">
      <alignment horizontal="center" vertical="center"/>
    </xf>
    <xf numFmtId="171" fontId="6" fillId="0" borderId="39" xfId="1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sqref="A1:B1"/>
    </sheetView>
  </sheetViews>
  <sheetFormatPr defaultRowHeight="12.75" x14ac:dyDescent="0.2"/>
  <cols>
    <col min="1" max="1" width="47.85546875" customWidth="1"/>
    <col min="2" max="2" width="25.5703125" customWidth="1"/>
  </cols>
  <sheetData>
    <row r="1" spans="1:2" ht="23.25" x14ac:dyDescent="0.35">
      <c r="A1" s="84" t="s">
        <v>83</v>
      </c>
      <c r="B1" s="84"/>
    </row>
    <row r="2" spans="1:2" ht="23.25" x14ac:dyDescent="0.35">
      <c r="A2" s="81"/>
      <c r="B2" s="81"/>
    </row>
    <row r="3" spans="1:2" ht="13.5" thickBot="1" x14ac:dyDescent="0.25"/>
    <row r="4" spans="1:2" ht="30" customHeight="1" thickBot="1" x14ac:dyDescent="0.25">
      <c r="A4" s="39" t="s">
        <v>26</v>
      </c>
      <c r="B4" s="40" t="s">
        <v>58</v>
      </c>
    </row>
    <row r="5" spans="1:2" ht="12" customHeight="1" thickBot="1" x14ac:dyDescent="0.25">
      <c r="A5" s="37"/>
      <c r="B5" s="38"/>
    </row>
    <row r="6" spans="1:2" ht="24" customHeight="1" x14ac:dyDescent="0.2">
      <c r="A6" s="33" t="s">
        <v>27</v>
      </c>
      <c r="B6" s="34"/>
    </row>
    <row r="7" spans="1:2" ht="20.100000000000001" customHeight="1" x14ac:dyDescent="0.2">
      <c r="A7" s="35" t="s">
        <v>28</v>
      </c>
      <c r="B7" s="46">
        <v>0</v>
      </c>
    </row>
    <row r="8" spans="1:2" ht="20.100000000000001" customHeight="1" x14ac:dyDescent="0.2">
      <c r="A8" s="35" t="s">
        <v>19</v>
      </c>
      <c r="B8" s="46">
        <v>0</v>
      </c>
    </row>
    <row r="9" spans="1:2" ht="20.100000000000001" customHeight="1" x14ac:dyDescent="0.2">
      <c r="A9" s="35" t="s">
        <v>30</v>
      </c>
      <c r="B9" s="46">
        <v>0</v>
      </c>
    </row>
    <row r="10" spans="1:2" ht="20.100000000000001" customHeight="1" x14ac:dyDescent="0.2">
      <c r="A10" s="35" t="s">
        <v>29</v>
      </c>
      <c r="B10" s="46">
        <v>0</v>
      </c>
    </row>
    <row r="11" spans="1:2" ht="20.100000000000001" customHeight="1" thickBot="1" x14ac:dyDescent="0.25">
      <c r="A11" s="36" t="s">
        <v>31</v>
      </c>
      <c r="B11" s="47">
        <v>0</v>
      </c>
    </row>
    <row r="12" spans="1:2" ht="20.100000000000001" customHeight="1" thickBot="1" x14ac:dyDescent="0.25">
      <c r="A12" s="32" t="s">
        <v>33</v>
      </c>
      <c r="B12" s="48">
        <f>SUM(B7:B11)</f>
        <v>0</v>
      </c>
    </row>
    <row r="13" spans="1:2" ht="18" customHeight="1" thickBot="1" x14ac:dyDescent="0.25">
      <c r="A13" s="38"/>
      <c r="B13" s="38"/>
    </row>
    <row r="14" spans="1:2" ht="24" customHeight="1" x14ac:dyDescent="0.2">
      <c r="A14" s="33" t="s">
        <v>32</v>
      </c>
      <c r="B14" s="34"/>
    </row>
    <row r="15" spans="1:2" ht="19.5" customHeight="1" x14ac:dyDescent="0.2">
      <c r="A15" s="35" t="s">
        <v>24</v>
      </c>
      <c r="B15" s="51">
        <v>0</v>
      </c>
    </row>
    <row r="16" spans="1:2" ht="20.100000000000001" customHeight="1" x14ac:dyDescent="0.2">
      <c r="A16" s="35" t="s">
        <v>25</v>
      </c>
      <c r="B16" s="52">
        <v>0</v>
      </c>
    </row>
    <row r="17" spans="1:2" ht="20.100000000000001" customHeight="1" x14ac:dyDescent="0.2">
      <c r="A17" s="35" t="s">
        <v>13</v>
      </c>
      <c r="B17" s="52">
        <v>0</v>
      </c>
    </row>
    <row r="18" spans="1:2" ht="20.100000000000001" customHeight="1" x14ac:dyDescent="0.2">
      <c r="A18" s="35" t="s">
        <v>57</v>
      </c>
      <c r="B18" s="46">
        <v>0</v>
      </c>
    </row>
    <row r="19" spans="1:2" ht="20.100000000000001" customHeight="1" x14ac:dyDescent="0.2">
      <c r="A19" s="35" t="s">
        <v>49</v>
      </c>
      <c r="B19" s="46">
        <v>0</v>
      </c>
    </row>
    <row r="20" spans="1:2" ht="20.100000000000001" customHeight="1" thickBot="1" x14ac:dyDescent="0.25">
      <c r="A20" s="36" t="s">
        <v>38</v>
      </c>
      <c r="B20" s="47">
        <v>0</v>
      </c>
    </row>
    <row r="21" spans="1:2" ht="20.100000000000001" customHeight="1" thickBot="1" x14ac:dyDescent="0.25">
      <c r="A21" s="32" t="s">
        <v>34</v>
      </c>
      <c r="B21" s="48">
        <f>SUM(B15:B20)</f>
        <v>0</v>
      </c>
    </row>
    <row r="22" spans="1:2" ht="13.5" thickBot="1" x14ac:dyDescent="0.25"/>
    <row r="23" spans="1:2" ht="20.100000000000001" customHeight="1" x14ac:dyDescent="0.2">
      <c r="A23" s="41" t="s">
        <v>35</v>
      </c>
      <c r="B23" s="49">
        <f>B12-B21</f>
        <v>0</v>
      </c>
    </row>
    <row r="24" spans="1:2" ht="20.100000000000001" customHeight="1" thickBot="1" x14ac:dyDescent="0.25">
      <c r="A24" s="44" t="s">
        <v>36</v>
      </c>
      <c r="B24" s="50">
        <v>0</v>
      </c>
    </row>
    <row r="25" spans="1:2" ht="20.100000000000001" customHeight="1" thickBot="1" x14ac:dyDescent="0.25">
      <c r="A25" s="45" t="s">
        <v>37</v>
      </c>
      <c r="B25" s="48">
        <f>B23+B24</f>
        <v>0</v>
      </c>
    </row>
    <row r="29" spans="1:2" ht="15" x14ac:dyDescent="0.2">
      <c r="A29" s="83" t="s">
        <v>79</v>
      </c>
      <c r="B29" s="83"/>
    </row>
    <row r="30" spans="1:2" ht="15" x14ac:dyDescent="0.2">
      <c r="A30" s="31"/>
    </row>
    <row r="31" spans="1:2" ht="15" x14ac:dyDescent="0.2">
      <c r="A31" s="31"/>
    </row>
    <row r="32" spans="1:2" ht="15" x14ac:dyDescent="0.2">
      <c r="A32" s="83" t="s">
        <v>80</v>
      </c>
      <c r="B32" s="83"/>
    </row>
    <row r="33" spans="1:2" ht="15" x14ac:dyDescent="0.2">
      <c r="A33" s="83" t="s">
        <v>64</v>
      </c>
      <c r="B33" s="83"/>
    </row>
  </sheetData>
  <mergeCells count="4">
    <mergeCell ref="A29:B29"/>
    <mergeCell ref="A32:B32"/>
    <mergeCell ref="A33:B33"/>
    <mergeCell ref="A1:B1"/>
  </mergeCells>
  <phoneticPr fontId="11" type="noConversion"/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sqref="A1:B1"/>
    </sheetView>
  </sheetViews>
  <sheetFormatPr defaultRowHeight="12.75" x14ac:dyDescent="0.2"/>
  <cols>
    <col min="1" max="1" width="47.85546875" customWidth="1"/>
    <col min="2" max="2" width="26.85546875" customWidth="1"/>
  </cols>
  <sheetData>
    <row r="1" spans="1:2" ht="23.25" x14ac:dyDescent="0.35">
      <c r="A1" s="84" t="s">
        <v>83</v>
      </c>
      <c r="B1" s="84"/>
    </row>
    <row r="2" spans="1:2" ht="23.25" x14ac:dyDescent="0.35">
      <c r="A2" s="81"/>
      <c r="B2" s="81"/>
    </row>
    <row r="3" spans="1:2" ht="13.5" thickBot="1" x14ac:dyDescent="0.25"/>
    <row r="4" spans="1:2" ht="30" customHeight="1" thickBot="1" x14ac:dyDescent="0.25">
      <c r="A4" s="39" t="s">
        <v>26</v>
      </c>
      <c r="B4" s="40" t="s">
        <v>59</v>
      </c>
    </row>
    <row r="5" spans="1:2" ht="12" customHeight="1" thickBot="1" x14ac:dyDescent="0.25">
      <c r="A5" s="37"/>
      <c r="B5" s="38"/>
    </row>
    <row r="6" spans="1:2" ht="24" customHeight="1" x14ac:dyDescent="0.2">
      <c r="A6" s="33" t="s">
        <v>27</v>
      </c>
      <c r="B6" s="34"/>
    </row>
    <row r="7" spans="1:2" ht="20.100000000000001" customHeight="1" x14ac:dyDescent="0.2">
      <c r="A7" s="35" t="s">
        <v>28</v>
      </c>
      <c r="B7" s="46">
        <v>0</v>
      </c>
    </row>
    <row r="8" spans="1:2" ht="20.100000000000001" customHeight="1" x14ac:dyDescent="0.2">
      <c r="A8" s="35" t="s">
        <v>19</v>
      </c>
      <c r="B8" s="46">
        <v>0</v>
      </c>
    </row>
    <row r="9" spans="1:2" ht="20.100000000000001" customHeight="1" x14ac:dyDescent="0.2">
      <c r="A9" s="35" t="s">
        <v>30</v>
      </c>
      <c r="B9" s="46">
        <v>0</v>
      </c>
    </row>
    <row r="10" spans="1:2" ht="20.100000000000001" customHeight="1" x14ac:dyDescent="0.2">
      <c r="A10" s="35" t="s">
        <v>29</v>
      </c>
      <c r="B10" s="46">
        <v>0</v>
      </c>
    </row>
    <row r="11" spans="1:2" ht="20.100000000000001" customHeight="1" thickBot="1" x14ac:dyDescent="0.25">
      <c r="A11" s="36" t="s">
        <v>31</v>
      </c>
      <c r="B11" s="47">
        <v>0</v>
      </c>
    </row>
    <row r="12" spans="1:2" ht="20.100000000000001" customHeight="1" thickBot="1" x14ac:dyDescent="0.25">
      <c r="A12" s="32" t="s">
        <v>33</v>
      </c>
      <c r="B12" s="48">
        <f>SUM(B7:B11)</f>
        <v>0</v>
      </c>
    </row>
    <row r="13" spans="1:2" ht="18" customHeight="1" thickBot="1" x14ac:dyDescent="0.25">
      <c r="A13" s="38"/>
      <c r="B13" s="38"/>
    </row>
    <row r="14" spans="1:2" ht="24" customHeight="1" x14ac:dyDescent="0.2">
      <c r="A14" s="33" t="s">
        <v>32</v>
      </c>
      <c r="B14" s="34"/>
    </row>
    <row r="15" spans="1:2" ht="19.5" customHeight="1" x14ac:dyDescent="0.2">
      <c r="A15" s="35" t="s">
        <v>24</v>
      </c>
      <c r="B15" s="51">
        <v>0</v>
      </c>
    </row>
    <row r="16" spans="1:2" ht="20.100000000000001" customHeight="1" x14ac:dyDescent="0.2">
      <c r="A16" s="35" t="s">
        <v>25</v>
      </c>
      <c r="B16" s="52">
        <v>0</v>
      </c>
    </row>
    <row r="17" spans="1:2" ht="20.100000000000001" customHeight="1" x14ac:dyDescent="0.2">
      <c r="A17" s="35" t="s">
        <v>13</v>
      </c>
      <c r="B17" s="52">
        <v>0</v>
      </c>
    </row>
    <row r="18" spans="1:2" ht="20.100000000000001" customHeight="1" x14ac:dyDescent="0.2">
      <c r="A18" s="35" t="s">
        <v>60</v>
      </c>
      <c r="B18" s="46">
        <v>0</v>
      </c>
    </row>
    <row r="19" spans="1:2" ht="20.100000000000001" customHeight="1" x14ac:dyDescent="0.2">
      <c r="A19" s="35" t="s">
        <v>38</v>
      </c>
      <c r="B19" s="46">
        <v>0</v>
      </c>
    </row>
    <row r="20" spans="1:2" ht="20.100000000000001" customHeight="1" thickBot="1" x14ac:dyDescent="0.25">
      <c r="A20" s="36" t="s">
        <v>38</v>
      </c>
      <c r="B20" s="47">
        <v>0</v>
      </c>
    </row>
    <row r="21" spans="1:2" ht="20.100000000000001" customHeight="1" thickBot="1" x14ac:dyDescent="0.25">
      <c r="A21" s="32" t="s">
        <v>34</v>
      </c>
      <c r="B21" s="48">
        <f>SUM(B15:B20)</f>
        <v>0</v>
      </c>
    </row>
    <row r="22" spans="1:2" ht="13.5" thickBot="1" x14ac:dyDescent="0.25"/>
    <row r="23" spans="1:2" ht="20.100000000000001" customHeight="1" x14ac:dyDescent="0.2">
      <c r="A23" s="41" t="s">
        <v>35</v>
      </c>
      <c r="B23" s="49">
        <f>B12-B21</f>
        <v>0</v>
      </c>
    </row>
    <row r="24" spans="1:2" ht="20.100000000000001" customHeight="1" thickBot="1" x14ac:dyDescent="0.25">
      <c r="A24" s="44" t="s">
        <v>36</v>
      </c>
      <c r="B24" s="50">
        <f>Janeiro!B25</f>
        <v>0</v>
      </c>
    </row>
    <row r="25" spans="1:2" ht="20.100000000000001" customHeight="1" thickBot="1" x14ac:dyDescent="0.25">
      <c r="A25" s="45" t="s">
        <v>37</v>
      </c>
      <c r="B25" s="48">
        <f>B23+B24</f>
        <v>0</v>
      </c>
    </row>
    <row r="29" spans="1:2" ht="15" x14ac:dyDescent="0.2">
      <c r="A29" s="83" t="s">
        <v>81</v>
      </c>
      <c r="B29" s="83"/>
    </row>
    <row r="30" spans="1:2" ht="15" x14ac:dyDescent="0.2">
      <c r="A30" s="31"/>
    </row>
    <row r="31" spans="1:2" ht="15" x14ac:dyDescent="0.2">
      <c r="A31" s="31"/>
    </row>
    <row r="32" spans="1:2" ht="15" x14ac:dyDescent="0.2">
      <c r="A32" s="83" t="s">
        <v>80</v>
      </c>
      <c r="B32" s="83"/>
    </row>
    <row r="33" spans="1:2" ht="15" x14ac:dyDescent="0.2">
      <c r="A33" s="83" t="s">
        <v>64</v>
      </c>
      <c r="B33" s="83"/>
    </row>
  </sheetData>
  <mergeCells count="4">
    <mergeCell ref="A29:B29"/>
    <mergeCell ref="A32:B32"/>
    <mergeCell ref="A33:B33"/>
    <mergeCell ref="A1:B1"/>
  </mergeCells>
  <phoneticPr fontId="11" type="noConversion"/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portrait" horizontalDpi="4294967295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sqref="A1:B1"/>
    </sheetView>
  </sheetViews>
  <sheetFormatPr defaultRowHeight="12.75" x14ac:dyDescent="0.2"/>
  <cols>
    <col min="1" max="1" width="47.85546875" customWidth="1"/>
    <col min="2" max="2" width="24.28515625" customWidth="1"/>
  </cols>
  <sheetData>
    <row r="1" spans="1:2" ht="23.25" x14ac:dyDescent="0.35">
      <c r="A1" s="84" t="s">
        <v>83</v>
      </c>
      <c r="B1" s="84"/>
    </row>
    <row r="2" spans="1:2" ht="23.25" x14ac:dyDescent="0.35">
      <c r="A2" s="81"/>
      <c r="B2" s="81"/>
    </row>
    <row r="3" spans="1:2" ht="13.5" thickBot="1" x14ac:dyDescent="0.25"/>
    <row r="4" spans="1:2" ht="30" customHeight="1" thickBot="1" x14ac:dyDescent="0.25">
      <c r="A4" s="39" t="s">
        <v>26</v>
      </c>
      <c r="B4" s="40" t="s">
        <v>61</v>
      </c>
    </row>
    <row r="5" spans="1:2" ht="12" customHeight="1" thickBot="1" x14ac:dyDescent="0.25">
      <c r="A5" s="37"/>
      <c r="B5" s="38"/>
    </row>
    <row r="6" spans="1:2" ht="24" customHeight="1" x14ac:dyDescent="0.2">
      <c r="A6" s="33" t="s">
        <v>27</v>
      </c>
      <c r="B6" s="34"/>
    </row>
    <row r="7" spans="1:2" ht="20.100000000000001" customHeight="1" x14ac:dyDescent="0.2">
      <c r="A7" s="35" t="s">
        <v>28</v>
      </c>
      <c r="B7" s="46">
        <v>0</v>
      </c>
    </row>
    <row r="8" spans="1:2" ht="20.100000000000001" customHeight="1" x14ac:dyDescent="0.2">
      <c r="A8" s="35" t="s">
        <v>19</v>
      </c>
      <c r="B8" s="46">
        <v>0</v>
      </c>
    </row>
    <row r="9" spans="1:2" ht="20.100000000000001" customHeight="1" x14ac:dyDescent="0.2">
      <c r="A9" s="35" t="s">
        <v>30</v>
      </c>
      <c r="B9" s="46">
        <v>0</v>
      </c>
    </row>
    <row r="10" spans="1:2" ht="20.100000000000001" customHeight="1" x14ac:dyDescent="0.2">
      <c r="A10" s="35" t="s">
        <v>29</v>
      </c>
      <c r="B10" s="46">
        <v>0</v>
      </c>
    </row>
    <row r="11" spans="1:2" ht="20.100000000000001" customHeight="1" thickBot="1" x14ac:dyDescent="0.25">
      <c r="A11" s="36" t="s">
        <v>31</v>
      </c>
      <c r="B11" s="47">
        <v>0</v>
      </c>
    </row>
    <row r="12" spans="1:2" ht="20.100000000000001" customHeight="1" thickBot="1" x14ac:dyDescent="0.25">
      <c r="A12" s="32" t="s">
        <v>33</v>
      </c>
      <c r="B12" s="48">
        <f>SUM(B7:B11)</f>
        <v>0</v>
      </c>
    </row>
    <row r="13" spans="1:2" ht="18" customHeight="1" thickBot="1" x14ac:dyDescent="0.25">
      <c r="A13" s="38"/>
      <c r="B13" s="38"/>
    </row>
    <row r="14" spans="1:2" ht="24" customHeight="1" x14ac:dyDescent="0.2">
      <c r="A14" s="33" t="s">
        <v>32</v>
      </c>
      <c r="B14" s="34"/>
    </row>
    <row r="15" spans="1:2" ht="19.5" customHeight="1" x14ac:dyDescent="0.2">
      <c r="A15" s="35" t="s">
        <v>24</v>
      </c>
      <c r="B15" s="51">
        <v>0</v>
      </c>
    </row>
    <row r="16" spans="1:2" ht="20.100000000000001" customHeight="1" x14ac:dyDescent="0.2">
      <c r="A16" s="35" t="s">
        <v>25</v>
      </c>
      <c r="B16" s="52">
        <v>0</v>
      </c>
    </row>
    <row r="17" spans="1:2" ht="20.100000000000001" customHeight="1" x14ac:dyDescent="0.2">
      <c r="A17" s="35" t="s">
        <v>13</v>
      </c>
      <c r="B17" s="52">
        <v>0</v>
      </c>
    </row>
    <row r="18" spans="1:2" ht="20.100000000000001" customHeight="1" x14ac:dyDescent="0.2">
      <c r="A18" s="35" t="s">
        <v>49</v>
      </c>
      <c r="B18" s="46">
        <v>0</v>
      </c>
    </row>
    <row r="19" spans="1:2" ht="20.100000000000001" customHeight="1" x14ac:dyDescent="0.2">
      <c r="A19" s="35" t="s">
        <v>38</v>
      </c>
      <c r="B19" s="46">
        <v>0</v>
      </c>
    </row>
    <row r="20" spans="1:2" ht="20.100000000000001" customHeight="1" thickBot="1" x14ac:dyDescent="0.25">
      <c r="A20" s="36" t="s">
        <v>38</v>
      </c>
      <c r="B20" s="47">
        <v>0</v>
      </c>
    </row>
    <row r="21" spans="1:2" ht="20.100000000000001" customHeight="1" thickBot="1" x14ac:dyDescent="0.25">
      <c r="A21" s="32" t="s">
        <v>34</v>
      </c>
      <c r="B21" s="48">
        <f>SUM(B15:B20)</f>
        <v>0</v>
      </c>
    </row>
    <row r="22" spans="1:2" ht="13.5" thickBot="1" x14ac:dyDescent="0.25"/>
    <row r="23" spans="1:2" ht="20.100000000000001" customHeight="1" x14ac:dyDescent="0.2">
      <c r="A23" s="41" t="s">
        <v>35</v>
      </c>
      <c r="B23" s="49">
        <f>B12-B21</f>
        <v>0</v>
      </c>
    </row>
    <row r="24" spans="1:2" ht="20.100000000000001" customHeight="1" thickBot="1" x14ac:dyDescent="0.25">
      <c r="A24" s="44" t="s">
        <v>36</v>
      </c>
      <c r="B24" s="50">
        <f>Fevereiro!B25</f>
        <v>0</v>
      </c>
    </row>
    <row r="25" spans="1:2" ht="20.100000000000001" customHeight="1" thickBot="1" x14ac:dyDescent="0.25">
      <c r="A25" s="45" t="s">
        <v>37</v>
      </c>
      <c r="B25" s="48">
        <f>B23+B24</f>
        <v>0</v>
      </c>
    </row>
    <row r="29" spans="1:2" ht="15" x14ac:dyDescent="0.2">
      <c r="A29" s="83" t="s">
        <v>82</v>
      </c>
      <c r="B29" s="83"/>
    </row>
    <row r="30" spans="1:2" ht="15" x14ac:dyDescent="0.2">
      <c r="A30" s="31"/>
    </row>
    <row r="31" spans="1:2" ht="15" x14ac:dyDescent="0.2">
      <c r="A31" s="31"/>
    </row>
    <row r="32" spans="1:2" ht="15" x14ac:dyDescent="0.2">
      <c r="A32" s="83" t="s">
        <v>80</v>
      </c>
      <c r="B32" s="83"/>
    </row>
    <row r="33" spans="1:2" ht="15" x14ac:dyDescent="0.2">
      <c r="A33" s="83" t="s">
        <v>64</v>
      </c>
      <c r="B33" s="83"/>
    </row>
  </sheetData>
  <mergeCells count="4">
    <mergeCell ref="A29:B29"/>
    <mergeCell ref="A32:B32"/>
    <mergeCell ref="A33:B33"/>
    <mergeCell ref="A1:B1"/>
  </mergeCells>
  <phoneticPr fontId="11" type="noConversion"/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sqref="A1:B1"/>
    </sheetView>
  </sheetViews>
  <sheetFormatPr defaultRowHeight="12.75" x14ac:dyDescent="0.2"/>
  <cols>
    <col min="1" max="1" width="47.85546875" customWidth="1"/>
    <col min="2" max="2" width="23.140625" customWidth="1"/>
  </cols>
  <sheetData>
    <row r="1" spans="1:2" ht="23.25" x14ac:dyDescent="0.35">
      <c r="A1" s="84" t="s">
        <v>83</v>
      </c>
      <c r="B1" s="84"/>
    </row>
    <row r="2" spans="1:2" ht="23.25" x14ac:dyDescent="0.35">
      <c r="A2" s="81"/>
      <c r="B2" s="81"/>
    </row>
    <row r="3" spans="1:2" ht="13.5" thickBot="1" x14ac:dyDescent="0.25"/>
    <row r="4" spans="1:2" ht="30" customHeight="1" thickBot="1" x14ac:dyDescent="0.25">
      <c r="A4" s="39" t="s">
        <v>26</v>
      </c>
      <c r="B4" s="40" t="s">
        <v>63</v>
      </c>
    </row>
    <row r="5" spans="1:2" ht="12" customHeight="1" thickBot="1" x14ac:dyDescent="0.25">
      <c r="A5" s="37"/>
      <c r="B5" s="38"/>
    </row>
    <row r="6" spans="1:2" ht="24" customHeight="1" x14ac:dyDescent="0.2">
      <c r="A6" s="33" t="s">
        <v>27</v>
      </c>
      <c r="B6" s="34"/>
    </row>
    <row r="7" spans="1:2" ht="20.100000000000001" customHeight="1" x14ac:dyDescent="0.2">
      <c r="A7" s="35" t="s">
        <v>28</v>
      </c>
      <c r="B7" s="46">
        <v>0</v>
      </c>
    </row>
    <row r="8" spans="1:2" ht="20.100000000000001" customHeight="1" x14ac:dyDescent="0.2">
      <c r="A8" s="35" t="s">
        <v>19</v>
      </c>
      <c r="B8" s="46">
        <v>0</v>
      </c>
    </row>
    <row r="9" spans="1:2" ht="20.100000000000001" customHeight="1" x14ac:dyDescent="0.2">
      <c r="A9" s="35" t="s">
        <v>30</v>
      </c>
      <c r="B9" s="46">
        <v>0</v>
      </c>
    </row>
    <row r="10" spans="1:2" ht="20.100000000000001" customHeight="1" x14ac:dyDescent="0.2">
      <c r="A10" s="35" t="s">
        <v>29</v>
      </c>
      <c r="B10" s="46">
        <v>0</v>
      </c>
    </row>
    <row r="11" spans="1:2" ht="20.100000000000001" customHeight="1" thickBot="1" x14ac:dyDescent="0.25">
      <c r="A11" s="36" t="s">
        <v>31</v>
      </c>
      <c r="B11" s="47">
        <v>0</v>
      </c>
    </row>
    <row r="12" spans="1:2" ht="20.100000000000001" customHeight="1" thickBot="1" x14ac:dyDescent="0.25">
      <c r="A12" s="32" t="s">
        <v>33</v>
      </c>
      <c r="B12" s="48">
        <f>SUM(B7:B11)</f>
        <v>0</v>
      </c>
    </row>
    <row r="13" spans="1:2" ht="18" customHeight="1" thickBot="1" x14ac:dyDescent="0.25">
      <c r="A13" s="38"/>
      <c r="B13" s="38"/>
    </row>
    <row r="14" spans="1:2" ht="24" customHeight="1" x14ac:dyDescent="0.2">
      <c r="A14" s="33" t="s">
        <v>32</v>
      </c>
      <c r="B14" s="34"/>
    </row>
    <row r="15" spans="1:2" ht="19.5" customHeight="1" x14ac:dyDescent="0.2">
      <c r="A15" s="35" t="s">
        <v>24</v>
      </c>
      <c r="B15" s="51">
        <v>0</v>
      </c>
    </row>
    <row r="16" spans="1:2" ht="20.100000000000001" customHeight="1" x14ac:dyDescent="0.2">
      <c r="A16" s="35" t="s">
        <v>25</v>
      </c>
      <c r="B16" s="52">
        <v>0</v>
      </c>
    </row>
    <row r="17" spans="1:2" ht="20.100000000000001" customHeight="1" x14ac:dyDescent="0.2">
      <c r="A17" s="35" t="s">
        <v>13</v>
      </c>
      <c r="B17" s="52">
        <v>0</v>
      </c>
    </row>
    <row r="18" spans="1:2" ht="20.100000000000001" customHeight="1" x14ac:dyDescent="0.2">
      <c r="A18" s="35" t="s">
        <v>62</v>
      </c>
      <c r="B18" s="46">
        <v>0</v>
      </c>
    </row>
    <row r="19" spans="1:2" ht="20.100000000000001" customHeight="1" x14ac:dyDescent="0.2">
      <c r="A19" s="35" t="s">
        <v>65</v>
      </c>
      <c r="B19" s="46">
        <v>0</v>
      </c>
    </row>
    <row r="20" spans="1:2" ht="20.100000000000001" customHeight="1" thickBot="1" x14ac:dyDescent="0.25">
      <c r="A20" s="36" t="s">
        <v>43</v>
      </c>
      <c r="B20" s="47">
        <v>0</v>
      </c>
    </row>
    <row r="21" spans="1:2" ht="20.100000000000001" customHeight="1" thickBot="1" x14ac:dyDescent="0.25">
      <c r="A21" s="32" t="s">
        <v>34</v>
      </c>
      <c r="B21" s="48">
        <f>SUM(B15:B20)</f>
        <v>0</v>
      </c>
    </row>
    <row r="22" spans="1:2" ht="13.5" thickBot="1" x14ac:dyDescent="0.25"/>
    <row r="23" spans="1:2" ht="20.100000000000001" customHeight="1" x14ac:dyDescent="0.2">
      <c r="A23" s="41" t="s">
        <v>35</v>
      </c>
      <c r="B23" s="49">
        <f>B12-B21</f>
        <v>0</v>
      </c>
    </row>
    <row r="24" spans="1:2" ht="20.100000000000001" customHeight="1" thickBot="1" x14ac:dyDescent="0.25">
      <c r="A24" s="44" t="s">
        <v>36</v>
      </c>
      <c r="B24" s="50">
        <f>' Março'!B25</f>
        <v>0</v>
      </c>
    </row>
    <row r="25" spans="1:2" ht="20.100000000000001" customHeight="1" thickBot="1" x14ac:dyDescent="0.25">
      <c r="A25" s="45" t="s">
        <v>37</v>
      </c>
      <c r="B25" s="48">
        <f>B23+B24</f>
        <v>0</v>
      </c>
    </row>
    <row r="29" spans="1:2" ht="15" x14ac:dyDescent="0.2">
      <c r="A29" s="83" t="s">
        <v>84</v>
      </c>
      <c r="B29" s="83"/>
    </row>
    <row r="30" spans="1:2" ht="15" x14ac:dyDescent="0.2">
      <c r="A30" s="31"/>
    </row>
    <row r="31" spans="1:2" ht="15" x14ac:dyDescent="0.2">
      <c r="A31" s="31"/>
    </row>
    <row r="32" spans="1:2" ht="15" x14ac:dyDescent="0.2">
      <c r="A32" s="83" t="s">
        <v>80</v>
      </c>
      <c r="B32" s="83"/>
    </row>
    <row r="33" spans="1:2" ht="15" x14ac:dyDescent="0.2">
      <c r="A33" s="83" t="s">
        <v>64</v>
      </c>
      <c r="B33" s="83"/>
    </row>
  </sheetData>
  <mergeCells count="4">
    <mergeCell ref="A29:B29"/>
    <mergeCell ref="A32:B32"/>
    <mergeCell ref="A33:B33"/>
    <mergeCell ref="A1:B1"/>
  </mergeCells>
  <phoneticPr fontId="11" type="noConversion"/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sqref="A1:B1"/>
    </sheetView>
  </sheetViews>
  <sheetFormatPr defaultRowHeight="12.75" x14ac:dyDescent="0.2"/>
  <cols>
    <col min="1" max="1" width="47.85546875" customWidth="1"/>
    <col min="2" max="2" width="23.140625" customWidth="1"/>
  </cols>
  <sheetData>
    <row r="1" spans="1:2" ht="23.25" x14ac:dyDescent="0.35">
      <c r="A1" s="84" t="s">
        <v>83</v>
      </c>
      <c r="B1" s="84"/>
    </row>
    <row r="2" spans="1:2" ht="23.25" x14ac:dyDescent="0.35">
      <c r="A2" s="84"/>
      <c r="B2" s="84"/>
    </row>
    <row r="3" spans="1:2" ht="13.5" thickBot="1" x14ac:dyDescent="0.25"/>
    <row r="4" spans="1:2" ht="30" customHeight="1" thickBot="1" x14ac:dyDescent="0.25">
      <c r="A4" s="39" t="s">
        <v>26</v>
      </c>
      <c r="B4" s="40" t="s">
        <v>66</v>
      </c>
    </row>
    <row r="5" spans="1:2" ht="12" customHeight="1" thickBot="1" x14ac:dyDescent="0.25">
      <c r="A5" s="37"/>
      <c r="B5" s="38"/>
    </row>
    <row r="6" spans="1:2" ht="24" customHeight="1" x14ac:dyDescent="0.2">
      <c r="A6" s="33" t="s">
        <v>27</v>
      </c>
      <c r="B6" s="34"/>
    </row>
    <row r="7" spans="1:2" ht="20.100000000000001" customHeight="1" x14ac:dyDescent="0.2">
      <c r="A7" s="35" t="s">
        <v>28</v>
      </c>
      <c r="B7" s="46">
        <v>0</v>
      </c>
    </row>
    <row r="8" spans="1:2" ht="20.100000000000001" customHeight="1" x14ac:dyDescent="0.2">
      <c r="A8" s="35" t="s">
        <v>19</v>
      </c>
      <c r="B8" s="46">
        <v>0</v>
      </c>
    </row>
    <row r="9" spans="1:2" ht="20.100000000000001" customHeight="1" x14ac:dyDescent="0.2">
      <c r="A9" s="35" t="s">
        <v>30</v>
      </c>
      <c r="B9" s="46">
        <v>0</v>
      </c>
    </row>
    <row r="10" spans="1:2" ht="20.100000000000001" customHeight="1" x14ac:dyDescent="0.2">
      <c r="A10" s="35" t="s">
        <v>29</v>
      </c>
      <c r="B10" s="46">
        <v>0</v>
      </c>
    </row>
    <row r="11" spans="1:2" ht="20.100000000000001" customHeight="1" thickBot="1" x14ac:dyDescent="0.25">
      <c r="A11" s="36" t="s">
        <v>31</v>
      </c>
      <c r="B11" s="47">
        <v>0</v>
      </c>
    </row>
    <row r="12" spans="1:2" ht="20.100000000000001" customHeight="1" thickBot="1" x14ac:dyDescent="0.25">
      <c r="A12" s="32" t="s">
        <v>33</v>
      </c>
      <c r="B12" s="48">
        <f>SUM(B7:B11)</f>
        <v>0</v>
      </c>
    </row>
    <row r="13" spans="1:2" ht="18" customHeight="1" thickBot="1" x14ac:dyDescent="0.25">
      <c r="A13" s="38"/>
      <c r="B13" s="38"/>
    </row>
    <row r="14" spans="1:2" ht="24" customHeight="1" x14ac:dyDescent="0.2">
      <c r="A14" s="33" t="s">
        <v>32</v>
      </c>
      <c r="B14" s="34"/>
    </row>
    <row r="15" spans="1:2" ht="19.5" customHeight="1" x14ac:dyDescent="0.2">
      <c r="A15" s="35" t="s">
        <v>24</v>
      </c>
      <c r="B15" s="51">
        <v>0</v>
      </c>
    </row>
    <row r="16" spans="1:2" ht="20.100000000000001" customHeight="1" x14ac:dyDescent="0.2">
      <c r="A16" s="35" t="s">
        <v>25</v>
      </c>
      <c r="B16" s="52">
        <v>0</v>
      </c>
    </row>
    <row r="17" spans="1:2" ht="20.100000000000001" customHeight="1" x14ac:dyDescent="0.2">
      <c r="A17" s="35" t="s">
        <v>13</v>
      </c>
      <c r="B17" s="52">
        <v>0</v>
      </c>
    </row>
    <row r="18" spans="1:2" ht="20.100000000000001" customHeight="1" x14ac:dyDescent="0.2">
      <c r="A18" s="35" t="s">
        <v>69</v>
      </c>
      <c r="B18" s="46">
        <v>0</v>
      </c>
    </row>
    <row r="19" spans="1:2" ht="20.100000000000001" customHeight="1" x14ac:dyDescent="0.2">
      <c r="A19" s="35" t="s">
        <v>67</v>
      </c>
      <c r="B19" s="46">
        <v>0</v>
      </c>
    </row>
    <row r="20" spans="1:2" ht="20.100000000000001" customHeight="1" thickBot="1" x14ac:dyDescent="0.25">
      <c r="A20" s="35" t="s">
        <v>68</v>
      </c>
      <c r="B20" s="47">
        <v>0</v>
      </c>
    </row>
    <row r="21" spans="1:2" ht="20.100000000000001" customHeight="1" thickBot="1" x14ac:dyDescent="0.25">
      <c r="A21" s="32" t="s">
        <v>34</v>
      </c>
      <c r="B21" s="48">
        <f>SUM(B15:B20)</f>
        <v>0</v>
      </c>
    </row>
    <row r="22" spans="1:2" ht="13.5" thickBot="1" x14ac:dyDescent="0.25"/>
    <row r="23" spans="1:2" ht="20.100000000000001" customHeight="1" x14ac:dyDescent="0.2">
      <c r="A23" s="41" t="s">
        <v>35</v>
      </c>
      <c r="B23" s="49">
        <f>B12-B21</f>
        <v>0</v>
      </c>
    </row>
    <row r="24" spans="1:2" ht="20.100000000000001" customHeight="1" thickBot="1" x14ac:dyDescent="0.25">
      <c r="A24" s="44" t="s">
        <v>36</v>
      </c>
      <c r="B24" s="50">
        <f>Abril!B25</f>
        <v>0</v>
      </c>
    </row>
    <row r="25" spans="1:2" ht="20.100000000000001" customHeight="1" thickBot="1" x14ac:dyDescent="0.25">
      <c r="A25" s="45" t="s">
        <v>37</v>
      </c>
      <c r="B25" s="48">
        <f>B23+B24</f>
        <v>0</v>
      </c>
    </row>
    <row r="29" spans="1:2" ht="15" x14ac:dyDescent="0.2">
      <c r="A29" s="83" t="s">
        <v>74</v>
      </c>
      <c r="B29" s="83"/>
    </row>
    <row r="30" spans="1:2" ht="15" x14ac:dyDescent="0.2">
      <c r="A30" s="31"/>
    </row>
    <row r="31" spans="1:2" ht="15" x14ac:dyDescent="0.2">
      <c r="A31" s="31"/>
    </row>
    <row r="32" spans="1:2" ht="15" x14ac:dyDescent="0.2">
      <c r="A32" s="83" t="s">
        <v>80</v>
      </c>
      <c r="B32" s="83"/>
    </row>
    <row r="33" spans="1:2" ht="15" x14ac:dyDescent="0.2">
      <c r="A33" s="83" t="s">
        <v>64</v>
      </c>
      <c r="B33" s="83"/>
    </row>
  </sheetData>
  <mergeCells count="5">
    <mergeCell ref="A29:B29"/>
    <mergeCell ref="A32:B32"/>
    <mergeCell ref="A33:B33"/>
    <mergeCell ref="A2:B2"/>
    <mergeCell ref="A1:B1"/>
  </mergeCells>
  <phoneticPr fontId="11" type="noConversion"/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sqref="A1:B1"/>
    </sheetView>
  </sheetViews>
  <sheetFormatPr defaultRowHeight="12.75" x14ac:dyDescent="0.2"/>
  <cols>
    <col min="1" max="1" width="47.85546875" customWidth="1"/>
    <col min="2" max="2" width="23.140625" customWidth="1"/>
  </cols>
  <sheetData>
    <row r="1" spans="1:2" ht="23.25" x14ac:dyDescent="0.35">
      <c r="A1" s="84" t="s">
        <v>83</v>
      </c>
      <c r="B1" s="84"/>
    </row>
    <row r="2" spans="1:2" ht="23.25" x14ac:dyDescent="0.35">
      <c r="A2" s="84"/>
      <c r="B2" s="84"/>
    </row>
    <row r="3" spans="1:2" ht="13.5" thickBot="1" x14ac:dyDescent="0.25"/>
    <row r="4" spans="1:2" ht="30" customHeight="1" thickBot="1" x14ac:dyDescent="0.25">
      <c r="A4" s="39" t="s">
        <v>26</v>
      </c>
      <c r="B4" s="40" t="s">
        <v>73</v>
      </c>
    </row>
    <row r="5" spans="1:2" ht="12" customHeight="1" thickBot="1" x14ac:dyDescent="0.25">
      <c r="A5" s="37"/>
      <c r="B5" s="38"/>
    </row>
    <row r="6" spans="1:2" ht="24" customHeight="1" x14ac:dyDescent="0.2">
      <c r="A6" s="33" t="s">
        <v>27</v>
      </c>
      <c r="B6" s="34"/>
    </row>
    <row r="7" spans="1:2" ht="20.100000000000001" customHeight="1" x14ac:dyDescent="0.2">
      <c r="A7" s="35" t="s">
        <v>28</v>
      </c>
      <c r="B7" s="46">
        <v>0</v>
      </c>
    </row>
    <row r="8" spans="1:2" ht="20.100000000000001" customHeight="1" x14ac:dyDescent="0.2">
      <c r="A8" s="35" t="s">
        <v>19</v>
      </c>
      <c r="B8" s="46">
        <v>0</v>
      </c>
    </row>
    <row r="9" spans="1:2" ht="20.100000000000001" customHeight="1" x14ac:dyDescent="0.2">
      <c r="A9" s="35" t="s">
        <v>30</v>
      </c>
      <c r="B9" s="46">
        <v>0</v>
      </c>
    </row>
    <row r="10" spans="1:2" ht="20.100000000000001" customHeight="1" x14ac:dyDescent="0.2">
      <c r="A10" s="35" t="s">
        <v>29</v>
      </c>
      <c r="B10" s="46">
        <v>0</v>
      </c>
    </row>
    <row r="11" spans="1:2" ht="20.100000000000001" customHeight="1" thickBot="1" x14ac:dyDescent="0.25">
      <c r="A11" s="36" t="s">
        <v>31</v>
      </c>
      <c r="B11" s="47">
        <v>0</v>
      </c>
    </row>
    <row r="12" spans="1:2" ht="20.100000000000001" customHeight="1" thickBot="1" x14ac:dyDescent="0.25">
      <c r="A12" s="32" t="s">
        <v>33</v>
      </c>
      <c r="B12" s="48">
        <f>SUM(B7:B11)</f>
        <v>0</v>
      </c>
    </row>
    <row r="13" spans="1:2" ht="18" customHeight="1" thickBot="1" x14ac:dyDescent="0.25">
      <c r="A13" s="38"/>
      <c r="B13" s="38"/>
    </row>
    <row r="14" spans="1:2" ht="24" customHeight="1" x14ac:dyDescent="0.2">
      <c r="A14" s="33" t="s">
        <v>32</v>
      </c>
      <c r="B14" s="34"/>
    </row>
    <row r="15" spans="1:2" ht="19.5" customHeight="1" x14ac:dyDescent="0.2">
      <c r="A15" s="35" t="s">
        <v>24</v>
      </c>
      <c r="B15" s="51">
        <v>0</v>
      </c>
    </row>
    <row r="16" spans="1:2" ht="20.100000000000001" customHeight="1" x14ac:dyDescent="0.2">
      <c r="A16" s="35" t="s">
        <v>25</v>
      </c>
      <c r="B16" s="52">
        <v>0</v>
      </c>
    </row>
    <row r="17" spans="1:2" ht="20.100000000000001" customHeight="1" x14ac:dyDescent="0.2">
      <c r="A17" s="35" t="s">
        <v>51</v>
      </c>
      <c r="B17" s="52">
        <v>0</v>
      </c>
    </row>
    <row r="18" spans="1:2" ht="20.100000000000001" customHeight="1" x14ac:dyDescent="0.2">
      <c r="A18" s="35" t="s">
        <v>70</v>
      </c>
      <c r="B18" s="46">
        <v>0</v>
      </c>
    </row>
    <row r="19" spans="1:2" ht="20.100000000000001" customHeight="1" x14ac:dyDescent="0.2">
      <c r="A19" s="35" t="s">
        <v>42</v>
      </c>
      <c r="B19" s="46">
        <v>0</v>
      </c>
    </row>
    <row r="20" spans="1:2" ht="20.100000000000001" customHeight="1" thickBot="1" x14ac:dyDescent="0.25">
      <c r="A20" s="36" t="s">
        <v>75</v>
      </c>
      <c r="B20" s="47">
        <v>0</v>
      </c>
    </row>
    <row r="21" spans="1:2" ht="20.100000000000001" customHeight="1" thickBot="1" x14ac:dyDescent="0.25">
      <c r="A21" s="32" t="s">
        <v>34</v>
      </c>
      <c r="B21" s="48">
        <f>SUM(B15:B20)</f>
        <v>0</v>
      </c>
    </row>
    <row r="22" spans="1:2" ht="13.5" thickBot="1" x14ac:dyDescent="0.25"/>
    <row r="23" spans="1:2" ht="20.100000000000001" customHeight="1" x14ac:dyDescent="0.2">
      <c r="A23" s="41" t="s">
        <v>35</v>
      </c>
      <c r="B23" s="49">
        <f>B12-B21</f>
        <v>0</v>
      </c>
    </row>
    <row r="24" spans="1:2" ht="20.100000000000001" customHeight="1" thickBot="1" x14ac:dyDescent="0.25">
      <c r="A24" s="44" t="s">
        <v>36</v>
      </c>
      <c r="B24" s="50">
        <f>Maio!B25</f>
        <v>0</v>
      </c>
    </row>
    <row r="25" spans="1:2" ht="20.100000000000001" customHeight="1" thickBot="1" x14ac:dyDescent="0.25">
      <c r="A25" s="45" t="s">
        <v>37</v>
      </c>
      <c r="B25" s="48">
        <f>B23+B24</f>
        <v>0</v>
      </c>
    </row>
    <row r="29" spans="1:2" ht="15" x14ac:dyDescent="0.2">
      <c r="A29" s="83" t="s">
        <v>85</v>
      </c>
      <c r="B29" s="83"/>
    </row>
    <row r="30" spans="1:2" ht="15" x14ac:dyDescent="0.2">
      <c r="A30" s="31"/>
    </row>
    <row r="31" spans="1:2" ht="15" x14ac:dyDescent="0.2">
      <c r="A31" s="31"/>
    </row>
    <row r="32" spans="1:2" ht="15" x14ac:dyDescent="0.2">
      <c r="A32" s="83" t="s">
        <v>80</v>
      </c>
      <c r="B32" s="83"/>
    </row>
    <row r="33" spans="1:2" ht="15" x14ac:dyDescent="0.2">
      <c r="A33" s="83" t="s">
        <v>64</v>
      </c>
      <c r="B33" s="83"/>
    </row>
  </sheetData>
  <mergeCells count="5">
    <mergeCell ref="A29:B29"/>
    <mergeCell ref="A32:B32"/>
    <mergeCell ref="A33:B33"/>
    <mergeCell ref="A2:B2"/>
    <mergeCell ref="A1:B1"/>
  </mergeCells>
  <phoneticPr fontId="11" type="noConversion"/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portrait" horizont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sqref="A1:B1"/>
    </sheetView>
  </sheetViews>
  <sheetFormatPr defaultRowHeight="12.75" x14ac:dyDescent="0.2"/>
  <cols>
    <col min="1" max="1" width="47.85546875" customWidth="1"/>
    <col min="2" max="2" width="23.140625" customWidth="1"/>
  </cols>
  <sheetData>
    <row r="1" spans="1:2" ht="23.25" x14ac:dyDescent="0.35">
      <c r="A1" s="84" t="s">
        <v>83</v>
      </c>
      <c r="B1" s="84"/>
    </row>
    <row r="2" spans="1:2" ht="23.25" x14ac:dyDescent="0.35">
      <c r="A2" s="84"/>
      <c r="B2" s="84"/>
    </row>
    <row r="3" spans="1:2" ht="13.5" thickBot="1" x14ac:dyDescent="0.25"/>
    <row r="4" spans="1:2" ht="30" customHeight="1" thickBot="1" x14ac:dyDescent="0.25">
      <c r="A4" s="39" t="s">
        <v>26</v>
      </c>
      <c r="B4" s="40" t="s">
        <v>72</v>
      </c>
    </row>
    <row r="5" spans="1:2" ht="12" customHeight="1" thickBot="1" x14ac:dyDescent="0.25">
      <c r="A5" s="37"/>
      <c r="B5" s="38"/>
    </row>
    <row r="6" spans="1:2" ht="24" customHeight="1" x14ac:dyDescent="0.2">
      <c r="A6" s="33" t="s">
        <v>27</v>
      </c>
      <c r="B6" s="34"/>
    </row>
    <row r="7" spans="1:2" ht="20.100000000000001" customHeight="1" x14ac:dyDescent="0.2">
      <c r="A7" s="35" t="s">
        <v>28</v>
      </c>
      <c r="B7" s="46">
        <v>0</v>
      </c>
    </row>
    <row r="8" spans="1:2" ht="20.100000000000001" customHeight="1" x14ac:dyDescent="0.2">
      <c r="A8" s="35" t="s">
        <v>19</v>
      </c>
      <c r="B8" s="46">
        <v>0</v>
      </c>
    </row>
    <row r="9" spans="1:2" ht="20.100000000000001" customHeight="1" x14ac:dyDescent="0.2">
      <c r="A9" s="35" t="s">
        <v>30</v>
      </c>
      <c r="B9" s="46">
        <v>0</v>
      </c>
    </row>
    <row r="10" spans="1:2" ht="20.100000000000001" customHeight="1" x14ac:dyDescent="0.2">
      <c r="A10" s="35" t="s">
        <v>29</v>
      </c>
      <c r="B10" s="46">
        <v>0</v>
      </c>
    </row>
    <row r="11" spans="1:2" ht="20.100000000000001" customHeight="1" thickBot="1" x14ac:dyDescent="0.25">
      <c r="A11" s="36" t="s">
        <v>31</v>
      </c>
      <c r="B11" s="47">
        <v>0</v>
      </c>
    </row>
    <row r="12" spans="1:2" ht="20.100000000000001" customHeight="1" thickBot="1" x14ac:dyDescent="0.25">
      <c r="A12" s="32" t="s">
        <v>33</v>
      </c>
      <c r="B12" s="48">
        <f>SUM(B7:B11)</f>
        <v>0</v>
      </c>
    </row>
    <row r="13" spans="1:2" ht="18" customHeight="1" thickBot="1" x14ac:dyDescent="0.25">
      <c r="A13" s="38"/>
      <c r="B13" s="38"/>
    </row>
    <row r="14" spans="1:2" ht="24" customHeight="1" x14ac:dyDescent="0.2">
      <c r="A14" s="33" t="s">
        <v>32</v>
      </c>
      <c r="B14" s="34"/>
    </row>
    <row r="15" spans="1:2" ht="19.5" customHeight="1" x14ac:dyDescent="0.2">
      <c r="A15" s="35" t="s">
        <v>24</v>
      </c>
      <c r="B15" s="42">
        <v>0</v>
      </c>
    </row>
    <row r="16" spans="1:2" ht="20.100000000000001" customHeight="1" x14ac:dyDescent="0.2">
      <c r="A16" s="35" t="s">
        <v>25</v>
      </c>
      <c r="B16" s="43">
        <v>0</v>
      </c>
    </row>
    <row r="17" spans="1:2" ht="20.100000000000001" customHeight="1" x14ac:dyDescent="0.2">
      <c r="A17" s="35" t="s">
        <v>13</v>
      </c>
      <c r="B17" s="43">
        <v>0</v>
      </c>
    </row>
    <row r="18" spans="1:2" ht="20.100000000000001" customHeight="1" x14ac:dyDescent="0.2">
      <c r="A18" s="35" t="s">
        <v>71</v>
      </c>
      <c r="B18" s="46">
        <v>0</v>
      </c>
    </row>
    <row r="19" spans="1:2" ht="20.100000000000001" customHeight="1" x14ac:dyDescent="0.2">
      <c r="A19" s="35" t="s">
        <v>76</v>
      </c>
      <c r="B19" s="46">
        <v>0</v>
      </c>
    </row>
    <row r="20" spans="1:2" ht="20.100000000000001" customHeight="1" thickBot="1" x14ac:dyDescent="0.25">
      <c r="A20" s="36" t="s">
        <v>77</v>
      </c>
      <c r="B20" s="47">
        <v>0</v>
      </c>
    </row>
    <row r="21" spans="1:2" ht="20.100000000000001" customHeight="1" thickBot="1" x14ac:dyDescent="0.25">
      <c r="A21" s="32" t="s">
        <v>34</v>
      </c>
      <c r="B21" s="48">
        <f>SUM(B15:B20)</f>
        <v>0</v>
      </c>
    </row>
    <row r="22" spans="1:2" ht="13.5" thickBot="1" x14ac:dyDescent="0.25"/>
    <row r="23" spans="1:2" ht="20.100000000000001" customHeight="1" x14ac:dyDescent="0.2">
      <c r="A23" s="41" t="s">
        <v>35</v>
      </c>
      <c r="B23" s="49">
        <f>B12-B21</f>
        <v>0</v>
      </c>
    </row>
    <row r="24" spans="1:2" ht="20.100000000000001" customHeight="1" thickBot="1" x14ac:dyDescent="0.25">
      <c r="A24" s="44" t="s">
        <v>36</v>
      </c>
      <c r="B24" s="50">
        <f>Junho!B25</f>
        <v>0</v>
      </c>
    </row>
    <row r="25" spans="1:2" ht="20.100000000000001" customHeight="1" thickBot="1" x14ac:dyDescent="0.25">
      <c r="A25" s="45" t="s">
        <v>37</v>
      </c>
      <c r="B25" s="48">
        <f>B23+B24</f>
        <v>0</v>
      </c>
    </row>
    <row r="29" spans="1:2" ht="15" x14ac:dyDescent="0.2">
      <c r="A29" s="83" t="s">
        <v>86</v>
      </c>
      <c r="B29" s="83"/>
    </row>
    <row r="30" spans="1:2" ht="15" x14ac:dyDescent="0.2">
      <c r="A30" s="31"/>
    </row>
    <row r="31" spans="1:2" ht="15" x14ac:dyDescent="0.2">
      <c r="A31" s="31"/>
    </row>
    <row r="32" spans="1:2" ht="15" x14ac:dyDescent="0.2">
      <c r="A32" s="83" t="s">
        <v>80</v>
      </c>
      <c r="B32" s="83"/>
    </row>
    <row r="33" spans="1:2" ht="15" x14ac:dyDescent="0.2">
      <c r="A33" s="83" t="s">
        <v>64</v>
      </c>
      <c r="B33" s="83"/>
    </row>
  </sheetData>
  <mergeCells count="5">
    <mergeCell ref="A29:B29"/>
    <mergeCell ref="A32:B32"/>
    <mergeCell ref="A33:B33"/>
    <mergeCell ref="A2:B2"/>
    <mergeCell ref="A1:B1"/>
  </mergeCells>
  <phoneticPr fontId="11" type="noConversion"/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portrait" horizont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sqref="A1:B1"/>
    </sheetView>
  </sheetViews>
  <sheetFormatPr defaultRowHeight="12.75" x14ac:dyDescent="0.2"/>
  <cols>
    <col min="1" max="1" width="47.85546875" customWidth="1"/>
    <col min="2" max="2" width="23.140625" customWidth="1"/>
  </cols>
  <sheetData>
    <row r="1" spans="1:2" ht="23.25" x14ac:dyDescent="0.35">
      <c r="A1" s="84" t="s">
        <v>83</v>
      </c>
      <c r="B1" s="84"/>
    </row>
    <row r="2" spans="1:2" ht="23.25" x14ac:dyDescent="0.35">
      <c r="A2" s="84"/>
      <c r="B2" s="84"/>
    </row>
    <row r="3" spans="1:2" ht="13.5" thickBot="1" x14ac:dyDescent="0.25"/>
    <row r="4" spans="1:2" ht="30" customHeight="1" thickBot="1" x14ac:dyDescent="0.25">
      <c r="A4" s="39" t="s">
        <v>26</v>
      </c>
      <c r="B4" s="40" t="s">
        <v>87</v>
      </c>
    </row>
    <row r="5" spans="1:2" ht="12" customHeight="1" thickBot="1" x14ac:dyDescent="0.25">
      <c r="A5" s="37"/>
      <c r="B5" s="38"/>
    </row>
    <row r="6" spans="1:2" ht="24" customHeight="1" x14ac:dyDescent="0.2">
      <c r="A6" s="33" t="s">
        <v>27</v>
      </c>
      <c r="B6" s="34"/>
    </row>
    <row r="7" spans="1:2" ht="20.100000000000001" customHeight="1" x14ac:dyDescent="0.2">
      <c r="A7" s="35" t="s">
        <v>28</v>
      </c>
      <c r="B7" s="46">
        <v>0</v>
      </c>
    </row>
    <row r="8" spans="1:2" ht="20.100000000000001" customHeight="1" x14ac:dyDescent="0.2">
      <c r="A8" s="35" t="s">
        <v>19</v>
      </c>
      <c r="B8" s="46">
        <v>0</v>
      </c>
    </row>
    <row r="9" spans="1:2" ht="20.100000000000001" customHeight="1" x14ac:dyDescent="0.2">
      <c r="A9" s="35" t="s">
        <v>30</v>
      </c>
      <c r="B9" s="46">
        <v>0</v>
      </c>
    </row>
    <row r="10" spans="1:2" ht="20.100000000000001" customHeight="1" x14ac:dyDescent="0.2">
      <c r="A10" s="35" t="s">
        <v>29</v>
      </c>
      <c r="B10" s="46">
        <v>0</v>
      </c>
    </row>
    <row r="11" spans="1:2" ht="20.100000000000001" customHeight="1" thickBot="1" x14ac:dyDescent="0.25">
      <c r="A11" s="36" t="s">
        <v>31</v>
      </c>
      <c r="B11" s="47">
        <v>0</v>
      </c>
    </row>
    <row r="12" spans="1:2" ht="20.100000000000001" customHeight="1" thickBot="1" x14ac:dyDescent="0.25">
      <c r="A12" s="32" t="s">
        <v>33</v>
      </c>
      <c r="B12" s="48">
        <f>SUM(B7:B11)</f>
        <v>0</v>
      </c>
    </row>
    <row r="13" spans="1:2" ht="18" customHeight="1" thickBot="1" x14ac:dyDescent="0.25">
      <c r="A13" s="38"/>
      <c r="B13" s="38"/>
    </row>
    <row r="14" spans="1:2" ht="24" customHeight="1" x14ac:dyDescent="0.2">
      <c r="A14" s="33" t="s">
        <v>32</v>
      </c>
      <c r="B14" s="34"/>
    </row>
    <row r="15" spans="1:2" ht="19.5" customHeight="1" x14ac:dyDescent="0.2">
      <c r="A15" s="35" t="s">
        <v>24</v>
      </c>
      <c r="B15" s="42">
        <v>0</v>
      </c>
    </row>
    <row r="16" spans="1:2" ht="20.100000000000001" customHeight="1" x14ac:dyDescent="0.2">
      <c r="A16" s="35" t="s">
        <v>25</v>
      </c>
      <c r="B16" s="43">
        <v>0</v>
      </c>
    </row>
    <row r="17" spans="1:2" ht="20.100000000000001" customHeight="1" x14ac:dyDescent="0.2">
      <c r="A17" s="35" t="s">
        <v>13</v>
      </c>
      <c r="B17" s="43">
        <v>0</v>
      </c>
    </row>
    <row r="18" spans="1:2" ht="20.100000000000001" customHeight="1" x14ac:dyDescent="0.2">
      <c r="A18" s="35" t="s">
        <v>49</v>
      </c>
      <c r="B18" s="46">
        <v>0</v>
      </c>
    </row>
    <row r="19" spans="1:2" ht="20.100000000000001" customHeight="1" x14ac:dyDescent="0.2">
      <c r="A19" s="35" t="s">
        <v>53</v>
      </c>
      <c r="B19" s="46">
        <v>0</v>
      </c>
    </row>
    <row r="20" spans="1:2" ht="20.100000000000001" customHeight="1" thickBot="1" x14ac:dyDescent="0.25">
      <c r="A20" s="36" t="s">
        <v>38</v>
      </c>
      <c r="B20" s="47">
        <v>0</v>
      </c>
    </row>
    <row r="21" spans="1:2" ht="20.100000000000001" customHeight="1" thickBot="1" x14ac:dyDescent="0.25">
      <c r="A21" s="32" t="s">
        <v>34</v>
      </c>
      <c r="B21" s="48">
        <f>SUM(B15:B20)</f>
        <v>0</v>
      </c>
    </row>
    <row r="22" spans="1:2" ht="13.5" thickBot="1" x14ac:dyDescent="0.25"/>
    <row r="23" spans="1:2" ht="20.100000000000001" customHeight="1" x14ac:dyDescent="0.2">
      <c r="A23" s="41" t="s">
        <v>35</v>
      </c>
      <c r="B23" s="49">
        <f>B12-B21</f>
        <v>0</v>
      </c>
    </row>
    <row r="24" spans="1:2" ht="20.100000000000001" customHeight="1" thickBot="1" x14ac:dyDescent="0.25">
      <c r="A24" s="44" t="s">
        <v>36</v>
      </c>
      <c r="B24" s="50">
        <f>Julho!B25</f>
        <v>0</v>
      </c>
    </row>
    <row r="25" spans="1:2" ht="20.100000000000001" customHeight="1" thickBot="1" x14ac:dyDescent="0.25">
      <c r="A25" s="45" t="s">
        <v>37</v>
      </c>
      <c r="B25" s="48">
        <f>B23+B24</f>
        <v>0</v>
      </c>
    </row>
    <row r="29" spans="1:2" ht="15" x14ac:dyDescent="0.2">
      <c r="A29" s="83" t="s">
        <v>88</v>
      </c>
      <c r="B29" s="83"/>
    </row>
    <row r="30" spans="1:2" ht="15" x14ac:dyDescent="0.2">
      <c r="A30" s="31"/>
    </row>
    <row r="31" spans="1:2" ht="15" x14ac:dyDescent="0.2">
      <c r="A31" s="31"/>
    </row>
    <row r="32" spans="1:2" ht="15" x14ac:dyDescent="0.2">
      <c r="A32" s="83" t="s">
        <v>80</v>
      </c>
      <c r="B32" s="83"/>
    </row>
    <row r="33" spans="1:2" ht="15" x14ac:dyDescent="0.2">
      <c r="A33" s="83" t="s">
        <v>64</v>
      </c>
      <c r="B33" s="83"/>
    </row>
  </sheetData>
  <mergeCells count="5">
    <mergeCell ref="A29:B29"/>
    <mergeCell ref="A32:B32"/>
    <mergeCell ref="A33:B33"/>
    <mergeCell ref="A2:B2"/>
    <mergeCell ref="A1:B1"/>
  </mergeCells>
  <phoneticPr fontId="11" type="noConversion"/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portrait" horizontalDpi="4294967295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sqref="A1:B1"/>
    </sheetView>
  </sheetViews>
  <sheetFormatPr defaultRowHeight="12.75" x14ac:dyDescent="0.2"/>
  <cols>
    <col min="1" max="1" width="46.42578125" style="62" customWidth="1"/>
    <col min="2" max="2" width="26.140625" style="62" customWidth="1"/>
    <col min="3" max="16384" width="9.140625" style="62"/>
  </cols>
  <sheetData>
    <row r="1" spans="1:2" ht="23.25" x14ac:dyDescent="0.35">
      <c r="A1" s="84" t="s">
        <v>83</v>
      </c>
      <c r="B1" s="84"/>
    </row>
    <row r="2" spans="1:2" ht="23.25" x14ac:dyDescent="0.35">
      <c r="A2" s="84"/>
      <c r="B2" s="84"/>
    </row>
    <row r="3" spans="1:2" ht="13.5" thickBot="1" x14ac:dyDescent="0.25"/>
    <row r="4" spans="1:2" ht="30" customHeight="1" thickBot="1" x14ac:dyDescent="0.25">
      <c r="A4" s="61" t="s">
        <v>26</v>
      </c>
      <c r="B4" s="40" t="s">
        <v>89</v>
      </c>
    </row>
    <row r="5" spans="1:2" ht="12" customHeight="1" thickBot="1" x14ac:dyDescent="0.25">
      <c r="A5" s="63"/>
      <c r="B5" s="64"/>
    </row>
    <row r="6" spans="1:2" ht="24" customHeight="1" x14ac:dyDescent="0.2">
      <c r="A6" s="65" t="s">
        <v>27</v>
      </c>
      <c r="B6" s="66"/>
    </row>
    <row r="7" spans="1:2" ht="20.100000000000001" customHeight="1" x14ac:dyDescent="0.2">
      <c r="A7" s="67" t="s">
        <v>28</v>
      </c>
      <c r="B7" s="68">
        <v>0</v>
      </c>
    </row>
    <row r="8" spans="1:2" ht="20.100000000000001" customHeight="1" x14ac:dyDescent="0.2">
      <c r="A8" s="67" t="s">
        <v>19</v>
      </c>
      <c r="B8" s="68">
        <v>0</v>
      </c>
    </row>
    <row r="9" spans="1:2" ht="20.100000000000001" customHeight="1" x14ac:dyDescent="0.2">
      <c r="A9" s="67" t="s">
        <v>30</v>
      </c>
      <c r="B9" s="68">
        <v>0</v>
      </c>
    </row>
    <row r="10" spans="1:2" ht="20.100000000000001" customHeight="1" x14ac:dyDescent="0.2">
      <c r="A10" s="67" t="s">
        <v>29</v>
      </c>
      <c r="B10" s="68">
        <v>0</v>
      </c>
    </row>
    <row r="11" spans="1:2" ht="20.100000000000001" customHeight="1" thickBot="1" x14ac:dyDescent="0.25">
      <c r="A11" s="69" t="s">
        <v>31</v>
      </c>
      <c r="B11" s="70">
        <v>0</v>
      </c>
    </row>
    <row r="12" spans="1:2" ht="20.100000000000001" customHeight="1" thickBot="1" x14ac:dyDescent="0.25">
      <c r="A12" s="71" t="s">
        <v>33</v>
      </c>
      <c r="B12" s="72">
        <f>SUM(B7:B11)</f>
        <v>0</v>
      </c>
    </row>
    <row r="13" spans="1:2" ht="18" customHeight="1" thickBot="1" x14ac:dyDescent="0.25">
      <c r="A13" s="64"/>
      <c r="B13" s="64"/>
    </row>
    <row r="14" spans="1:2" ht="24" customHeight="1" x14ac:dyDescent="0.2">
      <c r="A14" s="65" t="s">
        <v>32</v>
      </c>
      <c r="B14" s="66"/>
    </row>
    <row r="15" spans="1:2" ht="19.5" customHeight="1" x14ac:dyDescent="0.2">
      <c r="A15" s="67" t="s">
        <v>24</v>
      </c>
      <c r="B15" s="73">
        <v>0</v>
      </c>
    </row>
    <row r="16" spans="1:2" ht="20.100000000000001" customHeight="1" x14ac:dyDescent="0.2">
      <c r="A16" s="67" t="s">
        <v>25</v>
      </c>
      <c r="B16" s="74">
        <v>0</v>
      </c>
    </row>
    <row r="17" spans="1:2" ht="20.100000000000001" customHeight="1" x14ac:dyDescent="0.2">
      <c r="A17" s="67" t="s">
        <v>13</v>
      </c>
      <c r="B17" s="74">
        <v>0</v>
      </c>
    </row>
    <row r="18" spans="1:2" ht="20.100000000000001" customHeight="1" x14ac:dyDescent="0.2">
      <c r="A18" s="67" t="s">
        <v>49</v>
      </c>
      <c r="B18" s="68">
        <v>0</v>
      </c>
    </row>
    <row r="19" spans="1:2" ht="20.100000000000001" customHeight="1" x14ac:dyDescent="0.2">
      <c r="A19" s="67" t="s">
        <v>53</v>
      </c>
      <c r="B19" s="68">
        <v>0</v>
      </c>
    </row>
    <row r="20" spans="1:2" ht="20.100000000000001" customHeight="1" thickBot="1" x14ac:dyDescent="0.25">
      <c r="A20" s="69" t="s">
        <v>38</v>
      </c>
      <c r="B20" s="70">
        <v>0</v>
      </c>
    </row>
    <row r="21" spans="1:2" ht="20.100000000000001" customHeight="1" thickBot="1" x14ac:dyDescent="0.25">
      <c r="A21" s="71" t="s">
        <v>34</v>
      </c>
      <c r="B21" s="72">
        <f>SUM(B15:B20)</f>
        <v>0</v>
      </c>
    </row>
    <row r="22" spans="1:2" ht="13.5" thickBot="1" x14ac:dyDescent="0.25"/>
    <row r="23" spans="1:2" ht="20.100000000000001" customHeight="1" x14ac:dyDescent="0.2">
      <c r="A23" s="75" t="s">
        <v>35</v>
      </c>
      <c r="B23" s="76">
        <f>B12-B21</f>
        <v>0</v>
      </c>
    </row>
    <row r="24" spans="1:2" ht="20.100000000000001" customHeight="1" thickBot="1" x14ac:dyDescent="0.25">
      <c r="A24" s="77" t="s">
        <v>36</v>
      </c>
      <c r="B24" s="78">
        <f>Agosto!B25</f>
        <v>0</v>
      </c>
    </row>
    <row r="25" spans="1:2" ht="20.100000000000001" customHeight="1" thickBot="1" x14ac:dyDescent="0.25">
      <c r="A25" s="79" t="s">
        <v>37</v>
      </c>
      <c r="B25" s="72">
        <f>B23+B24</f>
        <v>0</v>
      </c>
    </row>
    <row r="29" spans="1:2" ht="15" x14ac:dyDescent="0.2">
      <c r="A29" s="83" t="s">
        <v>90</v>
      </c>
      <c r="B29" s="85"/>
    </row>
    <row r="30" spans="1:2" ht="15" x14ac:dyDescent="0.2">
      <c r="A30" s="80"/>
    </row>
    <row r="31" spans="1:2" ht="15" x14ac:dyDescent="0.2">
      <c r="A31" s="80"/>
    </row>
    <row r="32" spans="1:2" ht="15" x14ac:dyDescent="0.2">
      <c r="A32" s="85" t="s">
        <v>80</v>
      </c>
      <c r="B32" s="85"/>
    </row>
    <row r="33" spans="1:2" ht="15" x14ac:dyDescent="0.2">
      <c r="A33" s="85" t="s">
        <v>64</v>
      </c>
      <c r="B33" s="85"/>
    </row>
  </sheetData>
  <mergeCells count="5">
    <mergeCell ref="A29:B29"/>
    <mergeCell ref="A32:B32"/>
    <mergeCell ref="A33:B33"/>
    <mergeCell ref="A2:B2"/>
    <mergeCell ref="A1:B1"/>
  </mergeCells>
  <phoneticPr fontId="11" type="noConversion"/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portrait" horizontalDpi="4294967295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sqref="A1:B1"/>
    </sheetView>
  </sheetViews>
  <sheetFormatPr defaultRowHeight="12.75" x14ac:dyDescent="0.2"/>
  <cols>
    <col min="1" max="1" width="47.85546875" customWidth="1"/>
    <col min="2" max="2" width="24" customWidth="1"/>
  </cols>
  <sheetData>
    <row r="1" spans="1:2" ht="23.25" x14ac:dyDescent="0.35">
      <c r="A1" s="84" t="s">
        <v>83</v>
      </c>
      <c r="B1" s="84"/>
    </row>
    <row r="2" spans="1:2" ht="23.25" x14ac:dyDescent="0.35">
      <c r="A2" s="84"/>
      <c r="B2" s="84"/>
    </row>
    <row r="3" spans="1:2" ht="13.5" thickBot="1" x14ac:dyDescent="0.25"/>
    <row r="4" spans="1:2" ht="30" customHeight="1" thickBot="1" x14ac:dyDescent="0.25">
      <c r="A4" s="39" t="s">
        <v>26</v>
      </c>
      <c r="B4" s="40" t="s">
        <v>91</v>
      </c>
    </row>
    <row r="5" spans="1:2" ht="12" customHeight="1" thickBot="1" x14ac:dyDescent="0.25">
      <c r="A5" s="37"/>
      <c r="B5" s="38"/>
    </row>
    <row r="6" spans="1:2" ht="24" customHeight="1" x14ac:dyDescent="0.2">
      <c r="A6" s="33" t="s">
        <v>27</v>
      </c>
      <c r="B6" s="34"/>
    </row>
    <row r="7" spans="1:2" ht="20.100000000000001" customHeight="1" x14ac:dyDescent="0.2">
      <c r="A7" s="35" t="s">
        <v>28</v>
      </c>
      <c r="B7" s="46">
        <v>0</v>
      </c>
    </row>
    <row r="8" spans="1:2" ht="20.100000000000001" customHeight="1" x14ac:dyDescent="0.2">
      <c r="A8" s="35" t="s">
        <v>19</v>
      </c>
      <c r="B8" s="46">
        <v>0</v>
      </c>
    </row>
    <row r="9" spans="1:2" ht="20.100000000000001" customHeight="1" x14ac:dyDescent="0.2">
      <c r="A9" s="35" t="s">
        <v>30</v>
      </c>
      <c r="B9" s="46">
        <v>0</v>
      </c>
    </row>
    <row r="10" spans="1:2" ht="20.100000000000001" customHeight="1" x14ac:dyDescent="0.2">
      <c r="A10" s="35" t="s">
        <v>29</v>
      </c>
      <c r="B10" s="46">
        <v>0</v>
      </c>
    </row>
    <row r="11" spans="1:2" ht="20.100000000000001" customHeight="1" thickBot="1" x14ac:dyDescent="0.25">
      <c r="A11" s="36" t="s">
        <v>31</v>
      </c>
      <c r="B11" s="47">
        <v>0</v>
      </c>
    </row>
    <row r="12" spans="1:2" ht="20.100000000000001" customHeight="1" thickBot="1" x14ac:dyDescent="0.25">
      <c r="A12" s="32" t="s">
        <v>33</v>
      </c>
      <c r="B12" s="48">
        <f>SUM(B7:B11)</f>
        <v>0</v>
      </c>
    </row>
    <row r="13" spans="1:2" ht="18" customHeight="1" thickBot="1" x14ac:dyDescent="0.25">
      <c r="A13" s="38"/>
      <c r="B13" s="38"/>
    </row>
    <row r="14" spans="1:2" ht="24" customHeight="1" x14ac:dyDescent="0.2">
      <c r="A14" s="33" t="s">
        <v>32</v>
      </c>
      <c r="B14" s="34"/>
    </row>
    <row r="15" spans="1:2" ht="19.5" customHeight="1" x14ac:dyDescent="0.2">
      <c r="A15" s="35" t="s">
        <v>24</v>
      </c>
      <c r="B15" s="42">
        <v>0</v>
      </c>
    </row>
    <row r="16" spans="1:2" ht="20.100000000000001" customHeight="1" x14ac:dyDescent="0.2">
      <c r="A16" s="35" t="s">
        <v>25</v>
      </c>
      <c r="B16" s="43">
        <v>0</v>
      </c>
    </row>
    <row r="17" spans="1:2" ht="20.100000000000001" customHeight="1" x14ac:dyDescent="0.2">
      <c r="A17" s="35" t="s">
        <v>13</v>
      </c>
      <c r="B17" s="43">
        <v>0</v>
      </c>
    </row>
    <row r="18" spans="1:2" ht="20.100000000000001" customHeight="1" x14ac:dyDescent="0.2">
      <c r="A18" s="35" t="s">
        <v>49</v>
      </c>
      <c r="B18" s="46">
        <v>0</v>
      </c>
    </row>
    <row r="19" spans="1:2" ht="20.100000000000001" customHeight="1" x14ac:dyDescent="0.2">
      <c r="A19" s="35" t="s">
        <v>54</v>
      </c>
      <c r="B19" s="46">
        <v>0</v>
      </c>
    </row>
    <row r="20" spans="1:2" ht="20.100000000000001" customHeight="1" thickBot="1" x14ac:dyDescent="0.25">
      <c r="A20" s="67" t="s">
        <v>53</v>
      </c>
      <c r="B20" s="68">
        <v>0</v>
      </c>
    </row>
    <row r="21" spans="1:2" ht="20.100000000000001" customHeight="1" thickBot="1" x14ac:dyDescent="0.25">
      <c r="A21" s="32" t="s">
        <v>34</v>
      </c>
      <c r="B21" s="48">
        <f>SUM(B15:B20)</f>
        <v>0</v>
      </c>
    </row>
    <row r="22" spans="1:2" ht="13.5" thickBot="1" x14ac:dyDescent="0.25"/>
    <row r="23" spans="1:2" ht="20.100000000000001" customHeight="1" x14ac:dyDescent="0.2">
      <c r="A23" s="41" t="s">
        <v>35</v>
      </c>
      <c r="B23" s="49">
        <f>B12-B21</f>
        <v>0</v>
      </c>
    </row>
    <row r="24" spans="1:2" ht="20.100000000000001" customHeight="1" thickBot="1" x14ac:dyDescent="0.25">
      <c r="A24" s="44" t="s">
        <v>36</v>
      </c>
      <c r="B24" s="50">
        <f>Setembro!B25</f>
        <v>0</v>
      </c>
    </row>
    <row r="25" spans="1:2" ht="20.100000000000001" customHeight="1" thickBot="1" x14ac:dyDescent="0.25">
      <c r="A25" s="45" t="s">
        <v>37</v>
      </c>
      <c r="B25" s="48">
        <f>B23+B24</f>
        <v>0</v>
      </c>
    </row>
    <row r="29" spans="1:2" ht="15" x14ac:dyDescent="0.2">
      <c r="A29" s="83" t="s">
        <v>92</v>
      </c>
      <c r="B29" s="83"/>
    </row>
    <row r="30" spans="1:2" ht="15" x14ac:dyDescent="0.2">
      <c r="A30" s="31"/>
    </row>
    <row r="31" spans="1:2" ht="15" x14ac:dyDescent="0.2">
      <c r="A31" s="31"/>
    </row>
    <row r="32" spans="1:2" ht="15" x14ac:dyDescent="0.2">
      <c r="A32" s="83" t="s">
        <v>80</v>
      </c>
      <c r="B32" s="83"/>
    </row>
    <row r="33" spans="1:2" ht="15" x14ac:dyDescent="0.2">
      <c r="A33" s="83" t="s">
        <v>64</v>
      </c>
      <c r="B33" s="83"/>
    </row>
  </sheetData>
  <mergeCells count="5">
    <mergeCell ref="A29:B29"/>
    <mergeCell ref="A32:B32"/>
    <mergeCell ref="A33:B33"/>
    <mergeCell ref="A2:B2"/>
    <mergeCell ref="A1:B1"/>
  </mergeCells>
  <phoneticPr fontId="11" type="noConversion"/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selection sqref="A1:B1"/>
    </sheetView>
  </sheetViews>
  <sheetFormatPr defaultRowHeight="12.75" x14ac:dyDescent="0.2"/>
  <cols>
    <col min="1" max="1" width="47.85546875" customWidth="1"/>
    <col min="2" max="2" width="28" customWidth="1"/>
  </cols>
  <sheetData>
    <row r="1" spans="1:2" ht="23.25" x14ac:dyDescent="0.35">
      <c r="A1" s="84" t="s">
        <v>83</v>
      </c>
      <c r="B1" s="84"/>
    </row>
    <row r="2" spans="1:2" ht="23.25" x14ac:dyDescent="0.35">
      <c r="A2" s="84"/>
      <c r="B2" s="84"/>
    </row>
    <row r="3" spans="1:2" ht="13.5" thickBot="1" x14ac:dyDescent="0.25"/>
    <row r="4" spans="1:2" ht="30" customHeight="1" thickBot="1" x14ac:dyDescent="0.25">
      <c r="A4" s="39" t="s">
        <v>26</v>
      </c>
      <c r="B4" s="40" t="s">
        <v>93</v>
      </c>
    </row>
    <row r="5" spans="1:2" ht="12" customHeight="1" thickBot="1" x14ac:dyDescent="0.25">
      <c r="A5" s="37"/>
      <c r="B5" s="38"/>
    </row>
    <row r="6" spans="1:2" ht="24" customHeight="1" x14ac:dyDescent="0.2">
      <c r="A6" s="33" t="s">
        <v>27</v>
      </c>
      <c r="B6" s="34"/>
    </row>
    <row r="7" spans="1:2" ht="20.100000000000001" customHeight="1" x14ac:dyDescent="0.2">
      <c r="A7" s="35" t="s">
        <v>28</v>
      </c>
      <c r="B7" s="46">
        <v>0</v>
      </c>
    </row>
    <row r="8" spans="1:2" ht="20.100000000000001" customHeight="1" x14ac:dyDescent="0.2">
      <c r="A8" s="35" t="s">
        <v>19</v>
      </c>
      <c r="B8" s="46">
        <v>0</v>
      </c>
    </row>
    <row r="9" spans="1:2" ht="20.100000000000001" customHeight="1" x14ac:dyDescent="0.2">
      <c r="A9" s="35" t="s">
        <v>30</v>
      </c>
      <c r="B9" s="46">
        <v>0</v>
      </c>
    </row>
    <row r="10" spans="1:2" ht="20.100000000000001" customHeight="1" x14ac:dyDescent="0.2">
      <c r="A10" s="35" t="s">
        <v>29</v>
      </c>
      <c r="B10" s="46">
        <v>0</v>
      </c>
    </row>
    <row r="11" spans="1:2" ht="20.100000000000001" customHeight="1" thickBot="1" x14ac:dyDescent="0.25">
      <c r="A11" s="36" t="s">
        <v>31</v>
      </c>
      <c r="B11" s="47">
        <v>0</v>
      </c>
    </row>
    <row r="12" spans="1:2" ht="20.100000000000001" customHeight="1" thickBot="1" x14ac:dyDescent="0.25">
      <c r="A12" s="32" t="s">
        <v>33</v>
      </c>
      <c r="B12" s="48">
        <f>SUM(B7:B11)</f>
        <v>0</v>
      </c>
    </row>
    <row r="13" spans="1:2" ht="18" customHeight="1" thickBot="1" x14ac:dyDescent="0.25">
      <c r="A13" s="38"/>
      <c r="B13" s="38"/>
    </row>
    <row r="14" spans="1:2" ht="24" customHeight="1" x14ac:dyDescent="0.2">
      <c r="A14" s="33" t="s">
        <v>32</v>
      </c>
      <c r="B14" s="34"/>
    </row>
    <row r="15" spans="1:2" ht="19.5" customHeight="1" x14ac:dyDescent="0.2">
      <c r="A15" s="35" t="s">
        <v>24</v>
      </c>
      <c r="B15" s="42">
        <v>0</v>
      </c>
    </row>
    <row r="16" spans="1:2" ht="20.100000000000001" customHeight="1" x14ac:dyDescent="0.2">
      <c r="A16" s="35" t="s">
        <v>25</v>
      </c>
      <c r="B16" s="43">
        <v>0</v>
      </c>
    </row>
    <row r="17" spans="1:2" ht="20.100000000000001" customHeight="1" x14ac:dyDescent="0.2">
      <c r="A17" s="35" t="s">
        <v>13</v>
      </c>
      <c r="B17" s="43">
        <v>0</v>
      </c>
    </row>
    <row r="18" spans="1:2" ht="20.100000000000001" customHeight="1" x14ac:dyDescent="0.2">
      <c r="A18" s="35" t="s">
        <v>49</v>
      </c>
      <c r="B18" s="46">
        <v>0</v>
      </c>
    </row>
    <row r="19" spans="1:2" ht="20.100000000000001" customHeight="1" x14ac:dyDescent="0.2">
      <c r="A19" s="35" t="s">
        <v>38</v>
      </c>
      <c r="B19" s="46">
        <v>0</v>
      </c>
    </row>
    <row r="20" spans="1:2" ht="20.100000000000001" customHeight="1" thickBot="1" x14ac:dyDescent="0.25">
      <c r="A20" s="36" t="s">
        <v>38</v>
      </c>
      <c r="B20" s="47">
        <v>0</v>
      </c>
    </row>
    <row r="21" spans="1:2" ht="20.100000000000001" customHeight="1" thickBot="1" x14ac:dyDescent="0.25">
      <c r="A21" s="32" t="s">
        <v>34</v>
      </c>
      <c r="B21" s="48">
        <f>SUM(B15:B20)</f>
        <v>0</v>
      </c>
    </row>
    <row r="22" spans="1:2" ht="13.5" thickBot="1" x14ac:dyDescent="0.25"/>
    <row r="23" spans="1:2" ht="20.100000000000001" customHeight="1" x14ac:dyDescent="0.2">
      <c r="A23" s="41" t="s">
        <v>35</v>
      </c>
      <c r="B23" s="49">
        <f>B12-B21</f>
        <v>0</v>
      </c>
    </row>
    <row r="24" spans="1:2" ht="20.100000000000001" customHeight="1" thickBot="1" x14ac:dyDescent="0.25">
      <c r="A24" s="44" t="s">
        <v>36</v>
      </c>
      <c r="B24" s="50">
        <f>Outubro!B25</f>
        <v>0</v>
      </c>
    </row>
    <row r="25" spans="1:2" ht="20.100000000000001" customHeight="1" thickBot="1" x14ac:dyDescent="0.25">
      <c r="A25" s="45" t="s">
        <v>37</v>
      </c>
      <c r="B25" s="48">
        <f>B23+B24</f>
        <v>0</v>
      </c>
    </row>
    <row r="29" spans="1:2" ht="15" x14ac:dyDescent="0.2">
      <c r="A29" s="83" t="s">
        <v>94</v>
      </c>
      <c r="B29" s="83"/>
    </row>
    <row r="30" spans="1:2" ht="15" x14ac:dyDescent="0.2">
      <c r="A30" s="82"/>
      <c r="B30" s="82"/>
    </row>
    <row r="31" spans="1:2" ht="15" x14ac:dyDescent="0.2">
      <c r="A31" s="31"/>
    </row>
    <row r="32" spans="1:2" ht="15" x14ac:dyDescent="0.2">
      <c r="A32" s="83" t="s">
        <v>80</v>
      </c>
      <c r="B32" s="83"/>
    </row>
    <row r="33" spans="1:2" ht="15" x14ac:dyDescent="0.2">
      <c r="A33" s="83" t="s">
        <v>64</v>
      </c>
      <c r="B33" s="83"/>
    </row>
    <row r="34" spans="1:2" ht="15" x14ac:dyDescent="0.2">
      <c r="A34" s="83"/>
      <c r="B34" s="83"/>
    </row>
  </sheetData>
  <mergeCells count="6">
    <mergeCell ref="A29:B29"/>
    <mergeCell ref="A33:B33"/>
    <mergeCell ref="A34:B34"/>
    <mergeCell ref="A2:B2"/>
    <mergeCell ref="A1:B1"/>
    <mergeCell ref="A32:B32"/>
  </mergeCells>
  <phoneticPr fontId="11" type="noConversion"/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sqref="A1:B1"/>
    </sheetView>
  </sheetViews>
  <sheetFormatPr defaultRowHeight="12.75" x14ac:dyDescent="0.2"/>
  <cols>
    <col min="1" max="1" width="47.85546875" customWidth="1"/>
    <col min="2" max="2" width="28" customWidth="1"/>
  </cols>
  <sheetData>
    <row r="1" spans="1:2" ht="23.25" x14ac:dyDescent="0.35">
      <c r="A1" s="84" t="s">
        <v>83</v>
      </c>
      <c r="B1" s="84"/>
    </row>
    <row r="2" spans="1:2" ht="23.25" x14ac:dyDescent="0.35">
      <c r="A2" s="84"/>
      <c r="B2" s="84"/>
    </row>
    <row r="3" spans="1:2" ht="13.5" thickBot="1" x14ac:dyDescent="0.25"/>
    <row r="4" spans="1:2" ht="30" customHeight="1" thickBot="1" x14ac:dyDescent="0.25">
      <c r="A4" s="39" t="s">
        <v>26</v>
      </c>
      <c r="B4" s="40" t="s">
        <v>95</v>
      </c>
    </row>
    <row r="5" spans="1:2" ht="12" customHeight="1" thickBot="1" x14ac:dyDescent="0.25">
      <c r="A5" s="37"/>
      <c r="B5" s="38"/>
    </row>
    <row r="6" spans="1:2" ht="24" customHeight="1" x14ac:dyDescent="0.2">
      <c r="A6" s="33" t="s">
        <v>27</v>
      </c>
      <c r="B6" s="34"/>
    </row>
    <row r="7" spans="1:2" ht="20.100000000000001" customHeight="1" x14ac:dyDescent="0.2">
      <c r="A7" s="35" t="s">
        <v>28</v>
      </c>
      <c r="B7" s="46">
        <v>0</v>
      </c>
    </row>
    <row r="8" spans="1:2" ht="20.100000000000001" customHeight="1" x14ac:dyDescent="0.2">
      <c r="A8" s="35" t="s">
        <v>19</v>
      </c>
      <c r="B8" s="46">
        <v>0</v>
      </c>
    </row>
    <row r="9" spans="1:2" ht="20.100000000000001" customHeight="1" x14ac:dyDescent="0.2">
      <c r="A9" s="35" t="s">
        <v>30</v>
      </c>
      <c r="B9" s="46">
        <v>0</v>
      </c>
    </row>
    <row r="10" spans="1:2" ht="20.100000000000001" customHeight="1" x14ac:dyDescent="0.2">
      <c r="A10" s="35" t="s">
        <v>29</v>
      </c>
      <c r="B10" s="46">
        <v>0</v>
      </c>
    </row>
    <row r="11" spans="1:2" ht="20.100000000000001" customHeight="1" thickBot="1" x14ac:dyDescent="0.25">
      <c r="A11" s="36" t="s">
        <v>31</v>
      </c>
      <c r="B11" s="47">
        <v>0</v>
      </c>
    </row>
    <row r="12" spans="1:2" ht="20.100000000000001" customHeight="1" thickBot="1" x14ac:dyDescent="0.25">
      <c r="A12" s="32" t="s">
        <v>33</v>
      </c>
      <c r="B12" s="48">
        <f>SUM(B7:B11)</f>
        <v>0</v>
      </c>
    </row>
    <row r="13" spans="1:2" ht="18" customHeight="1" thickBot="1" x14ac:dyDescent="0.25">
      <c r="A13" s="38"/>
      <c r="B13" s="38"/>
    </row>
    <row r="14" spans="1:2" ht="24" customHeight="1" x14ac:dyDescent="0.2">
      <c r="A14" s="33" t="s">
        <v>32</v>
      </c>
      <c r="B14" s="34"/>
    </row>
    <row r="15" spans="1:2" ht="19.5" customHeight="1" x14ac:dyDescent="0.2">
      <c r="A15" s="35" t="s">
        <v>24</v>
      </c>
      <c r="B15" s="42">
        <v>0</v>
      </c>
    </row>
    <row r="16" spans="1:2" ht="20.100000000000001" customHeight="1" x14ac:dyDescent="0.2">
      <c r="A16" s="35" t="s">
        <v>25</v>
      </c>
      <c r="B16" s="43">
        <v>0</v>
      </c>
    </row>
    <row r="17" spans="1:2" ht="20.100000000000001" customHeight="1" x14ac:dyDescent="0.2">
      <c r="A17" s="35" t="s">
        <v>13</v>
      </c>
      <c r="B17" s="43">
        <v>0</v>
      </c>
    </row>
    <row r="18" spans="1:2" ht="20.100000000000001" customHeight="1" x14ac:dyDescent="0.2">
      <c r="A18" s="35" t="s">
        <v>55</v>
      </c>
      <c r="B18" s="46">
        <v>0</v>
      </c>
    </row>
    <row r="19" spans="1:2" ht="20.100000000000001" customHeight="1" x14ac:dyDescent="0.2">
      <c r="A19" s="35" t="s">
        <v>38</v>
      </c>
      <c r="B19" s="46">
        <v>0</v>
      </c>
    </row>
    <row r="20" spans="1:2" ht="20.100000000000001" customHeight="1" thickBot="1" x14ac:dyDescent="0.25">
      <c r="A20" s="36" t="s">
        <v>38</v>
      </c>
      <c r="B20" s="47">
        <v>0</v>
      </c>
    </row>
    <row r="21" spans="1:2" ht="20.100000000000001" customHeight="1" thickBot="1" x14ac:dyDescent="0.25">
      <c r="A21" s="32" t="s">
        <v>34</v>
      </c>
      <c r="B21" s="48">
        <f>SUM(B15:B20)</f>
        <v>0</v>
      </c>
    </row>
    <row r="22" spans="1:2" ht="13.5" thickBot="1" x14ac:dyDescent="0.25"/>
    <row r="23" spans="1:2" ht="20.100000000000001" customHeight="1" x14ac:dyDescent="0.2">
      <c r="A23" s="41" t="s">
        <v>35</v>
      </c>
      <c r="B23" s="49">
        <f>B12-B21</f>
        <v>0</v>
      </c>
    </row>
    <row r="24" spans="1:2" ht="20.100000000000001" customHeight="1" thickBot="1" x14ac:dyDescent="0.25">
      <c r="A24" s="44" t="s">
        <v>36</v>
      </c>
      <c r="B24" s="50">
        <f>Novembro!B25</f>
        <v>0</v>
      </c>
    </row>
    <row r="25" spans="1:2" ht="20.100000000000001" customHeight="1" thickBot="1" x14ac:dyDescent="0.25">
      <c r="A25" s="45" t="s">
        <v>37</v>
      </c>
      <c r="B25" s="48">
        <f>B23+B24</f>
        <v>0</v>
      </c>
    </row>
    <row r="29" spans="1:2" ht="15" x14ac:dyDescent="0.2">
      <c r="A29" s="83" t="s">
        <v>96</v>
      </c>
      <c r="B29" s="83"/>
    </row>
    <row r="30" spans="1:2" ht="15" x14ac:dyDescent="0.2">
      <c r="A30" s="31"/>
    </row>
    <row r="31" spans="1:2" ht="15" x14ac:dyDescent="0.2">
      <c r="A31" s="31"/>
    </row>
    <row r="32" spans="1:2" ht="15" x14ac:dyDescent="0.2">
      <c r="A32" s="83" t="s">
        <v>80</v>
      </c>
      <c r="B32" s="83"/>
    </row>
    <row r="33" spans="1:2" ht="15" x14ac:dyDescent="0.2">
      <c r="A33" s="83" t="s">
        <v>64</v>
      </c>
      <c r="B33" s="83"/>
    </row>
  </sheetData>
  <mergeCells count="5">
    <mergeCell ref="A29:B29"/>
    <mergeCell ref="A32:B32"/>
    <mergeCell ref="A33:B33"/>
    <mergeCell ref="A2:B2"/>
    <mergeCell ref="A1:B1"/>
  </mergeCells>
  <phoneticPr fontId="11" type="noConversion"/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workbookViewId="0">
      <pane xSplit="1" topLeftCell="B1" activePane="topRight" state="frozen"/>
      <selection pane="topRight" sqref="A1:M1"/>
    </sheetView>
  </sheetViews>
  <sheetFormatPr defaultRowHeight="12.75" x14ac:dyDescent="0.2"/>
  <cols>
    <col min="1" max="1" width="27.7109375" style="1" customWidth="1"/>
    <col min="2" max="10" width="9.140625" style="2"/>
    <col min="11" max="11" width="10.42578125" style="2" customWidth="1"/>
    <col min="12" max="13" width="9.140625" style="2"/>
  </cols>
  <sheetData>
    <row r="1" spans="1:13" ht="15.75" customHeight="1" thickBot="1" x14ac:dyDescent="0.25">
      <c r="A1" s="86" t="s">
        <v>78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8"/>
    </row>
    <row r="2" spans="1:13" s="3" customFormat="1" ht="18" customHeight="1" thickBot="1" x14ac:dyDescent="0.25">
      <c r="A2" s="30">
        <v>2018</v>
      </c>
      <c r="B2" s="20" t="s">
        <v>0</v>
      </c>
      <c r="C2" s="21" t="s">
        <v>12</v>
      </c>
      <c r="D2" s="21" t="s">
        <v>1</v>
      </c>
      <c r="E2" s="21" t="s">
        <v>6</v>
      </c>
      <c r="F2" s="21" t="s">
        <v>7</v>
      </c>
      <c r="G2" s="21" t="s">
        <v>2</v>
      </c>
      <c r="H2" s="21" t="s">
        <v>3</v>
      </c>
      <c r="I2" s="21" t="s">
        <v>39</v>
      </c>
      <c r="J2" s="21" t="s">
        <v>4</v>
      </c>
      <c r="K2" s="21" t="s">
        <v>8</v>
      </c>
      <c r="L2" s="21" t="s">
        <v>9</v>
      </c>
      <c r="M2" s="22" t="s">
        <v>5</v>
      </c>
    </row>
    <row r="3" spans="1:13" s="3" customFormat="1" ht="17.100000000000001" customHeight="1" x14ac:dyDescent="0.2">
      <c r="A3" s="26" t="s">
        <v>21</v>
      </c>
      <c r="B3" s="89"/>
      <c r="C3" s="90"/>
      <c r="D3" s="90"/>
      <c r="E3" s="90"/>
      <c r="F3" s="90"/>
      <c r="G3" s="90"/>
      <c r="H3" s="90"/>
      <c r="I3" s="90"/>
      <c r="J3" s="90"/>
      <c r="K3" s="90"/>
      <c r="L3" s="90"/>
      <c r="M3" s="91"/>
    </row>
    <row r="4" spans="1:13" s="3" customFormat="1" ht="17.100000000000001" customHeight="1" x14ac:dyDescent="0.2">
      <c r="A4" s="27" t="s">
        <v>24</v>
      </c>
      <c r="B4" s="13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5">
        <v>0</v>
      </c>
    </row>
    <row r="5" spans="1:13" s="3" customFormat="1" ht="17.100000000000001" customHeight="1" x14ac:dyDescent="0.2">
      <c r="A5" s="28" t="s">
        <v>25</v>
      </c>
      <c r="B5" s="4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9">
        <v>0</v>
      </c>
    </row>
    <row r="6" spans="1:13" s="3" customFormat="1" ht="17.100000000000001" customHeight="1" x14ac:dyDescent="0.2">
      <c r="A6" s="28" t="s">
        <v>51</v>
      </c>
      <c r="B6" s="4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6">
        <v>0</v>
      </c>
    </row>
    <row r="7" spans="1:13" s="3" customFormat="1" ht="17.100000000000001" customHeight="1" x14ac:dyDescent="0.2">
      <c r="A7" s="28" t="s">
        <v>49</v>
      </c>
      <c r="B7" s="4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6">
        <v>0</v>
      </c>
    </row>
    <row r="8" spans="1:13" s="3" customFormat="1" ht="17.100000000000001" customHeight="1" x14ac:dyDescent="0.2">
      <c r="A8" s="28" t="s">
        <v>99</v>
      </c>
      <c r="B8" s="4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6">
        <v>0</v>
      </c>
    </row>
    <row r="9" spans="1:13" s="3" customFormat="1" ht="17.100000000000001" customHeight="1" x14ac:dyDescent="0.2">
      <c r="A9" s="28" t="s">
        <v>62</v>
      </c>
      <c r="B9" s="4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6">
        <v>0</v>
      </c>
    </row>
    <row r="10" spans="1:13" s="3" customFormat="1" ht="17.100000000000001" customHeight="1" x14ac:dyDescent="0.2">
      <c r="A10" s="28" t="s">
        <v>52</v>
      </c>
      <c r="B10" s="4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6">
        <v>0</v>
      </c>
    </row>
    <row r="11" spans="1:13" s="3" customFormat="1" ht="17.100000000000001" customHeight="1" x14ac:dyDescent="0.2">
      <c r="A11" s="28" t="s">
        <v>98</v>
      </c>
      <c r="B11" s="4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6">
        <v>0</v>
      </c>
    </row>
    <row r="12" spans="1:13" s="3" customFormat="1" ht="17.100000000000001" customHeight="1" x14ac:dyDescent="0.2">
      <c r="A12" s="28" t="s">
        <v>46</v>
      </c>
      <c r="B12" s="4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6">
        <v>0</v>
      </c>
    </row>
    <row r="13" spans="1:13" s="3" customFormat="1" ht="17.100000000000001" customHeight="1" x14ac:dyDescent="0.2">
      <c r="A13" s="28" t="s">
        <v>97</v>
      </c>
      <c r="B13" s="4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6">
        <v>0</v>
      </c>
    </row>
    <row r="14" spans="1:13" s="3" customFormat="1" ht="17.100000000000001" customHeight="1" x14ac:dyDescent="0.2">
      <c r="A14" s="28" t="s">
        <v>75</v>
      </c>
      <c r="B14" s="4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6">
        <v>0</v>
      </c>
    </row>
    <row r="15" spans="1:13" s="3" customFormat="1" ht="17.100000000000001" customHeight="1" x14ac:dyDescent="0.2">
      <c r="A15" s="28" t="s">
        <v>50</v>
      </c>
      <c r="B15" s="4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6">
        <v>0</v>
      </c>
    </row>
    <row r="16" spans="1:13" s="3" customFormat="1" ht="17.100000000000001" customHeight="1" x14ac:dyDescent="0.2">
      <c r="A16" s="28" t="s">
        <v>41</v>
      </c>
      <c r="B16" s="4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6">
        <v>0</v>
      </c>
    </row>
    <row r="17" spans="1:13" s="3" customFormat="1" ht="17.100000000000001" customHeight="1" x14ac:dyDescent="0.2">
      <c r="A17" s="28" t="s">
        <v>47</v>
      </c>
      <c r="B17" s="4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6"/>
    </row>
    <row r="18" spans="1:13" s="3" customFormat="1" ht="17.100000000000001" customHeight="1" x14ac:dyDescent="0.2">
      <c r="A18" s="28" t="s">
        <v>48</v>
      </c>
      <c r="B18" s="4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6">
        <v>0</v>
      </c>
    </row>
    <row r="19" spans="1:13" s="3" customFormat="1" ht="17.100000000000001" customHeight="1" thickBot="1" x14ac:dyDescent="0.25">
      <c r="A19" s="29" t="s">
        <v>56</v>
      </c>
      <c r="B19" s="23">
        <v>0</v>
      </c>
      <c r="C19" s="24">
        <v>0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5">
        <v>0</v>
      </c>
    </row>
    <row r="20" spans="1:13" s="3" customFormat="1" ht="17.100000000000001" customHeight="1" thickBot="1" x14ac:dyDescent="0.25">
      <c r="A20" s="18" t="s">
        <v>10</v>
      </c>
      <c r="B20" s="10">
        <f>SUM(B4:B19)</f>
        <v>0</v>
      </c>
      <c r="C20" s="11">
        <f t="shared" ref="C20:M20" si="0">SUM(C4:C19)</f>
        <v>0</v>
      </c>
      <c r="D20" s="11">
        <f t="shared" si="0"/>
        <v>0</v>
      </c>
      <c r="E20" s="11">
        <f t="shared" si="0"/>
        <v>0</v>
      </c>
      <c r="F20" s="11">
        <f t="shared" si="0"/>
        <v>0</v>
      </c>
      <c r="G20" s="11">
        <f t="shared" si="0"/>
        <v>0</v>
      </c>
      <c r="H20" s="11">
        <f t="shared" si="0"/>
        <v>0</v>
      </c>
      <c r="I20" s="11">
        <f t="shared" si="0"/>
        <v>0</v>
      </c>
      <c r="J20" s="11">
        <f t="shared" si="0"/>
        <v>0</v>
      </c>
      <c r="K20" s="11">
        <f t="shared" si="0"/>
        <v>0</v>
      </c>
      <c r="L20" s="11">
        <f t="shared" si="0"/>
        <v>0</v>
      </c>
      <c r="M20" s="12">
        <f t="shared" si="0"/>
        <v>0</v>
      </c>
    </row>
    <row r="21" spans="1:13" s="3" customFormat="1" ht="17.100000000000001" customHeight="1" x14ac:dyDescent="0.2">
      <c r="A21" s="19" t="s">
        <v>20</v>
      </c>
      <c r="B21" s="92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4"/>
    </row>
    <row r="22" spans="1:13" s="3" customFormat="1" ht="17.100000000000001" customHeight="1" x14ac:dyDescent="0.2">
      <c r="A22" s="16" t="s">
        <v>14</v>
      </c>
      <c r="B22" s="4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6">
        <v>0</v>
      </c>
    </row>
    <row r="23" spans="1:13" s="3" customFormat="1" ht="17.100000000000001" customHeight="1" x14ac:dyDescent="0.2">
      <c r="A23" s="16" t="s">
        <v>17</v>
      </c>
      <c r="B23" s="4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6">
        <v>0</v>
      </c>
    </row>
    <row r="24" spans="1:13" s="3" customFormat="1" ht="17.100000000000001" customHeight="1" x14ac:dyDescent="0.2">
      <c r="A24" s="16" t="s">
        <v>18</v>
      </c>
      <c r="B24" s="4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6">
        <v>0</v>
      </c>
    </row>
    <row r="25" spans="1:13" s="3" customFormat="1" ht="17.100000000000001" customHeight="1" x14ac:dyDescent="0.2">
      <c r="A25" s="16" t="s">
        <v>44</v>
      </c>
      <c r="B25" s="4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6">
        <v>0</v>
      </c>
    </row>
    <row r="26" spans="1:13" s="3" customFormat="1" ht="17.100000000000001" customHeight="1" x14ac:dyDescent="0.2">
      <c r="A26" s="16" t="s">
        <v>16</v>
      </c>
      <c r="B26" s="4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6">
        <v>0</v>
      </c>
    </row>
    <row r="27" spans="1:13" s="3" customFormat="1" ht="17.100000000000001" customHeight="1" x14ac:dyDescent="0.2">
      <c r="A27" s="16" t="s">
        <v>15</v>
      </c>
      <c r="B27" s="4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6">
        <v>0</v>
      </c>
    </row>
    <row r="28" spans="1:13" s="3" customFormat="1" ht="17.100000000000001" customHeight="1" x14ac:dyDescent="0.2">
      <c r="A28" s="17" t="s">
        <v>45</v>
      </c>
      <c r="B28" s="7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9">
        <v>0</v>
      </c>
    </row>
    <row r="29" spans="1:13" s="3" customFormat="1" ht="17.100000000000001" customHeight="1" thickBot="1" x14ac:dyDescent="0.25">
      <c r="A29" s="17" t="s">
        <v>19</v>
      </c>
      <c r="B29" s="7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9">
        <v>0</v>
      </c>
    </row>
    <row r="30" spans="1:13" s="3" customFormat="1" ht="17.100000000000001" customHeight="1" thickBot="1" x14ac:dyDescent="0.25">
      <c r="A30" s="18" t="s">
        <v>11</v>
      </c>
      <c r="B30" s="10">
        <f>SUM(B22:B29)</f>
        <v>0</v>
      </c>
      <c r="C30" s="11">
        <f t="shared" ref="C30:M30" si="1">SUM(C22:C29)</f>
        <v>0</v>
      </c>
      <c r="D30" s="11">
        <f t="shared" si="1"/>
        <v>0</v>
      </c>
      <c r="E30" s="11">
        <f t="shared" si="1"/>
        <v>0</v>
      </c>
      <c r="F30" s="11">
        <f t="shared" si="1"/>
        <v>0</v>
      </c>
      <c r="G30" s="11">
        <f t="shared" si="1"/>
        <v>0</v>
      </c>
      <c r="H30" s="11">
        <f t="shared" si="1"/>
        <v>0</v>
      </c>
      <c r="I30" s="11">
        <f t="shared" si="1"/>
        <v>0</v>
      </c>
      <c r="J30" s="11">
        <f t="shared" si="1"/>
        <v>0</v>
      </c>
      <c r="K30" s="11">
        <f t="shared" si="1"/>
        <v>0</v>
      </c>
      <c r="L30" s="11">
        <f t="shared" si="1"/>
        <v>0</v>
      </c>
      <c r="M30" s="12">
        <f t="shared" si="1"/>
        <v>0</v>
      </c>
    </row>
    <row r="31" spans="1:13" s="3" customFormat="1" ht="17.100000000000001" customHeight="1" thickBot="1" x14ac:dyDescent="0.25">
      <c r="A31" s="18" t="s">
        <v>40</v>
      </c>
      <c r="B31" s="57">
        <f>B30-B20</f>
        <v>0</v>
      </c>
      <c r="C31" s="58">
        <f>C30-C20</f>
        <v>0</v>
      </c>
      <c r="D31" s="58">
        <f t="shared" ref="D31:M31" si="2">D30-D20</f>
        <v>0</v>
      </c>
      <c r="E31" s="58">
        <f t="shared" si="2"/>
        <v>0</v>
      </c>
      <c r="F31" s="58">
        <f t="shared" si="2"/>
        <v>0</v>
      </c>
      <c r="G31" s="58">
        <f>G30-G20</f>
        <v>0</v>
      </c>
      <c r="H31" s="58">
        <f t="shared" si="2"/>
        <v>0</v>
      </c>
      <c r="I31" s="58">
        <f t="shared" si="2"/>
        <v>0</v>
      </c>
      <c r="J31" s="58">
        <f t="shared" si="2"/>
        <v>0</v>
      </c>
      <c r="K31" s="58">
        <f t="shared" si="2"/>
        <v>0</v>
      </c>
      <c r="L31" s="58">
        <f t="shared" si="2"/>
        <v>0</v>
      </c>
      <c r="M31" s="60">
        <f t="shared" si="2"/>
        <v>0</v>
      </c>
    </row>
    <row r="32" spans="1:13" s="3" customFormat="1" ht="17.100000000000001" customHeight="1" thickBot="1" x14ac:dyDescent="0.25">
      <c r="A32" s="53" t="s">
        <v>22</v>
      </c>
      <c r="B32" s="54">
        <v>0</v>
      </c>
      <c r="C32" s="55">
        <f>B33</f>
        <v>0</v>
      </c>
      <c r="D32" s="55">
        <f t="shared" ref="D32:M32" si="3">C33</f>
        <v>0</v>
      </c>
      <c r="E32" s="55">
        <f>D33</f>
        <v>0</v>
      </c>
      <c r="F32" s="55">
        <f>E33</f>
        <v>0</v>
      </c>
      <c r="G32" s="55">
        <f t="shared" si="3"/>
        <v>0</v>
      </c>
      <c r="H32" s="55">
        <f t="shared" si="3"/>
        <v>0</v>
      </c>
      <c r="I32" s="55">
        <f t="shared" si="3"/>
        <v>0</v>
      </c>
      <c r="J32" s="55">
        <f t="shared" si="3"/>
        <v>0</v>
      </c>
      <c r="K32" s="55">
        <f t="shared" si="3"/>
        <v>0</v>
      </c>
      <c r="L32" s="55">
        <f t="shared" si="3"/>
        <v>0</v>
      </c>
      <c r="M32" s="56">
        <f t="shared" si="3"/>
        <v>0</v>
      </c>
    </row>
    <row r="33" spans="1:13" s="3" customFormat="1" ht="17.100000000000001" customHeight="1" thickBot="1" x14ac:dyDescent="0.25">
      <c r="A33" s="18" t="s">
        <v>23</v>
      </c>
      <c r="B33" s="10">
        <f t="shared" ref="B33:M33" si="4">B32+B30-B20</f>
        <v>0</v>
      </c>
      <c r="C33" s="11">
        <f t="shared" si="4"/>
        <v>0</v>
      </c>
      <c r="D33" s="11">
        <f t="shared" si="4"/>
        <v>0</v>
      </c>
      <c r="E33" s="11">
        <f t="shared" si="4"/>
        <v>0</v>
      </c>
      <c r="F33" s="11">
        <f t="shared" si="4"/>
        <v>0</v>
      </c>
      <c r="G33" s="11">
        <f t="shared" si="4"/>
        <v>0</v>
      </c>
      <c r="H33" s="11">
        <f t="shared" si="4"/>
        <v>0</v>
      </c>
      <c r="I33" s="11">
        <f t="shared" si="4"/>
        <v>0</v>
      </c>
      <c r="J33" s="11">
        <f t="shared" si="4"/>
        <v>0</v>
      </c>
      <c r="K33" s="11">
        <f t="shared" si="4"/>
        <v>0</v>
      </c>
      <c r="L33" s="11">
        <f t="shared" si="4"/>
        <v>0</v>
      </c>
      <c r="M33" s="12">
        <f t="shared" si="4"/>
        <v>0</v>
      </c>
    </row>
  </sheetData>
  <mergeCells count="3">
    <mergeCell ref="A1:M1"/>
    <mergeCell ref="B3:M3"/>
    <mergeCell ref="B21:M21"/>
  </mergeCells>
  <phoneticPr fontId="3" type="noConversion"/>
  <printOptions horizontalCentered="1" verticalCentered="1"/>
  <pageMargins left="7.874015748031496E-2" right="0.11811023622047245" top="0.23622047244094491" bottom="0.39370078740157483" header="0.23622047244094491" footer="0.47244094488188981"/>
  <pageSetup paperSize="9" orientation="landscape" horizontalDpi="4294967295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1</vt:i4>
      </vt:variant>
    </vt:vector>
  </HeadingPairs>
  <TitlesOfParts>
    <vt:vector size="14" baseType="lpstr">
      <vt:lpstr>Janeiro</vt:lpstr>
      <vt:lpstr>Fevereiro</vt:lpstr>
      <vt:lpstr> 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Fluxo Contábil</vt:lpstr>
      <vt:lpstr>'Fluxo Contábil'!Area_de_impressao</vt:lpstr>
    </vt:vector>
  </TitlesOfParts>
  <Company>Saturnia Sistemas Energia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Saturnia Sistemas Energia Ltd</dc:creator>
  <cp:lastModifiedBy>Denise Pontes</cp:lastModifiedBy>
  <cp:lastPrinted>2018-07-29T21:57:05Z</cp:lastPrinted>
  <dcterms:created xsi:type="dcterms:W3CDTF">2002-03-08T21:12:07Z</dcterms:created>
  <dcterms:modified xsi:type="dcterms:W3CDTF">2018-07-29T22:03:28Z</dcterms:modified>
</cp:coreProperties>
</file>