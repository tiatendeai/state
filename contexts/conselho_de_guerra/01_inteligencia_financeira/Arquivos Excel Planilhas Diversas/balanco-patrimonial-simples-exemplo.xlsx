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0730" windowHeight="9975" activeTab="1"/>
  </bookViews>
  <sheets>
    <sheet name="BALANCETE" sheetId="2" r:id="rId1"/>
    <sheet name="BP" sheetId="4" r:id="rId2"/>
    <sheet name="DRE" sheetId="5" r:id="rId3"/>
  </sheets>
  <calcPr calcId="124519"/>
</workbook>
</file>

<file path=xl/calcChain.xml><?xml version="1.0" encoding="utf-8"?>
<calcChain xmlns="http://schemas.openxmlformats.org/spreadsheetml/2006/main">
  <c r="F15" i="5"/>
  <c r="F29" s="1"/>
  <c r="F30" s="1"/>
  <c r="F14"/>
  <c r="D31" i="4"/>
  <c r="D29"/>
  <c r="D22"/>
  <c r="B16"/>
  <c r="B31" s="1"/>
  <c r="B29"/>
  <c r="D16"/>
  <c r="M17" i="2" l="1"/>
  <c r="M20" s="1"/>
  <c r="N20" s="1"/>
  <c r="L17"/>
  <c r="K17"/>
  <c r="J17"/>
  <c r="I17"/>
  <c r="H17"/>
  <c r="G17"/>
  <c r="F17"/>
  <c r="E17"/>
  <c r="D17"/>
  <c r="C17"/>
  <c r="M8"/>
  <c r="L7"/>
  <c r="J7"/>
  <c r="I7"/>
  <c r="F7"/>
  <c r="G7"/>
  <c r="E7"/>
  <c r="D7"/>
  <c r="C7"/>
  <c r="B7"/>
  <c r="C5"/>
  <c r="D5"/>
  <c r="E5"/>
  <c r="F5"/>
  <c r="G5"/>
  <c r="H5"/>
  <c r="I5"/>
  <c r="J5"/>
  <c r="K5"/>
  <c r="L5"/>
  <c r="M5"/>
  <c r="B5"/>
  <c r="C4"/>
  <c r="D4"/>
  <c r="E4"/>
  <c r="F4"/>
  <c r="G4"/>
  <c r="H4"/>
  <c r="I4"/>
  <c r="J4"/>
  <c r="K4"/>
  <c r="L4"/>
  <c r="M4"/>
  <c r="B4"/>
  <c r="N15"/>
  <c r="N11"/>
  <c r="C20"/>
  <c r="D20"/>
  <c r="E20"/>
  <c r="F20"/>
  <c r="G20"/>
  <c r="H20"/>
  <c r="I20"/>
  <c r="J20"/>
  <c r="K20"/>
  <c r="L20"/>
  <c r="N10"/>
  <c r="N12"/>
  <c r="N13"/>
  <c r="N14"/>
  <c r="N19" l="1"/>
  <c r="N4"/>
  <c r="N5"/>
  <c r="N6"/>
  <c r="N7"/>
  <c r="N9"/>
  <c r="N3"/>
  <c r="N8" l="1"/>
  <c r="B17"/>
  <c r="B20" s="1"/>
  <c r="N17"/>
</calcChain>
</file>

<file path=xl/sharedStrings.xml><?xml version="1.0" encoding="utf-8"?>
<sst xmlns="http://schemas.openxmlformats.org/spreadsheetml/2006/main" count="86" uniqueCount="80">
  <si>
    <t>Móveis e Utensílios</t>
  </si>
  <si>
    <t>Capital Social</t>
  </si>
  <si>
    <t>SALÁRIOS</t>
  </si>
  <si>
    <t>FGTS</t>
  </si>
  <si>
    <t>INSS</t>
  </si>
  <si>
    <t>PRO-LABORE</t>
  </si>
  <si>
    <t>ENERGIA ELÉTRICA</t>
  </si>
  <si>
    <t>TELEFONE E INTERNET</t>
  </si>
  <si>
    <t>DESPESAS DIVERSAS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</si>
  <si>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</si>
  <si>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</si>
  <si>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</si>
  <si>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</si>
  <si>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</si>
  <si>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</si>
  <si>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</si>
  <si>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</si>
  <si>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</si>
  <si>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</si>
  <si>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</si>
  <si>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</si>
  <si>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</si>
  <si>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ALUGUÉIS PAGOS</t>
  </si>
  <si>
    <t>FATURAMENTO</t>
  </si>
  <si>
    <t>IMPOSTOS E TRIBUTOS</t>
  </si>
  <si>
    <t xml:space="preserve">FÉRIAS + 1/3 </t>
  </si>
  <si>
    <t>CONTABILIDADE</t>
  </si>
  <si>
    <t>ATIVO</t>
  </si>
  <si>
    <t>PASSIVO</t>
  </si>
  <si>
    <t>ATIVO CIRCULANTE</t>
  </si>
  <si>
    <t>Disponível</t>
  </si>
  <si>
    <t>Caixa / Bancos</t>
  </si>
  <si>
    <t>TOTAL CIRCULANTE</t>
  </si>
  <si>
    <t>ATIVO PERMANENTE</t>
  </si>
  <si>
    <t>(-) Depreciação Acumulada</t>
  </si>
  <si>
    <t xml:space="preserve">TOTAL PERMANENTE </t>
  </si>
  <si>
    <t>Balanço Patrimonial</t>
  </si>
  <si>
    <t>PASSIVO CIRCULANTE</t>
  </si>
  <si>
    <t>TOTAL DO ATIVO</t>
  </si>
  <si>
    <t>TOTAL DO PASSIVO</t>
  </si>
  <si>
    <t>PATRIMÔNIO LÍQUIDO</t>
  </si>
  <si>
    <t>____________________________</t>
  </si>
  <si>
    <t>Encerrado em 31/12/2018</t>
  </si>
  <si>
    <t>TOTAL PATRIMÔNIO LÍQUIDO</t>
  </si>
  <si>
    <t>VR</t>
  </si>
  <si>
    <t>SALDO CAIXA</t>
  </si>
  <si>
    <t>Clientes</t>
  </si>
  <si>
    <t>DESP C/ DEPRECIAÇÃO</t>
  </si>
  <si>
    <t xml:space="preserve">RESCISÕES </t>
  </si>
  <si>
    <t>MILCAD MONITORAMENTO ELETRONICO EIRELI</t>
  </si>
  <si>
    <t>CNPJ: 25.143.212/0001-59</t>
  </si>
  <si>
    <t>Equips Computação</t>
  </si>
  <si>
    <t>Equips Escritório</t>
  </si>
  <si>
    <t>Salários à Pagar</t>
  </si>
  <si>
    <t>Impostos à Pagar</t>
  </si>
  <si>
    <t>MILCAD 2018</t>
  </si>
  <si>
    <t>Lucro do Exercício</t>
  </si>
  <si>
    <t>Veículos</t>
  </si>
  <si>
    <t>Financiamentos</t>
  </si>
  <si>
    <t>PASSIVO NÃO CIRCULANTE</t>
  </si>
  <si>
    <t>TOTAL NÃO CIRCULANTE</t>
  </si>
  <si>
    <t>Demonstrativo de Resultado do Exercício</t>
  </si>
  <si>
    <t>Consolidado em 31/12/2018</t>
  </si>
  <si>
    <t>Receita Operacional Bruta</t>
  </si>
  <si>
    <t>Venda de Serviços</t>
  </si>
  <si>
    <t>( - ) Despesa Operacional</t>
  </si>
  <si>
    <t>( - ) Deduçoes da Receita Bruta</t>
  </si>
  <si>
    <t>( = ) Receita Operacional Líquida</t>
  </si>
  <si>
    <t>Salários</t>
  </si>
  <si>
    <t>Rescisões</t>
  </si>
  <si>
    <t>Energia Elétrica</t>
  </si>
  <si>
    <t>Telefone / Internet</t>
  </si>
  <si>
    <t>Aluguéis Passivos</t>
  </si>
  <si>
    <t>Despesas Diversas</t>
  </si>
  <si>
    <t>( = ) Resultado Operacional Líquido do Exercício</t>
  </si>
  <si>
    <t>Vale Refeição / Alimentação</t>
  </si>
  <si>
    <t>Férias + Terço Constitucional</t>
  </si>
  <si>
    <t>Pro-Labore</t>
  </si>
  <si>
    <t>Honorários Contábeis / Jurídicos</t>
  </si>
  <si>
    <t>( = ) Lucros ou Prejuízos Acumulados</t>
  </si>
</sst>
</file>

<file path=xl/styles.xml><?xml version="1.0" encoding="utf-8"?>
<styleSheet xmlns="http://schemas.openxmlformats.org/spreadsheetml/2006/main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4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3">
    <xf numFmtId="0" fontId="0" fillId="0" borderId="0" xfId="0"/>
    <xf numFmtId="164" fontId="0" fillId="0" borderId="0" xfId="1" applyFont="1"/>
    <xf numFmtId="164" fontId="0" fillId="0" borderId="1" xfId="1" applyFont="1" applyBorder="1"/>
    <xf numFmtId="164" fontId="4" fillId="0" borderId="1" xfId="1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  <xf numFmtId="164" fontId="5" fillId="0" borderId="1" xfId="1" applyFont="1" applyBorder="1"/>
    <xf numFmtId="164" fontId="5" fillId="0" borderId="0" xfId="1" applyFont="1"/>
    <xf numFmtId="0" fontId="6" fillId="0" borderId="0" xfId="0" applyFont="1"/>
    <xf numFmtId="0" fontId="7" fillId="0" borderId="0" xfId="0" applyFont="1"/>
    <xf numFmtId="0" fontId="7" fillId="0" borderId="2" xfId="0" applyFont="1" applyBorder="1"/>
    <xf numFmtId="0" fontId="7" fillId="0" borderId="4" xfId="0" applyFont="1" applyBorder="1"/>
    <xf numFmtId="0" fontId="7" fillId="0" borderId="6" xfId="0" applyFont="1" applyBorder="1"/>
    <xf numFmtId="44" fontId="7" fillId="0" borderId="3" xfId="5" applyFont="1" applyBorder="1"/>
    <xf numFmtId="44" fontId="7" fillId="0" borderId="5" xfId="5" applyFont="1" applyBorder="1"/>
    <xf numFmtId="44" fontId="7" fillId="0" borderId="7" xfId="5" applyFont="1" applyBorder="1"/>
    <xf numFmtId="44" fontId="7" fillId="0" borderId="0" xfId="5" applyFont="1"/>
    <xf numFmtId="44" fontId="6" fillId="0" borderId="0" xfId="5" applyFont="1"/>
    <xf numFmtId="44" fontId="7" fillId="0" borderId="0" xfId="5" applyFont="1" applyBorder="1"/>
    <xf numFmtId="44" fontId="9" fillId="0" borderId="0" xfId="5" applyFont="1" applyBorder="1"/>
    <xf numFmtId="0" fontId="9" fillId="0" borderId="4" xfId="0" applyFont="1" applyBorder="1"/>
    <xf numFmtId="0" fontId="9" fillId="0" borderId="8" xfId="0" applyFont="1" applyBorder="1"/>
    <xf numFmtId="44" fontId="7" fillId="0" borderId="9" xfId="5" applyFont="1" applyBorder="1"/>
    <xf numFmtId="44" fontId="9" fillId="0" borderId="5" xfId="5" applyFont="1" applyBorder="1"/>
    <xf numFmtId="43" fontId="5" fillId="0" borderId="0" xfId="1" applyNumberFormat="1" applyFont="1"/>
    <xf numFmtId="164" fontId="1" fillId="0" borderId="1" xfId="1" applyFont="1" applyBorder="1"/>
    <xf numFmtId="164" fontId="1" fillId="0" borderId="0" xfId="1" applyFont="1"/>
    <xf numFmtId="164" fontId="12" fillId="0" borderId="11" xfId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Border="1"/>
    <xf numFmtId="44" fontId="6" fillId="0" borderId="0" xfId="5" applyFont="1" applyBorder="1"/>
    <xf numFmtId="0" fontId="8" fillId="0" borderId="0" xfId="0" applyFont="1" applyBorder="1" applyAlignment="1">
      <alignment horizontal="center"/>
    </xf>
    <xf numFmtId="0" fontId="7" fillId="0" borderId="0" xfId="0" applyFont="1" applyBorder="1"/>
    <xf numFmtId="0" fontId="9" fillId="0" borderId="0" xfId="0" applyFont="1" applyBorder="1"/>
    <xf numFmtId="0" fontId="6" fillId="0" borderId="0" xfId="0" applyFont="1" applyAlignment="1">
      <alignment horizontal="center"/>
    </xf>
    <xf numFmtId="44" fontId="6" fillId="0" borderId="0" xfId="5" applyFont="1" applyAlignment="1">
      <alignment horizontal="center"/>
    </xf>
    <xf numFmtId="44" fontId="8" fillId="0" borderId="0" xfId="5" applyFont="1" applyAlignment="1">
      <alignment horizontal="center"/>
    </xf>
    <xf numFmtId="0" fontId="6" fillId="0" borderId="4" xfId="0" applyFont="1" applyBorder="1"/>
  </cellXfs>
  <cellStyles count="6">
    <cellStyle name="Moeda" xfId="5" builtinId="4"/>
    <cellStyle name="Normal" xfId="0" builtinId="0"/>
    <cellStyle name="Normal 5" xfId="2"/>
    <cellStyle name="Separador de milhares" xfId="1" builtinId="3"/>
    <cellStyle name="Separador de milhares 2" xfId="3"/>
    <cellStyle name="Separador de milhares 6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opLeftCell="A7" workbookViewId="0">
      <selection activeCell="H15" sqref="H15"/>
    </sheetView>
  </sheetViews>
  <sheetFormatPr defaultRowHeight="15"/>
  <cols>
    <col min="1" max="1" width="20" style="6" bestFit="1" customWidth="1"/>
    <col min="2" max="13" width="11.28515625" style="1" customWidth="1"/>
    <col min="14" max="14" width="13.28515625" style="1" bestFit="1" customWidth="1"/>
    <col min="15" max="15" width="11.5703125" style="1" bestFit="1" customWidth="1"/>
    <col min="16" max="16384" width="9.140625" style="1"/>
  </cols>
  <sheetData>
    <row r="1" spans="1:14" ht="51" customHeight="1">
      <c r="A1" s="26" t="s">
        <v>55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>
      <c r="A2" s="5"/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  <c r="M2" s="4" t="s">
        <v>20</v>
      </c>
      <c r="N2" s="3" t="s">
        <v>21</v>
      </c>
    </row>
    <row r="3" spans="1:14">
      <c r="A3" s="5" t="s">
        <v>2</v>
      </c>
      <c r="B3" s="4">
        <v>28758.46</v>
      </c>
      <c r="C3" s="4">
        <v>28758.46</v>
      </c>
      <c r="D3" s="4">
        <v>33561.56</v>
      </c>
      <c r="E3" s="4">
        <v>38453.71</v>
      </c>
      <c r="F3" s="4">
        <v>43665.02</v>
      </c>
      <c r="G3" s="4">
        <v>48482.03</v>
      </c>
      <c r="H3" s="4">
        <v>49887.69</v>
      </c>
      <c r="I3" s="4">
        <v>48370.51</v>
      </c>
      <c r="J3" s="4">
        <v>49153.29</v>
      </c>
      <c r="K3" s="4">
        <v>54012.45</v>
      </c>
      <c r="L3" s="4">
        <v>54168.66</v>
      </c>
      <c r="M3" s="4">
        <v>56554.92</v>
      </c>
      <c r="N3" s="4">
        <f>SUM(B3:M3)</f>
        <v>533826.76</v>
      </c>
    </row>
    <row r="4" spans="1:14">
      <c r="A4" s="5" t="s">
        <v>3</v>
      </c>
      <c r="B4" s="4">
        <f>B3*8%</f>
        <v>2300.6768000000002</v>
      </c>
      <c r="C4" s="4">
        <f t="shared" ref="C4:M4" si="0">C3*8%</f>
        <v>2300.6768000000002</v>
      </c>
      <c r="D4" s="4">
        <f t="shared" si="0"/>
        <v>2684.9247999999998</v>
      </c>
      <c r="E4" s="4">
        <f t="shared" si="0"/>
        <v>3076.2968000000001</v>
      </c>
      <c r="F4" s="4">
        <f t="shared" si="0"/>
        <v>3493.2015999999999</v>
      </c>
      <c r="G4" s="4">
        <f t="shared" si="0"/>
        <v>3878.5623999999998</v>
      </c>
      <c r="H4" s="4">
        <f t="shared" si="0"/>
        <v>3991.0152000000003</v>
      </c>
      <c r="I4" s="4">
        <f t="shared" si="0"/>
        <v>3869.6408000000001</v>
      </c>
      <c r="J4" s="4">
        <f t="shared" si="0"/>
        <v>3932.2632000000003</v>
      </c>
      <c r="K4" s="4">
        <f t="shared" si="0"/>
        <v>4320.9960000000001</v>
      </c>
      <c r="L4" s="4">
        <f t="shared" si="0"/>
        <v>4333.4928</v>
      </c>
      <c r="M4" s="4">
        <f t="shared" si="0"/>
        <v>4524.3936000000003</v>
      </c>
      <c r="N4" s="4">
        <f t="shared" ref="N4:N14" si="1">SUM(B4:M4)</f>
        <v>42706.140800000008</v>
      </c>
    </row>
    <row r="5" spans="1:14">
      <c r="A5" s="5" t="s">
        <v>4</v>
      </c>
      <c r="B5" s="4">
        <f>B3*9%</f>
        <v>2588.2613999999999</v>
      </c>
      <c r="C5" s="4">
        <f t="shared" ref="C5:M5" si="2">C3*9%</f>
        <v>2588.2613999999999</v>
      </c>
      <c r="D5" s="4">
        <f t="shared" si="2"/>
        <v>3020.5403999999999</v>
      </c>
      <c r="E5" s="4">
        <f t="shared" si="2"/>
        <v>3460.8338999999996</v>
      </c>
      <c r="F5" s="4">
        <f t="shared" si="2"/>
        <v>3929.8517999999995</v>
      </c>
      <c r="G5" s="4">
        <f t="shared" si="2"/>
        <v>4363.3827000000001</v>
      </c>
      <c r="H5" s="4">
        <f t="shared" si="2"/>
        <v>4489.8921</v>
      </c>
      <c r="I5" s="4">
        <f t="shared" si="2"/>
        <v>4353.3459000000003</v>
      </c>
      <c r="J5" s="4">
        <f t="shared" si="2"/>
        <v>4423.7960999999996</v>
      </c>
      <c r="K5" s="4">
        <f t="shared" si="2"/>
        <v>4861.1205</v>
      </c>
      <c r="L5" s="4">
        <f t="shared" si="2"/>
        <v>4875.1794</v>
      </c>
      <c r="M5" s="4">
        <f t="shared" si="2"/>
        <v>5089.9427999999998</v>
      </c>
      <c r="N5" s="4">
        <f t="shared" si="1"/>
        <v>48044.408399999993</v>
      </c>
    </row>
    <row r="6" spans="1:14">
      <c r="A6" s="5" t="s">
        <v>44</v>
      </c>
      <c r="B6" s="4">
        <v>4994.8</v>
      </c>
      <c r="C6" s="4">
        <v>4807.6000000000004</v>
      </c>
      <c r="D6" s="4">
        <v>6038.4</v>
      </c>
      <c r="E6" s="4">
        <v>6982.8</v>
      </c>
      <c r="F6" s="4">
        <v>7706.8</v>
      </c>
      <c r="G6" s="4">
        <v>7443.6</v>
      </c>
      <c r="H6" s="4">
        <v>7476</v>
      </c>
      <c r="I6" s="4">
        <v>7364.4</v>
      </c>
      <c r="J6" s="4">
        <v>7847.92</v>
      </c>
      <c r="K6" s="4">
        <v>9005.2000000000007</v>
      </c>
      <c r="L6" s="4">
        <v>9087.48</v>
      </c>
      <c r="M6" s="4">
        <v>9589.68</v>
      </c>
      <c r="N6" s="4">
        <f t="shared" si="1"/>
        <v>88344.68</v>
      </c>
    </row>
    <row r="7" spans="1:14">
      <c r="A7" s="5" t="s">
        <v>48</v>
      </c>
      <c r="B7" s="4">
        <f>622.14+207.38+900.63</f>
        <v>1730.15</v>
      </c>
      <c r="C7" s="4">
        <f>287.43+1094.58+364.86+605.12</f>
        <v>2351.9899999999998</v>
      </c>
      <c r="D7" s="4">
        <f>324.17+216.12+1296.69+504.27+1296.69</f>
        <v>3637.94</v>
      </c>
      <c r="E7" s="4">
        <f>133.33+133.33+44.44+746.67</f>
        <v>1057.77</v>
      </c>
      <c r="F7" s="4">
        <f>935.72+1069.05+358.7+356.35+1635.87</f>
        <v>4355.6899999999996</v>
      </c>
      <c r="G7" s="4">
        <f>726.38+726.38+311.22+242.12+2681.06</f>
        <v>4687.16</v>
      </c>
      <c r="H7" s="4">
        <v>0</v>
      </c>
      <c r="I7" s="4">
        <f>1188.63+864.46+1296.69+720.39+2550.16</f>
        <v>6620.33</v>
      </c>
      <c r="J7" s="4">
        <f>1512.81+1102.19+367.4+1296.69</f>
        <v>4279.09</v>
      </c>
      <c r="K7" s="4">
        <v>0</v>
      </c>
      <c r="L7" s="4">
        <f>3376.6+3092.84+1030.94+3282.11</f>
        <v>10782.490000000002</v>
      </c>
      <c r="M7" s="4">
        <v>0</v>
      </c>
      <c r="N7" s="4">
        <f t="shared" si="1"/>
        <v>39502.61</v>
      </c>
    </row>
    <row r="8" spans="1:14">
      <c r="A8" s="5" t="s">
        <v>25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f>1383.12+461.04</f>
        <v>1844.1599999999999</v>
      </c>
      <c r="N8" s="4">
        <f t="shared" si="1"/>
        <v>1844.1599999999999</v>
      </c>
    </row>
    <row r="9" spans="1:14">
      <c r="A9" s="5" t="s">
        <v>5</v>
      </c>
      <c r="B9" s="4">
        <v>1296.69</v>
      </c>
      <c r="C9" s="4">
        <v>1296.69</v>
      </c>
      <c r="D9" s="4">
        <v>1296.69</v>
      </c>
      <c r="E9" s="4">
        <v>1296.69</v>
      </c>
      <c r="F9" s="4">
        <v>1296.69</v>
      </c>
      <c r="G9" s="4">
        <v>1296.69</v>
      </c>
      <c r="H9" s="4">
        <v>1296.69</v>
      </c>
      <c r="I9" s="4">
        <v>1296.69</v>
      </c>
      <c r="J9" s="4">
        <v>1296.69</v>
      </c>
      <c r="K9" s="4">
        <v>1296.69</v>
      </c>
      <c r="L9" s="4">
        <v>1296.69</v>
      </c>
      <c r="M9" s="4">
        <v>1296.69</v>
      </c>
      <c r="N9" s="4">
        <f t="shared" si="1"/>
        <v>15560.280000000004</v>
      </c>
    </row>
    <row r="10" spans="1:14">
      <c r="A10" s="5" t="s">
        <v>24</v>
      </c>
      <c r="B10" s="4">
        <v>4854.8599999999997</v>
      </c>
      <c r="C10" s="4">
        <v>4286.68</v>
      </c>
      <c r="D10" s="4">
        <v>7511.6</v>
      </c>
      <c r="E10" s="4">
        <v>7030.72</v>
      </c>
      <c r="F10" s="4">
        <v>7178.17</v>
      </c>
      <c r="G10" s="4">
        <v>6753.88</v>
      </c>
      <c r="H10" s="4">
        <v>6812.89</v>
      </c>
      <c r="I10" s="4">
        <v>6510.53</v>
      </c>
      <c r="J10" s="4">
        <v>8285.89</v>
      </c>
      <c r="K10" s="4">
        <v>8418.57</v>
      </c>
      <c r="L10" s="4">
        <v>8579.51</v>
      </c>
      <c r="M10" s="4">
        <v>9378.31</v>
      </c>
      <c r="N10" s="4">
        <f t="shared" si="1"/>
        <v>85601.609999999986</v>
      </c>
    </row>
    <row r="11" spans="1:14">
      <c r="A11" s="5" t="s">
        <v>6</v>
      </c>
      <c r="B11" s="4">
        <v>1879.25</v>
      </c>
      <c r="C11" s="4">
        <v>2287.58</v>
      </c>
      <c r="D11" s="4">
        <v>1958.17</v>
      </c>
      <c r="E11" s="4">
        <v>1658.91</v>
      </c>
      <c r="F11" s="4">
        <v>1602.24</v>
      </c>
      <c r="G11" s="4">
        <v>1564.4</v>
      </c>
      <c r="H11" s="4">
        <v>1600.12</v>
      </c>
      <c r="I11" s="4">
        <v>1625.87</v>
      </c>
      <c r="J11" s="4">
        <v>1701.33</v>
      </c>
      <c r="K11" s="4">
        <v>1694.14</v>
      </c>
      <c r="L11" s="4">
        <v>2002.73</v>
      </c>
      <c r="M11" s="1">
        <v>2121.58</v>
      </c>
      <c r="N11" s="4">
        <f t="shared" si="1"/>
        <v>21696.32</v>
      </c>
    </row>
    <row r="12" spans="1:14">
      <c r="A12" s="5" t="s">
        <v>7</v>
      </c>
      <c r="B12" s="4">
        <v>802.56</v>
      </c>
      <c r="C12" s="4">
        <v>800.74</v>
      </c>
      <c r="D12" s="4">
        <v>815.11</v>
      </c>
      <c r="E12" s="4">
        <v>801.96</v>
      </c>
      <c r="F12" s="4">
        <v>812.47</v>
      </c>
      <c r="G12" s="4">
        <v>810.11</v>
      </c>
      <c r="H12" s="4">
        <v>800</v>
      </c>
      <c r="I12" s="4">
        <v>835.64</v>
      </c>
      <c r="J12" s="4">
        <v>821.69</v>
      </c>
      <c r="K12" s="4">
        <v>820.51</v>
      </c>
      <c r="L12" s="4">
        <v>812.33</v>
      </c>
      <c r="M12" s="4">
        <v>815.73</v>
      </c>
      <c r="N12" s="4">
        <f t="shared" si="1"/>
        <v>9748.85</v>
      </c>
    </row>
    <row r="13" spans="1:14">
      <c r="A13" s="5" t="s">
        <v>22</v>
      </c>
      <c r="B13" s="4">
        <v>4500</v>
      </c>
      <c r="C13" s="4">
        <v>4500</v>
      </c>
      <c r="D13" s="4">
        <v>4500</v>
      </c>
      <c r="E13" s="4">
        <v>4500</v>
      </c>
      <c r="F13" s="4">
        <v>4500</v>
      </c>
      <c r="G13" s="4">
        <v>4500</v>
      </c>
      <c r="H13" s="4">
        <v>4500</v>
      </c>
      <c r="I13" s="4">
        <v>4500</v>
      </c>
      <c r="J13" s="4">
        <v>4500</v>
      </c>
      <c r="K13" s="4">
        <v>4500</v>
      </c>
      <c r="L13" s="4">
        <v>4500</v>
      </c>
      <c r="M13" s="4">
        <v>4500</v>
      </c>
      <c r="N13" s="4">
        <f t="shared" si="1"/>
        <v>54000</v>
      </c>
    </row>
    <row r="14" spans="1:14">
      <c r="A14" s="5" t="s">
        <v>26</v>
      </c>
      <c r="B14" s="4">
        <v>600</v>
      </c>
      <c r="C14" s="4">
        <v>600</v>
      </c>
      <c r="D14" s="4">
        <v>600</v>
      </c>
      <c r="E14" s="4">
        <v>600</v>
      </c>
      <c r="F14" s="4">
        <v>600</v>
      </c>
      <c r="G14" s="4">
        <v>600</v>
      </c>
      <c r="H14" s="4">
        <v>600</v>
      </c>
      <c r="I14" s="4">
        <v>600</v>
      </c>
      <c r="J14" s="4">
        <v>600</v>
      </c>
      <c r="K14" s="4">
        <v>600</v>
      </c>
      <c r="L14" s="4">
        <v>600</v>
      </c>
      <c r="M14" s="4">
        <v>600</v>
      </c>
      <c r="N14" s="4">
        <f t="shared" si="1"/>
        <v>7200</v>
      </c>
    </row>
    <row r="15" spans="1:14">
      <c r="A15" s="5" t="s">
        <v>47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>
        <v>7273.41</v>
      </c>
      <c r="N15" s="4">
        <f>M15</f>
        <v>7273.41</v>
      </c>
    </row>
    <row r="16" spans="1:14">
      <c r="A16" s="5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B17" s="2">
        <f>SUM(B3:B16)</f>
        <v>54305.708200000008</v>
      </c>
      <c r="C17" s="2">
        <f t="shared" ref="C17:M17" si="3">SUM(C3:C16)</f>
        <v>54578.678200000002</v>
      </c>
      <c r="D17" s="2">
        <f t="shared" si="3"/>
        <v>65624.935200000007</v>
      </c>
      <c r="E17" s="2">
        <f t="shared" si="3"/>
        <v>68919.690700000006</v>
      </c>
      <c r="F17" s="2">
        <f t="shared" si="3"/>
        <v>79140.133400000006</v>
      </c>
      <c r="G17" s="2">
        <f t="shared" si="3"/>
        <v>84379.815100000007</v>
      </c>
      <c r="H17" s="2">
        <f t="shared" si="3"/>
        <v>81454.297299999991</v>
      </c>
      <c r="I17" s="2">
        <f t="shared" si="3"/>
        <v>85946.956699999995</v>
      </c>
      <c r="J17" s="2">
        <f t="shared" si="3"/>
        <v>86841.959300000002</v>
      </c>
      <c r="K17" s="2">
        <f t="shared" si="3"/>
        <v>89529.676500000001</v>
      </c>
      <c r="L17" s="2">
        <f t="shared" si="3"/>
        <v>101038.5622</v>
      </c>
      <c r="M17" s="2">
        <f t="shared" si="3"/>
        <v>103588.81640000001</v>
      </c>
      <c r="N17" s="2">
        <f>SUM(N3:N16)</f>
        <v>955349.22919999994</v>
      </c>
    </row>
    <row r="18" spans="1:14">
      <c r="B18" s="23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>
      <c r="A19" s="5" t="s">
        <v>23</v>
      </c>
      <c r="B19" s="2">
        <v>86845</v>
      </c>
      <c r="C19" s="2">
        <v>76118.559999999998</v>
      </c>
      <c r="D19" s="2">
        <v>107856.6</v>
      </c>
      <c r="E19" s="2">
        <v>102270.6</v>
      </c>
      <c r="F19" s="2">
        <v>103588</v>
      </c>
      <c r="G19" s="2">
        <v>95415.59</v>
      </c>
      <c r="H19" s="2">
        <v>88058.6</v>
      </c>
      <c r="I19" s="2">
        <v>82303</v>
      </c>
      <c r="J19" s="2">
        <v>104122.79</v>
      </c>
      <c r="K19" s="2">
        <v>93396</v>
      </c>
      <c r="L19" s="2">
        <v>102834.84</v>
      </c>
      <c r="M19" s="2">
        <v>105599.99</v>
      </c>
      <c r="N19" s="24">
        <f>SUM(B19:M19)</f>
        <v>1148409.57</v>
      </c>
    </row>
    <row r="20" spans="1:14">
      <c r="A20" s="6" t="s">
        <v>45</v>
      </c>
      <c r="B20" s="1">
        <f>B19-B17</f>
        <v>32539.291799999992</v>
      </c>
      <c r="C20" s="1">
        <f t="shared" ref="C20:M20" si="4">C19-C17</f>
        <v>21539.881799999996</v>
      </c>
      <c r="D20" s="1">
        <f t="shared" si="4"/>
        <v>42231.664799999999</v>
      </c>
      <c r="E20" s="1">
        <f t="shared" si="4"/>
        <v>33350.909299999999</v>
      </c>
      <c r="F20" s="1">
        <f t="shared" si="4"/>
        <v>24447.866599999994</v>
      </c>
      <c r="G20" s="1">
        <f t="shared" si="4"/>
        <v>11035.774899999989</v>
      </c>
      <c r="H20" s="1">
        <f t="shared" si="4"/>
        <v>6604.3027000000147</v>
      </c>
      <c r="I20" s="1">
        <f t="shared" si="4"/>
        <v>-3643.9566999999952</v>
      </c>
      <c r="J20" s="1">
        <f t="shared" si="4"/>
        <v>17280.830699999991</v>
      </c>
      <c r="K20" s="1">
        <f t="shared" si="4"/>
        <v>3866.3234999999986</v>
      </c>
      <c r="L20" s="1">
        <f t="shared" si="4"/>
        <v>1796.2777999999962</v>
      </c>
      <c r="M20" s="1">
        <f t="shared" si="4"/>
        <v>2011.1735999999946</v>
      </c>
      <c r="N20" s="25">
        <f>SUM(B20:M20)</f>
        <v>193060.34079999995</v>
      </c>
    </row>
    <row r="21" spans="1:14">
      <c r="N21" s="25"/>
    </row>
    <row r="22" spans="1:14">
      <c r="N22" s="25"/>
    </row>
    <row r="23" spans="1:14">
      <c r="N23" s="25"/>
    </row>
  </sheetData>
  <mergeCells count="1">
    <mergeCell ref="A1:N1"/>
  </mergeCells>
  <pageMargins left="0.19685039370078741" right="0.19685039370078741" top="0.6692913385826772" bottom="0.59055118110236227" header="0.27559055118110237" footer="0.31496062992125984"/>
  <pageSetup paperSize="9" scale="85" orientation="landscape" r:id="rId1"/>
  <headerFooter alignWithMargins="0"/>
  <ignoredErrors>
    <ignoredError sqref="N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D42"/>
  <sheetViews>
    <sheetView tabSelected="1" workbookViewId="0">
      <selection activeCell="A5" sqref="A5:D5"/>
    </sheetView>
  </sheetViews>
  <sheetFormatPr defaultRowHeight="17.25"/>
  <cols>
    <col min="1" max="1" width="27.7109375" style="7" customWidth="1"/>
    <col min="2" max="2" width="17.7109375" style="16" customWidth="1"/>
    <col min="3" max="3" width="27.7109375" style="7" customWidth="1"/>
    <col min="4" max="4" width="17.7109375" style="15" customWidth="1"/>
    <col min="5" max="5" width="2.7109375" style="7" customWidth="1"/>
    <col min="6" max="16384" width="9.140625" style="7"/>
  </cols>
  <sheetData>
    <row r="3" spans="1:4" ht="18.75">
      <c r="A3" s="32" t="s">
        <v>36</v>
      </c>
      <c r="B3" s="32"/>
      <c r="C3" s="32"/>
      <c r="D3" s="32"/>
    </row>
    <row r="4" spans="1:4" ht="18.75">
      <c r="A4" s="32" t="s">
        <v>42</v>
      </c>
      <c r="B4" s="32"/>
      <c r="C4" s="32"/>
      <c r="D4" s="32"/>
    </row>
    <row r="5" spans="1:4" ht="18.75">
      <c r="A5" s="33" t="s">
        <v>49</v>
      </c>
      <c r="B5" s="33"/>
      <c r="C5" s="33"/>
      <c r="D5" s="33"/>
    </row>
    <row r="6" spans="1:4" ht="18.75">
      <c r="A6" s="33" t="s">
        <v>50</v>
      </c>
      <c r="B6" s="33"/>
      <c r="C6" s="33"/>
      <c r="D6" s="33"/>
    </row>
    <row r="9" spans="1:4">
      <c r="A9" s="28" t="s">
        <v>27</v>
      </c>
      <c r="B9" s="29"/>
      <c r="C9" s="30" t="s">
        <v>28</v>
      </c>
      <c r="D9" s="31"/>
    </row>
    <row r="10" spans="1:4">
      <c r="A10" s="9"/>
      <c r="B10" s="12"/>
      <c r="C10" s="9"/>
      <c r="D10" s="12"/>
    </row>
    <row r="11" spans="1:4">
      <c r="A11" s="19" t="s">
        <v>29</v>
      </c>
      <c r="B11" s="13"/>
      <c r="C11" s="19" t="s">
        <v>37</v>
      </c>
      <c r="D11" s="13"/>
    </row>
    <row r="12" spans="1:4">
      <c r="A12" s="10" t="s">
        <v>30</v>
      </c>
      <c r="B12" s="13"/>
      <c r="C12" s="10" t="s">
        <v>53</v>
      </c>
      <c r="D12" s="13">
        <v>56554.92</v>
      </c>
    </row>
    <row r="13" spans="1:4">
      <c r="A13" s="10" t="s">
        <v>31</v>
      </c>
      <c r="B13" s="13">
        <v>219208.15</v>
      </c>
      <c r="C13" s="10" t="s">
        <v>54</v>
      </c>
      <c r="D13" s="13">
        <v>34898.300000000003</v>
      </c>
    </row>
    <row r="14" spans="1:4">
      <c r="A14" s="10" t="s">
        <v>46</v>
      </c>
      <c r="B14" s="13">
        <v>73038.66</v>
      </c>
      <c r="C14" s="10"/>
      <c r="D14" s="13"/>
    </row>
    <row r="15" spans="1:4">
      <c r="A15" s="10"/>
      <c r="B15" s="13"/>
      <c r="C15" s="10"/>
      <c r="D15" s="13"/>
    </row>
    <row r="16" spans="1:4">
      <c r="A16" s="10" t="s">
        <v>32</v>
      </c>
      <c r="B16" s="22">
        <f>B13+B14</f>
        <v>292246.81</v>
      </c>
      <c r="C16" s="10" t="s">
        <v>32</v>
      </c>
      <c r="D16" s="22">
        <f>SUM(D9:D15)</f>
        <v>91453.22</v>
      </c>
    </row>
    <row r="17" spans="1:4">
      <c r="A17" s="10"/>
      <c r="B17" s="22"/>
      <c r="C17" s="10"/>
      <c r="D17" s="22"/>
    </row>
    <row r="18" spans="1:4">
      <c r="A18" s="19"/>
      <c r="B18" s="13"/>
      <c r="C18" s="10"/>
      <c r="D18" s="13"/>
    </row>
    <row r="19" spans="1:4">
      <c r="A19" s="19" t="s">
        <v>33</v>
      </c>
      <c r="B19" s="13"/>
      <c r="C19" s="19" t="s">
        <v>59</v>
      </c>
      <c r="D19" s="13"/>
    </row>
    <row r="20" spans="1:4">
      <c r="A20" s="42" t="s">
        <v>57</v>
      </c>
      <c r="B20" s="13">
        <v>180596.38</v>
      </c>
      <c r="C20" s="10" t="s">
        <v>58</v>
      </c>
      <c r="D20" s="13">
        <v>167013.01999999999</v>
      </c>
    </row>
    <row r="21" spans="1:4">
      <c r="A21" s="10" t="s">
        <v>0</v>
      </c>
      <c r="B21" s="13">
        <v>3634.77</v>
      </c>
      <c r="C21" s="19"/>
      <c r="D21" s="13"/>
    </row>
    <row r="22" spans="1:4">
      <c r="A22" s="10" t="s">
        <v>51</v>
      </c>
      <c r="B22" s="13">
        <v>47902.84</v>
      </c>
      <c r="C22" s="10" t="s">
        <v>60</v>
      </c>
      <c r="D22" s="22">
        <f>D20</f>
        <v>167013.01999999999</v>
      </c>
    </row>
    <row r="23" spans="1:4">
      <c r="A23" s="10" t="s">
        <v>52</v>
      </c>
      <c r="B23" s="13">
        <v>34419.19</v>
      </c>
      <c r="C23" s="10"/>
      <c r="D23" s="13"/>
    </row>
    <row r="24" spans="1:4">
      <c r="A24" s="10" t="s">
        <v>34</v>
      </c>
      <c r="B24" s="13">
        <v>-7273.41</v>
      </c>
      <c r="C24" s="10"/>
      <c r="D24" s="13"/>
    </row>
    <row r="25" spans="1:4">
      <c r="A25" s="10"/>
      <c r="B25" s="13"/>
      <c r="C25" s="19" t="s">
        <v>40</v>
      </c>
      <c r="D25" s="13"/>
    </row>
    <row r="26" spans="1:4">
      <c r="A26" s="10"/>
      <c r="B26" s="13"/>
      <c r="C26" s="10" t="s">
        <v>1</v>
      </c>
      <c r="D26" s="13">
        <v>100000</v>
      </c>
    </row>
    <row r="27" spans="1:4">
      <c r="A27" s="10"/>
      <c r="B27" s="13"/>
      <c r="C27" s="10" t="s">
        <v>56</v>
      </c>
      <c r="D27" s="13">
        <v>193060.34</v>
      </c>
    </row>
    <row r="28" spans="1:4">
      <c r="A28" s="10"/>
      <c r="B28" s="13"/>
      <c r="C28" s="10"/>
      <c r="D28" s="13"/>
    </row>
    <row r="29" spans="1:4">
      <c r="A29" s="10" t="s">
        <v>35</v>
      </c>
      <c r="B29" s="22">
        <f>SUM(B20:B28)</f>
        <v>259279.77</v>
      </c>
      <c r="C29" s="10" t="s">
        <v>43</v>
      </c>
      <c r="D29" s="22">
        <f>D26+D27</f>
        <v>293060.33999999997</v>
      </c>
    </row>
    <row r="30" spans="1:4">
      <c r="A30" s="11"/>
      <c r="B30" s="14"/>
      <c r="C30" s="11"/>
      <c r="D30" s="14"/>
    </row>
    <row r="31" spans="1:4">
      <c r="A31" s="20" t="s">
        <v>38</v>
      </c>
      <c r="B31" s="21">
        <f>B16+B29</f>
        <v>551526.57999999996</v>
      </c>
      <c r="C31" s="20" t="s">
        <v>39</v>
      </c>
      <c r="D31" s="21">
        <f>D16+D22+D29</f>
        <v>551526.57999999996</v>
      </c>
    </row>
    <row r="32" spans="1:4">
      <c r="A32" s="8"/>
      <c r="B32" s="15"/>
      <c r="C32" s="8"/>
    </row>
    <row r="33" spans="1:4">
      <c r="A33" s="8"/>
      <c r="B33" s="15"/>
      <c r="C33" s="8"/>
    </row>
    <row r="34" spans="1:4">
      <c r="A34" s="8"/>
      <c r="B34" s="15"/>
      <c r="C34" s="8"/>
    </row>
    <row r="35" spans="1:4">
      <c r="A35" s="27" t="s">
        <v>41</v>
      </c>
      <c r="B35" s="27"/>
      <c r="C35" s="27" t="s">
        <v>41</v>
      </c>
      <c r="D35" s="27"/>
    </row>
    <row r="36" spans="1:4">
      <c r="A36" s="27"/>
      <c r="B36" s="27"/>
      <c r="C36" s="27"/>
      <c r="D36" s="27"/>
    </row>
    <row r="37" spans="1:4">
      <c r="A37" s="27"/>
      <c r="B37" s="27"/>
      <c r="C37" s="27"/>
      <c r="D37" s="27"/>
    </row>
    <row r="38" spans="1:4">
      <c r="A38" s="27"/>
      <c r="B38" s="27"/>
      <c r="C38" s="27"/>
      <c r="D38" s="27"/>
    </row>
    <row r="39" spans="1:4">
      <c r="A39" s="8"/>
      <c r="B39" s="15"/>
      <c r="C39" s="8"/>
    </row>
    <row r="40" spans="1:4">
      <c r="A40" s="8"/>
      <c r="B40" s="15"/>
      <c r="C40" s="8"/>
    </row>
    <row r="41" spans="1:4">
      <c r="A41" s="8"/>
      <c r="B41" s="15"/>
      <c r="C41" s="8"/>
    </row>
    <row r="42" spans="1:4">
      <c r="A42" s="8"/>
      <c r="B42" s="15"/>
      <c r="C42" s="8"/>
    </row>
  </sheetData>
  <mergeCells count="14">
    <mergeCell ref="A9:B9"/>
    <mergeCell ref="C9:D9"/>
    <mergeCell ref="A3:D3"/>
    <mergeCell ref="A4:D4"/>
    <mergeCell ref="A5:D5"/>
    <mergeCell ref="A6:D6"/>
    <mergeCell ref="A37:B37"/>
    <mergeCell ref="C37:D37"/>
    <mergeCell ref="A38:B38"/>
    <mergeCell ref="C38:D38"/>
    <mergeCell ref="A35:B35"/>
    <mergeCell ref="C35:D35"/>
    <mergeCell ref="A36:B36"/>
    <mergeCell ref="C36:D36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G49"/>
  <sheetViews>
    <sheetView topLeftCell="A22" workbookViewId="0">
      <selection activeCell="I25" sqref="I25"/>
    </sheetView>
  </sheetViews>
  <sheetFormatPr defaultRowHeight="17.25"/>
  <cols>
    <col min="1" max="1" width="6.42578125" style="7" customWidth="1"/>
    <col min="2" max="2" width="17.7109375" style="16" customWidth="1"/>
    <col min="3" max="3" width="27.7109375" style="7" customWidth="1"/>
    <col min="4" max="4" width="16.42578125" style="15" customWidth="1"/>
    <col min="5" max="5" width="1" style="7" customWidth="1"/>
    <col min="6" max="6" width="9.140625" style="7"/>
    <col min="7" max="7" width="11.140625" style="7" customWidth="1"/>
    <col min="8" max="16384" width="9.140625" style="7"/>
  </cols>
  <sheetData>
    <row r="3" spans="1:7" ht="18.75">
      <c r="A3" s="32" t="s">
        <v>61</v>
      </c>
      <c r="B3" s="32"/>
      <c r="C3" s="32"/>
      <c r="D3" s="32"/>
      <c r="E3" s="32"/>
      <c r="F3" s="32"/>
      <c r="G3" s="32"/>
    </row>
    <row r="4" spans="1:7" ht="18.75">
      <c r="A4" s="32" t="s">
        <v>62</v>
      </c>
      <c r="B4" s="32"/>
      <c r="C4" s="32"/>
      <c r="D4" s="32"/>
      <c r="E4" s="32"/>
      <c r="F4" s="32"/>
      <c r="G4" s="32"/>
    </row>
    <row r="5" spans="1:7" ht="18.75">
      <c r="A5" s="33" t="s">
        <v>49</v>
      </c>
      <c r="B5" s="33"/>
      <c r="C5" s="33"/>
      <c r="D5" s="33"/>
      <c r="E5" s="33"/>
      <c r="F5" s="33"/>
      <c r="G5" s="33"/>
    </row>
    <row r="6" spans="1:7" ht="18.75">
      <c r="A6" s="33" t="s">
        <v>50</v>
      </c>
      <c r="B6" s="33"/>
      <c r="C6" s="33"/>
      <c r="D6" s="33"/>
      <c r="E6" s="33"/>
      <c r="F6" s="33"/>
      <c r="G6" s="33"/>
    </row>
    <row r="7" spans="1:7">
      <c r="A7" s="34"/>
      <c r="B7" s="35"/>
      <c r="C7" s="34"/>
      <c r="D7" s="17"/>
    </row>
    <row r="8" spans="1:7">
      <c r="A8" s="34"/>
      <c r="B8" s="35"/>
      <c r="C8" s="34"/>
      <c r="D8" s="17"/>
    </row>
    <row r="9" spans="1:7">
      <c r="A9" s="36"/>
      <c r="B9" s="36"/>
      <c r="C9" s="36"/>
      <c r="D9" s="36"/>
    </row>
    <row r="10" spans="1:7">
      <c r="A10" s="38" t="s">
        <v>63</v>
      </c>
      <c r="B10" s="18"/>
      <c r="C10" s="38"/>
      <c r="D10" s="17"/>
      <c r="F10" s="40"/>
      <c r="G10" s="40"/>
    </row>
    <row r="11" spans="1:7">
      <c r="A11" s="38"/>
      <c r="B11" s="17" t="s">
        <v>64</v>
      </c>
      <c r="C11" s="38"/>
      <c r="D11" s="17"/>
      <c r="F11" s="40">
        <v>1148409.57</v>
      </c>
      <c r="G11" s="40"/>
    </row>
    <row r="12" spans="1:7">
      <c r="A12" s="38" t="s">
        <v>66</v>
      </c>
      <c r="B12" s="18"/>
      <c r="C12" s="38"/>
      <c r="D12" s="17"/>
      <c r="F12" s="41">
        <v>-85601.61</v>
      </c>
      <c r="G12" s="41"/>
    </row>
    <row r="13" spans="1:7" ht="12" customHeight="1">
      <c r="A13" s="38"/>
      <c r="B13" s="18"/>
      <c r="C13" s="38"/>
      <c r="D13" s="17"/>
      <c r="F13" s="40"/>
      <c r="G13" s="40"/>
    </row>
    <row r="14" spans="1:7">
      <c r="A14" s="38" t="s">
        <v>67</v>
      </c>
      <c r="B14" s="18"/>
      <c r="C14" s="38"/>
      <c r="D14" s="17"/>
      <c r="F14" s="41">
        <f>F11+F12</f>
        <v>1062807.96</v>
      </c>
      <c r="G14" s="41"/>
    </row>
    <row r="15" spans="1:7">
      <c r="A15" s="38" t="s">
        <v>65</v>
      </c>
      <c r="B15" s="18"/>
      <c r="C15" s="38"/>
      <c r="D15" s="17"/>
      <c r="F15" s="41">
        <f>SUM(F16:F28)</f>
        <v>869747.62</v>
      </c>
      <c r="G15" s="41"/>
    </row>
    <row r="16" spans="1:7">
      <c r="A16" s="37"/>
      <c r="B16" s="17" t="s">
        <v>68</v>
      </c>
      <c r="C16" s="37"/>
      <c r="D16" s="18"/>
      <c r="F16" s="40">
        <v>533826.76</v>
      </c>
      <c r="G16" s="40"/>
    </row>
    <row r="17" spans="1:7">
      <c r="A17" s="37"/>
      <c r="B17" s="17" t="s">
        <v>3</v>
      </c>
      <c r="C17" s="37"/>
      <c r="D17" s="18"/>
      <c r="F17" s="40">
        <v>42706.14</v>
      </c>
      <c r="G17" s="40"/>
    </row>
    <row r="18" spans="1:7">
      <c r="A18" s="37"/>
      <c r="B18" s="17" t="s">
        <v>4</v>
      </c>
      <c r="C18" s="37"/>
      <c r="D18" s="18"/>
      <c r="F18" s="40">
        <v>48044.41</v>
      </c>
      <c r="G18" s="40"/>
    </row>
    <row r="19" spans="1:7">
      <c r="A19" s="37"/>
      <c r="B19" s="17" t="s">
        <v>75</v>
      </c>
      <c r="C19" s="37"/>
      <c r="D19" s="18"/>
      <c r="F19" s="40">
        <v>88344.68</v>
      </c>
      <c r="G19" s="40"/>
    </row>
    <row r="20" spans="1:7">
      <c r="A20" s="37"/>
      <c r="B20" s="17" t="s">
        <v>69</v>
      </c>
      <c r="C20" s="37"/>
      <c r="D20" s="18"/>
      <c r="F20" s="40">
        <v>39502.61</v>
      </c>
      <c r="G20" s="40"/>
    </row>
    <row r="21" spans="1:7">
      <c r="A21" s="37"/>
      <c r="B21" s="17" t="s">
        <v>76</v>
      </c>
      <c r="C21" s="37"/>
      <c r="D21" s="18"/>
      <c r="F21" s="40">
        <v>1844.16</v>
      </c>
      <c r="G21" s="40"/>
    </row>
    <row r="22" spans="1:7">
      <c r="A22" s="37"/>
      <c r="B22" s="17" t="s">
        <v>77</v>
      </c>
      <c r="C22" s="37"/>
      <c r="D22" s="18"/>
      <c r="F22" s="40">
        <v>15560.28</v>
      </c>
      <c r="G22" s="40"/>
    </row>
    <row r="23" spans="1:7">
      <c r="A23" s="37"/>
      <c r="B23" s="17" t="s">
        <v>70</v>
      </c>
      <c r="C23" s="37"/>
      <c r="D23" s="18"/>
      <c r="F23" s="40">
        <v>21696.32</v>
      </c>
      <c r="G23" s="40"/>
    </row>
    <row r="24" spans="1:7">
      <c r="A24" s="37"/>
      <c r="B24" s="17" t="s">
        <v>71</v>
      </c>
      <c r="C24" s="37"/>
      <c r="D24" s="17"/>
      <c r="F24" s="40">
        <v>9748.85</v>
      </c>
      <c r="G24" s="40"/>
    </row>
    <row r="25" spans="1:7">
      <c r="A25" s="37"/>
      <c r="B25" s="17" t="s">
        <v>72</v>
      </c>
      <c r="C25" s="38"/>
      <c r="D25" s="17"/>
      <c r="F25" s="40">
        <v>54000</v>
      </c>
      <c r="G25" s="40"/>
    </row>
    <row r="26" spans="1:7">
      <c r="A26" s="37"/>
      <c r="B26" s="17" t="s">
        <v>78</v>
      </c>
      <c r="C26" s="38"/>
      <c r="D26" s="17"/>
      <c r="F26" s="40">
        <v>7200</v>
      </c>
      <c r="G26" s="40"/>
    </row>
    <row r="27" spans="1:7">
      <c r="A27" s="34"/>
      <c r="B27" s="17" t="s">
        <v>73</v>
      </c>
      <c r="C27" s="37"/>
      <c r="D27" s="17"/>
      <c r="F27" s="40">
        <v>7273.41</v>
      </c>
      <c r="G27" s="40"/>
    </row>
    <row r="28" spans="1:7">
      <c r="A28" s="37"/>
      <c r="B28" s="17"/>
      <c r="C28" s="38"/>
      <c r="D28" s="17"/>
      <c r="F28" s="40"/>
      <c r="G28" s="40"/>
    </row>
    <row r="29" spans="1:7">
      <c r="A29" s="38" t="s">
        <v>74</v>
      </c>
      <c r="B29" s="17"/>
      <c r="C29" s="37"/>
      <c r="D29" s="18"/>
      <c r="F29" s="41">
        <f>F14-F15</f>
        <v>193060.33999999997</v>
      </c>
      <c r="G29" s="41"/>
    </row>
    <row r="30" spans="1:7">
      <c r="A30" s="37"/>
      <c r="B30" s="18" t="s">
        <v>79</v>
      </c>
      <c r="C30" s="37"/>
      <c r="D30" s="17"/>
      <c r="F30" s="41">
        <f>F29</f>
        <v>193060.33999999997</v>
      </c>
      <c r="G30" s="41"/>
    </row>
    <row r="31" spans="1:7">
      <c r="A31" s="37"/>
      <c r="B31" s="17"/>
      <c r="C31" s="37"/>
      <c r="D31" s="17"/>
      <c r="F31" s="40"/>
      <c r="G31" s="40"/>
    </row>
    <row r="32" spans="1:7">
      <c r="A32" s="37"/>
      <c r="B32" s="17"/>
      <c r="C32" s="38"/>
      <c r="D32" s="17"/>
      <c r="F32" s="39"/>
      <c r="G32" s="39"/>
    </row>
    <row r="33" spans="1:7">
      <c r="A33" s="37"/>
      <c r="B33" s="17"/>
      <c r="C33" s="37"/>
      <c r="D33" s="17"/>
      <c r="F33" s="39"/>
      <c r="G33" s="39"/>
    </row>
    <row r="34" spans="1:7">
      <c r="A34" s="37"/>
      <c r="B34" s="17"/>
      <c r="C34" s="37"/>
      <c r="D34" s="17"/>
      <c r="F34" s="39"/>
      <c r="G34" s="39"/>
    </row>
    <row r="35" spans="1:7">
      <c r="A35" s="37"/>
      <c r="B35" s="17"/>
      <c r="C35" s="37"/>
      <c r="D35" s="17"/>
      <c r="F35" s="39"/>
      <c r="G35" s="39"/>
    </row>
    <row r="36" spans="1:7">
      <c r="A36" s="37"/>
      <c r="B36" s="17"/>
      <c r="C36" s="37"/>
      <c r="D36" s="18"/>
      <c r="F36" s="39"/>
      <c r="G36" s="39"/>
    </row>
    <row r="37" spans="1:7">
      <c r="A37" s="37"/>
      <c r="B37" s="17"/>
      <c r="C37" s="37"/>
      <c r="D37" s="17"/>
      <c r="F37" s="39"/>
      <c r="G37" s="39"/>
    </row>
    <row r="38" spans="1:7">
      <c r="A38" s="37"/>
      <c r="B38" s="17"/>
      <c r="C38" s="38"/>
      <c r="D38" s="17"/>
      <c r="F38" s="39"/>
      <c r="G38" s="39"/>
    </row>
    <row r="39" spans="1:7">
      <c r="A39" s="37"/>
      <c r="B39" s="17"/>
      <c r="C39" s="37"/>
      <c r="D39" s="17"/>
      <c r="F39" s="39"/>
      <c r="G39" s="39"/>
    </row>
    <row r="40" spans="1:7">
      <c r="A40" s="37"/>
      <c r="B40" s="17"/>
      <c r="C40" s="37"/>
      <c r="D40" s="17"/>
    </row>
    <row r="41" spans="1:7">
      <c r="A41" s="8"/>
      <c r="B41" s="15"/>
      <c r="C41" s="8"/>
    </row>
    <row r="42" spans="1:7">
      <c r="A42" s="27"/>
      <c r="B42" s="27"/>
      <c r="C42" s="27"/>
      <c r="D42" s="27"/>
    </row>
    <row r="43" spans="1:7">
      <c r="A43" s="27"/>
      <c r="B43" s="27"/>
      <c r="C43" s="27"/>
      <c r="D43" s="27"/>
    </row>
    <row r="44" spans="1:7">
      <c r="A44" s="27"/>
      <c r="B44" s="27"/>
      <c r="C44" s="27"/>
      <c r="D44" s="27"/>
    </row>
    <row r="45" spans="1:7">
      <c r="A45" s="27"/>
      <c r="B45" s="27"/>
      <c r="C45" s="27"/>
      <c r="D45" s="27"/>
    </row>
    <row r="46" spans="1:7">
      <c r="A46" s="8"/>
      <c r="B46" s="15"/>
      <c r="C46" s="8"/>
    </row>
    <row r="47" spans="1:7">
      <c r="A47" s="8"/>
      <c r="B47" s="15"/>
      <c r="C47" s="8"/>
    </row>
    <row r="48" spans="1:7">
      <c r="A48" s="8"/>
      <c r="B48" s="15"/>
      <c r="C48" s="8"/>
    </row>
    <row r="49" spans="1:3">
      <c r="A49" s="8"/>
      <c r="B49" s="15"/>
      <c r="C49" s="8"/>
    </row>
  </sheetData>
  <mergeCells count="43">
    <mergeCell ref="F36:G36"/>
    <mergeCell ref="F37:G37"/>
    <mergeCell ref="F38:G38"/>
    <mergeCell ref="F39:G39"/>
    <mergeCell ref="F17:G17"/>
    <mergeCell ref="F18:G18"/>
    <mergeCell ref="F19:G19"/>
    <mergeCell ref="F20:G20"/>
    <mergeCell ref="F21:G21"/>
    <mergeCell ref="F22:G22"/>
    <mergeCell ref="F30:G30"/>
    <mergeCell ref="F31:G31"/>
    <mergeCell ref="F32:G32"/>
    <mergeCell ref="F33:G33"/>
    <mergeCell ref="F34:G34"/>
    <mergeCell ref="F35:G35"/>
    <mergeCell ref="F23:G23"/>
    <mergeCell ref="F24:G24"/>
    <mergeCell ref="F25:G25"/>
    <mergeCell ref="F27:G27"/>
    <mergeCell ref="F28:G28"/>
    <mergeCell ref="F29:G29"/>
    <mergeCell ref="F26:G26"/>
    <mergeCell ref="A45:B45"/>
    <mergeCell ref="C45:D45"/>
    <mergeCell ref="A9:D9"/>
    <mergeCell ref="F10:G10"/>
    <mergeCell ref="F11:G11"/>
    <mergeCell ref="F12:G12"/>
    <mergeCell ref="F13:G13"/>
    <mergeCell ref="F14:G14"/>
    <mergeCell ref="F15:G15"/>
    <mergeCell ref="F16:G16"/>
    <mergeCell ref="A42:B42"/>
    <mergeCell ref="C42:D42"/>
    <mergeCell ref="A43:B43"/>
    <mergeCell ref="C43:D43"/>
    <mergeCell ref="A44:B44"/>
    <mergeCell ref="C44:D44"/>
    <mergeCell ref="A3:G3"/>
    <mergeCell ref="A4:G4"/>
    <mergeCell ref="A5:G5"/>
    <mergeCell ref="A6:G6"/>
  </mergeCells>
  <printOptions horizontalCentered="1"/>
  <pageMargins left="0.51181102362204722" right="0.51181102362204722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BALANCETE</vt:lpstr>
      <vt:lpstr>BP</vt:lpstr>
      <vt:lpstr>DRE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Contabilidade</dc:creator>
  <cp:lastModifiedBy>Contabilidade</cp:lastModifiedBy>
  <cp:lastPrinted>2019-05-17T16:48:43Z</cp:lastPrinted>
  <dcterms:created xsi:type="dcterms:W3CDTF">2018-08-23T13:32:45Z</dcterms:created>
  <dcterms:modified xsi:type="dcterms:W3CDTF">2019-05-17T16:48:52Z</dcterms:modified>
</cp:coreProperties>
</file>