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r.silva.FATOCONTABIL\Desktop\"/>
    </mc:Choice>
  </mc:AlternateContent>
  <xr:revisionPtr revIDLastSave="0" documentId="8_{50246D4E-3341-42FF-BA67-67983DA7BCAC}" xr6:coauthVersionLast="47" xr6:coauthVersionMax="47" xr10:uidLastSave="{00000000-0000-0000-0000-000000000000}"/>
  <bookViews>
    <workbookView xWindow="-120" yWindow="-120" windowWidth="24240" windowHeight="13140" xr2:uid="{52BFB6FF-8A59-4930-8F64-60BBA69D67A7}"/>
  </bookViews>
  <sheets>
    <sheet name="Calc Multa Sped Cont.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2" l="1"/>
  <c r="C42" i="2"/>
  <c r="I41" i="2"/>
  <c r="F41" i="2"/>
  <c r="E49" i="2" s="1"/>
  <c r="C41" i="2"/>
  <c r="I40" i="2"/>
  <c r="F40" i="2"/>
  <c r="C40" i="2"/>
  <c r="A25" i="2"/>
  <c r="A10" i="2"/>
  <c r="A9" i="2"/>
  <c r="E43" i="2" l="1"/>
  <c r="B43" i="2"/>
  <c r="F48" i="2"/>
  <c r="F46" i="2"/>
  <c r="F49" i="2"/>
  <c r="E48" i="2"/>
  <c r="H45" i="2"/>
  <c r="H48" i="2"/>
  <c r="J40" i="2"/>
  <c r="E45" i="2"/>
  <c r="F45" i="2"/>
  <c r="E46" i="2"/>
  <c r="G46" i="2" s="1"/>
  <c r="G48" i="2" l="1"/>
  <c r="I48" i="2"/>
  <c r="I45" i="2"/>
  <c r="G45" i="2"/>
  <c r="Q19" i="2" s="1"/>
  <c r="A24" i="2" s="1"/>
  <c r="O23" i="2" s="1"/>
  <c r="Q23" i="2" s="1"/>
  <c r="O27" i="2" s="1"/>
  <c r="G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Junior Silva</author>
  </authors>
  <commentList>
    <comment ref="O25" authorId="0" shapeId="0" xr:uid="{418D6232-991C-406B-A049-0D1163712F0E}">
      <text>
        <r>
          <rPr>
            <b/>
            <sz val="9"/>
            <color indexed="81"/>
            <rFont val="Segoe UI"/>
            <family val="2"/>
          </rPr>
          <t>Junior Silva:</t>
        </r>
        <r>
          <rPr>
            <sz val="9"/>
            <color indexed="81"/>
            <rFont val="Segoe UI"/>
            <family val="2"/>
          </rPr>
          <t xml:space="preserve">
Artigo 6º da Lei nº 8.218, de 29 de agosto de 1991, com a redação dada pela Lei 11.941, de 2009</t>
        </r>
      </text>
    </comment>
  </commentList>
</comments>
</file>

<file path=xl/sharedStrings.xml><?xml version="1.0" encoding="utf-8"?>
<sst xmlns="http://schemas.openxmlformats.org/spreadsheetml/2006/main" count="21" uniqueCount="16">
  <si>
    <t>Periodo de Apuração</t>
  </si>
  <si>
    <t>Prazo final para Entrega</t>
  </si>
  <si>
    <t>Data da entrega</t>
  </si>
  <si>
    <t>Nº de Dias de atraso</t>
  </si>
  <si>
    <t>12/2020</t>
  </si>
  <si>
    <t>Receita Bruta</t>
  </si>
  <si>
    <t>Valor da Multa s/redução</t>
  </si>
  <si>
    <t>Valor da Multa C/redução</t>
  </si>
  <si>
    <t xml:space="preserve">Valor da Multa C/redução 50% para PG á vista até o Vencimento </t>
  </si>
  <si>
    <t>Data Entrega</t>
  </si>
  <si>
    <t>Dia</t>
  </si>
  <si>
    <t>Mês</t>
  </si>
  <si>
    <t>Ano</t>
  </si>
  <si>
    <t>Prazo Final</t>
  </si>
  <si>
    <t>Período de Apuração</t>
  </si>
  <si>
    <t>Multa sped Contribuições entregue Fora do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</si>
</sst>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4" fontId="0" fillId="0" borderId="0" xfId="0" applyNumberFormat="1"/>
    <xf numFmtId="0" fontId="5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4" fontId="2" fillId="0" borderId="0" xfId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44" fontId="8" fillId="0" borderId="0" xfId="0" applyNumberFormat="1" applyFont="1" applyFill="1" applyBorder="1" applyAlignment="1">
      <alignment wrapText="1"/>
    </xf>
    <xf numFmtId="49" fontId="3" fillId="0" borderId="0" xfId="0" applyNumberFormat="1" applyFont="1" applyBorder="1" applyAlignment="1">
      <alignment vertical="center"/>
    </xf>
    <xf numFmtId="44" fontId="2" fillId="0" borderId="0" xfId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44" fontId="10" fillId="4" borderId="1" xfId="1" applyFont="1" applyFill="1" applyBorder="1" applyAlignment="1">
      <alignment vertical="center"/>
    </xf>
    <xf numFmtId="44" fontId="10" fillId="0" borderId="1" xfId="1" applyFont="1" applyBorder="1" applyAlignment="1">
      <alignment vertical="center"/>
    </xf>
    <xf numFmtId="44" fontId="10" fillId="2" borderId="1" xfId="1" applyFont="1" applyFill="1" applyBorder="1" applyAlignment="1" applyProtection="1">
      <alignment vertical="center"/>
      <protection locked="0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4" fontId="11" fillId="5" borderId="1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/>
    <xf numFmtId="0" fontId="14" fillId="0" borderId="1" xfId="0" applyFont="1" applyBorder="1" applyAlignment="1">
      <alignment horizontal="center" vertical="center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0A18-571A-475F-96EC-DB31745F0FCB}">
  <dimension ref="A1:Y49"/>
  <sheetViews>
    <sheetView showGridLines="0" tabSelected="1" topLeftCell="N1" workbookViewId="0">
      <selection activeCell="O14" sqref="O14"/>
    </sheetView>
  </sheetViews>
  <sheetFormatPr defaultColWidth="0" defaultRowHeight="15" x14ac:dyDescent="0.25"/>
  <cols>
    <col min="1" max="1" width="14.5703125" hidden="1" customWidth="1"/>
    <col min="2" max="5" width="0" hidden="1" customWidth="1"/>
    <col min="6" max="6" width="12.7109375" hidden="1" customWidth="1"/>
    <col min="7" max="7" width="0" hidden="1" customWidth="1"/>
    <col min="8" max="8" width="6.42578125" hidden="1" customWidth="1"/>
    <col min="9" max="10" width="0" hidden="1" customWidth="1"/>
    <col min="11" max="11" width="11.5703125" hidden="1" customWidth="1"/>
    <col min="12" max="13" width="0" hidden="1" customWidth="1"/>
    <col min="14" max="14" width="27.28515625" customWidth="1"/>
    <col min="15" max="15" width="66.28515625" bestFit="1" customWidth="1"/>
    <col min="16" max="16" width="9.140625" style="7" customWidth="1"/>
    <col min="17" max="17" width="67" customWidth="1"/>
    <col min="18" max="18" width="27.28515625" style="13" customWidth="1"/>
    <col min="19" max="19" width="9.140625" style="13" hidden="1"/>
    <col min="20" max="20" width="12.85546875" style="13" hidden="1"/>
    <col min="21" max="21" width="59.5703125" style="13" hidden="1"/>
    <col min="22" max="22" width="11" style="13" hidden="1"/>
    <col min="23" max="23" width="21.140625" style="13" hidden="1"/>
    <col min="24" max="25" width="0" style="13" hidden="1"/>
    <col min="26" max="16384" width="9.140625" hidden="1"/>
  </cols>
  <sheetData>
    <row r="1" spans="1:25" ht="15" customHeight="1" x14ac:dyDescent="0.55000000000000004">
      <c r="P1" s="35"/>
      <c r="Q1" s="35"/>
    </row>
    <row r="2" spans="1:25" ht="15" customHeight="1" x14ac:dyDescent="0.25">
      <c r="O2" s="36" t="s">
        <v>15</v>
      </c>
      <c r="P2" s="36"/>
      <c r="Q2" s="36"/>
    </row>
    <row r="3" spans="1:25" ht="15" customHeight="1" x14ac:dyDescent="0.25">
      <c r="O3" s="36"/>
      <c r="P3" s="36"/>
      <c r="Q3" s="36"/>
    </row>
    <row r="4" spans="1:25" ht="15" hidden="1" customHeight="1" x14ac:dyDescent="0.25">
      <c r="O4" s="36"/>
      <c r="P4" s="36"/>
      <c r="Q4" s="36"/>
      <c r="R4" s="14"/>
      <c r="S4" s="14"/>
      <c r="T4" s="14"/>
      <c r="U4" s="14"/>
      <c r="V4" s="14"/>
      <c r="W4" s="14"/>
      <c r="X4" s="14"/>
      <c r="Y4" s="14"/>
    </row>
    <row r="5" spans="1:25" ht="15" hidden="1" customHeight="1" x14ac:dyDescent="0.25">
      <c r="O5" s="36"/>
      <c r="P5" s="36"/>
      <c r="Q5" s="36"/>
      <c r="R5" s="14"/>
      <c r="S5" s="14"/>
      <c r="T5" s="14"/>
      <c r="U5" s="14"/>
      <c r="V5" s="14"/>
      <c r="W5" s="14"/>
      <c r="X5" s="14"/>
      <c r="Y5" s="14"/>
    </row>
    <row r="6" spans="1:25" ht="15" hidden="1" customHeight="1" x14ac:dyDescent="0.25">
      <c r="O6" s="36"/>
      <c r="P6" s="36"/>
      <c r="Q6" s="36"/>
      <c r="R6" s="8"/>
      <c r="S6" s="8"/>
      <c r="T6" s="8"/>
      <c r="U6" s="8"/>
      <c r="V6" s="8"/>
      <c r="W6" s="8"/>
      <c r="X6" s="8"/>
      <c r="Y6" s="8"/>
    </row>
    <row r="7" spans="1:25" ht="15" customHeight="1" x14ac:dyDescent="0.25">
      <c r="O7" s="36"/>
      <c r="P7" s="36"/>
      <c r="Q7" s="36"/>
      <c r="R7" s="16"/>
      <c r="S7" s="16"/>
      <c r="T7" s="16"/>
      <c r="U7" s="16"/>
      <c r="V7" s="16"/>
      <c r="W7" s="16"/>
      <c r="X7" s="16"/>
      <c r="Y7" s="16"/>
    </row>
    <row r="8" spans="1:25" ht="15" customHeight="1" x14ac:dyDescent="0.55000000000000004">
      <c r="O8" s="34"/>
      <c r="P8" s="34"/>
      <c r="Q8" s="34"/>
      <c r="R8" s="16"/>
      <c r="S8" s="16"/>
      <c r="T8" s="16"/>
      <c r="U8" s="16"/>
      <c r="V8" s="16"/>
      <c r="W8" s="16"/>
      <c r="X8" s="16"/>
      <c r="Y8" s="16"/>
    </row>
    <row r="9" spans="1:25" ht="25.5" customHeight="1" x14ac:dyDescent="0.25">
      <c r="A9">
        <f>YEAR(O10)</f>
        <v>2020</v>
      </c>
      <c r="O9" s="31" t="s">
        <v>0</v>
      </c>
      <c r="P9" s="31"/>
      <c r="Q9" s="31"/>
      <c r="R9" s="21"/>
      <c r="S9" s="21"/>
      <c r="T9" s="21"/>
      <c r="U9" s="21"/>
      <c r="V9" s="21"/>
      <c r="W9" s="21"/>
      <c r="X9" s="21"/>
      <c r="Y9" s="21"/>
    </row>
    <row r="10" spans="1:25" ht="27.75" customHeight="1" x14ac:dyDescent="0.25">
      <c r="A10">
        <f>YEAR(O14)</f>
        <v>2021</v>
      </c>
      <c r="O10" s="29" t="s">
        <v>4</v>
      </c>
      <c r="P10" s="29"/>
      <c r="Q10" s="29"/>
      <c r="R10" s="21"/>
      <c r="S10" s="21"/>
      <c r="T10" s="21"/>
      <c r="U10" s="21"/>
      <c r="V10" s="21"/>
      <c r="W10" s="21"/>
      <c r="X10" s="21"/>
      <c r="Y10" s="21"/>
    </row>
    <row r="11" spans="1:25" ht="15" customHeight="1" x14ac:dyDescent="0.25">
      <c r="P11" s="3"/>
      <c r="R11" s="14"/>
      <c r="S11" s="14"/>
      <c r="V11" s="14"/>
      <c r="W11" s="14"/>
      <c r="X11" s="14"/>
      <c r="Y11" s="14"/>
    </row>
    <row r="12" spans="1:25" ht="33" customHeight="1" x14ac:dyDescent="0.25">
      <c r="O12" s="32" t="s">
        <v>2</v>
      </c>
      <c r="P12" s="4"/>
      <c r="Q12" s="32" t="s">
        <v>1</v>
      </c>
      <c r="R12" s="14"/>
      <c r="S12" s="14"/>
      <c r="U12" s="14"/>
      <c r="V12" s="14"/>
      <c r="W12" s="14"/>
      <c r="X12" s="14"/>
      <c r="Y12" s="14"/>
    </row>
    <row r="13" spans="1:25" x14ac:dyDescent="0.25"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27.75" customHeight="1" x14ac:dyDescent="0.25">
      <c r="O14" s="37">
        <v>44246</v>
      </c>
      <c r="P14" s="17"/>
      <c r="Q14" s="37">
        <v>44239</v>
      </c>
      <c r="R14" s="17"/>
      <c r="S14" s="17"/>
      <c r="V14" s="17"/>
      <c r="W14" s="17"/>
      <c r="X14" s="17"/>
      <c r="Y14" s="17"/>
    </row>
    <row r="15" spans="1:25" ht="13.5" customHeight="1" x14ac:dyDescent="0.25">
      <c r="O15" s="17"/>
      <c r="P15" s="17"/>
      <c r="Q15" s="17"/>
      <c r="R15" s="17"/>
      <c r="S15" s="17"/>
      <c r="U15" s="17"/>
      <c r="V15" s="17"/>
      <c r="W15" s="17"/>
      <c r="X15" s="17"/>
      <c r="Y15" s="17"/>
    </row>
    <row r="16" spans="1:25" ht="1.5" customHeight="1" x14ac:dyDescent="0.25">
      <c r="O16" s="24"/>
      <c r="P16" s="8"/>
      <c r="Q16" s="24"/>
      <c r="R16" s="8"/>
      <c r="S16" s="8"/>
      <c r="T16" s="8"/>
      <c r="U16" s="23"/>
      <c r="V16" s="23"/>
      <c r="W16" s="23"/>
      <c r="X16" s="23"/>
      <c r="Y16" s="23"/>
    </row>
    <row r="17" spans="1:25" ht="21.75" customHeight="1" x14ac:dyDescent="0.25">
      <c r="O17" s="2" t="s">
        <v>5</v>
      </c>
      <c r="P17" s="3"/>
      <c r="Q17" s="2" t="s">
        <v>3</v>
      </c>
      <c r="R17" s="14"/>
      <c r="S17" s="14"/>
      <c r="T17" s="14"/>
      <c r="V17" s="14"/>
      <c r="W17" s="14"/>
      <c r="X17" s="14"/>
      <c r="Y17" s="14"/>
    </row>
    <row r="18" spans="1:25" ht="18" customHeight="1" x14ac:dyDescent="0.25">
      <c r="O18" s="23"/>
      <c r="P18" s="8"/>
      <c r="Q18" s="23"/>
      <c r="R18" s="8"/>
      <c r="S18" s="8"/>
      <c r="T18" s="8"/>
      <c r="U18" s="23"/>
      <c r="V18" s="23"/>
      <c r="W18" s="23"/>
      <c r="X18" s="23"/>
      <c r="Y18" s="23"/>
    </row>
    <row r="19" spans="1:25" ht="27.75" customHeight="1" x14ac:dyDescent="0.25">
      <c r="O19" s="28">
        <v>1652536.96</v>
      </c>
      <c r="P19" s="22"/>
      <c r="Q19" s="25">
        <f>IF(G45&lt;&gt;0,IF(G46&lt;&gt;0,IF(AND(O10&lt;&gt;"",O14&gt;Q14),O14-Q14,""),""),"")</f>
        <v>7</v>
      </c>
      <c r="R19" s="18"/>
      <c r="S19" s="18"/>
      <c r="T19" s="15"/>
      <c r="V19" s="17"/>
      <c r="W19" s="17"/>
      <c r="X19" s="17"/>
      <c r="Y19" s="17"/>
    </row>
    <row r="20" spans="1:25" x14ac:dyDescent="0.25">
      <c r="O20" s="23"/>
      <c r="P20" s="8"/>
      <c r="Q20" s="23"/>
      <c r="R20" s="8"/>
      <c r="S20" s="8"/>
      <c r="T20" s="8"/>
      <c r="U20" s="23"/>
      <c r="V20" s="23"/>
      <c r="W20" s="23"/>
      <c r="X20" s="23"/>
      <c r="Y20" s="23"/>
    </row>
    <row r="21" spans="1:25" ht="23.25" x14ac:dyDescent="0.25">
      <c r="O21" s="2" t="s">
        <v>6</v>
      </c>
      <c r="P21" s="3"/>
      <c r="Q21" s="2" t="s">
        <v>7</v>
      </c>
      <c r="R21" s="14"/>
      <c r="S21" s="14"/>
      <c r="V21" s="14"/>
      <c r="W21" s="14"/>
      <c r="X21" s="14"/>
      <c r="Y21" s="14"/>
    </row>
    <row r="22" spans="1:25" ht="14.25" customHeight="1" x14ac:dyDescent="0.25">
      <c r="O22" s="23"/>
      <c r="P22" s="8"/>
      <c r="Q22" s="23"/>
      <c r="R22" s="8"/>
      <c r="S22" s="8"/>
      <c r="T22" s="8"/>
      <c r="U22" s="23"/>
      <c r="V22" s="23"/>
      <c r="W22" s="23"/>
      <c r="X22" s="23"/>
      <c r="Y22" s="23"/>
    </row>
    <row r="23" spans="1:25" ht="29.25" customHeight="1" x14ac:dyDescent="0.25">
      <c r="O23" s="26">
        <f>IFERROR(IF(A24&gt;A25,A25,A24),"")</f>
        <v>2313.5517439999999</v>
      </c>
      <c r="P23" s="18"/>
      <c r="Q23" s="27">
        <f>IFERROR(ROUNDDOWN(O23*50%,2),"")</f>
        <v>1156.77</v>
      </c>
      <c r="R23" s="18"/>
      <c r="S23" s="18"/>
      <c r="V23" s="18"/>
      <c r="W23" s="18"/>
      <c r="X23" s="18"/>
      <c r="Y23" s="18"/>
    </row>
    <row r="24" spans="1:25" x14ac:dyDescent="0.25">
      <c r="A24" s="5">
        <f>(O19*0.02%)*Q19</f>
        <v>2313.5517439999999</v>
      </c>
    </row>
    <row r="25" spans="1:25" ht="31.5" customHeight="1" x14ac:dyDescent="0.25">
      <c r="A25" s="5">
        <f>ROUNDDOWN(O19*1%,2)</f>
        <v>16525.36</v>
      </c>
      <c r="O25" s="33" t="s">
        <v>8</v>
      </c>
      <c r="P25" s="33"/>
      <c r="Q25" s="33"/>
      <c r="R25" s="19"/>
      <c r="S25" s="19"/>
      <c r="T25" s="19"/>
      <c r="U25" s="19"/>
      <c r="V25" s="19"/>
      <c r="W25" s="19"/>
    </row>
    <row r="26" spans="1:25" ht="15" customHeight="1" x14ac:dyDescent="0.25">
      <c r="O26" s="6"/>
      <c r="R26" s="19"/>
      <c r="S26" s="19"/>
      <c r="T26" s="19"/>
      <c r="U26" s="19"/>
      <c r="V26" s="19"/>
      <c r="W26" s="19"/>
    </row>
    <row r="27" spans="1:25" ht="31.5" x14ac:dyDescent="0.5">
      <c r="O27" s="30">
        <f>IF(A9&gt;A10,"Atenção! Ano do Período de apuração preenchido incorretamente, verifique.",IFERROR(ROUNDDOWN(Q23*50%,2),""))</f>
        <v>578.38</v>
      </c>
      <c r="P27" s="30"/>
      <c r="Q27" s="30"/>
    </row>
    <row r="28" spans="1:25" ht="18" customHeight="1" x14ac:dyDescent="0.4">
      <c r="R28" s="20"/>
      <c r="S28" s="20"/>
      <c r="T28" s="20"/>
      <c r="U28" s="20"/>
      <c r="V28" s="20"/>
      <c r="W28" s="20"/>
    </row>
    <row r="29" spans="1:25" ht="15" customHeight="1" x14ac:dyDescent="0.4">
      <c r="Q29" s="20"/>
      <c r="R29" s="20"/>
      <c r="S29" s="20"/>
      <c r="T29" s="20"/>
      <c r="U29" s="20"/>
      <c r="V29" s="20"/>
      <c r="W29" s="20"/>
    </row>
    <row r="30" spans="1:25" ht="15" customHeight="1" x14ac:dyDescent="0.4">
      <c r="Q30" s="20"/>
      <c r="R30" s="20"/>
      <c r="S30" s="20"/>
      <c r="T30" s="20"/>
      <c r="U30" s="20"/>
      <c r="V30" s="20"/>
      <c r="W30" s="20"/>
    </row>
    <row r="38" spans="2:10" x14ac:dyDescent="0.25">
      <c r="B38" s="11" t="s">
        <v>9</v>
      </c>
      <c r="C38" s="11"/>
      <c r="E38" s="11" t="s">
        <v>13</v>
      </c>
      <c r="F38" s="11"/>
      <c r="H38" s="11" t="s">
        <v>14</v>
      </c>
      <c r="I38" s="11"/>
    </row>
    <row r="40" spans="2:10" x14ac:dyDescent="0.25">
      <c r="B40" s="10" t="s">
        <v>10</v>
      </c>
      <c r="C40" s="9">
        <f>DAY(O14)</f>
        <v>19</v>
      </c>
      <c r="E40" s="10" t="s">
        <v>10</v>
      </c>
      <c r="F40" s="9">
        <f>DAY(Q14)</f>
        <v>12</v>
      </c>
      <c r="H40" s="10" t="s">
        <v>11</v>
      </c>
      <c r="I40" s="9">
        <f>MONTH(O10)</f>
        <v>12</v>
      </c>
      <c r="J40" s="1" t="str">
        <f>I40&amp;I41</f>
        <v>122020</v>
      </c>
    </row>
    <row r="41" spans="2:10" x14ac:dyDescent="0.25">
      <c r="B41" s="10" t="s">
        <v>11</v>
      </c>
      <c r="C41" s="9">
        <f>MONTH(O14)</f>
        <v>2</v>
      </c>
      <c r="E41" s="10" t="s">
        <v>11</v>
      </c>
      <c r="F41" s="9">
        <f>MONTH(Q14)</f>
        <v>2</v>
      </c>
      <c r="H41" s="10" t="s">
        <v>12</v>
      </c>
      <c r="I41" s="9">
        <f>YEAR(O10)</f>
        <v>2020</v>
      </c>
    </row>
    <row r="42" spans="2:10" x14ac:dyDescent="0.25">
      <c r="B42" s="10" t="s">
        <v>12</v>
      </c>
      <c r="C42" s="9">
        <f>YEAR(O14)</f>
        <v>2021</v>
      </c>
      <c r="E42" s="10" t="s">
        <v>12</v>
      </c>
      <c r="F42" s="9">
        <f>YEAR(Q14)</f>
        <v>2021</v>
      </c>
    </row>
    <row r="43" spans="2:10" x14ac:dyDescent="0.25">
      <c r="B43" s="11">
        <f>SUM(C40:C42)</f>
        <v>2042</v>
      </c>
      <c r="C43" s="11"/>
      <c r="E43" s="11">
        <f>SUM(F40:F42)</f>
        <v>2035</v>
      </c>
      <c r="F43" s="11"/>
    </row>
    <row r="45" spans="2:10" x14ac:dyDescent="0.25">
      <c r="E45" s="9">
        <f>C41+C42</f>
        <v>2023</v>
      </c>
      <c r="F45" s="9">
        <f>SUM(I40:I41)</f>
        <v>2032</v>
      </c>
      <c r="G45" s="12">
        <f>E45-F45</f>
        <v>-9</v>
      </c>
      <c r="H45" s="1" t="str">
        <f>F41&amp;F42</f>
        <v>22021</v>
      </c>
      <c r="I45" s="1">
        <f>IF(H45=J40,1,0)</f>
        <v>0</v>
      </c>
    </row>
    <row r="46" spans="2:10" x14ac:dyDescent="0.25">
      <c r="E46" s="9">
        <f>SUM(F41+F42)</f>
        <v>2023</v>
      </c>
      <c r="F46" s="9">
        <f>SUM(I40:I41)</f>
        <v>2032</v>
      </c>
      <c r="G46" s="12">
        <f>E46-F46</f>
        <v>-9</v>
      </c>
    </row>
    <row r="48" spans="2:10" x14ac:dyDescent="0.25">
      <c r="E48" s="9">
        <f>C41+C42</f>
        <v>2023</v>
      </c>
      <c r="F48" s="9">
        <f>SUM(I40:I41)</f>
        <v>2032</v>
      </c>
      <c r="G48" s="12">
        <f>F45-E45</f>
        <v>9</v>
      </c>
      <c r="H48" s="1" t="str">
        <f>C41&amp;C42</f>
        <v>22021</v>
      </c>
      <c r="I48" s="1">
        <f>IF(H48=J40,1,0)</f>
        <v>0</v>
      </c>
    </row>
    <row r="49" spans="5:7" x14ac:dyDescent="0.25">
      <c r="E49" s="9">
        <f>SUM(F41+F42)</f>
        <v>2023</v>
      </c>
      <c r="F49" s="9">
        <f>SUM(I40:I41)</f>
        <v>2032</v>
      </c>
      <c r="G49" s="12">
        <f>F46-E46</f>
        <v>9</v>
      </c>
    </row>
  </sheetData>
  <sheetProtection algorithmName="SHA-512" hashValue="d1gVt+24fxFrTuM5os9ykab8oQ1TPs/5yykUyqeP3t/P+q+wcCqSLYiiqP4sPlUfreaTiKpYXbRaKLM3rXe/Xg==" saltValue="Gbz/DcbqNBCcsl9Dp2/Mpw==" spinCount="100000" sheet="1" objects="1" scenarios="1" selectLockedCells="1"/>
  <mergeCells count="10">
    <mergeCell ref="B43:C43"/>
    <mergeCell ref="E43:F43"/>
    <mergeCell ref="O10:Q10"/>
    <mergeCell ref="O9:Q9"/>
    <mergeCell ref="O25:Q25"/>
    <mergeCell ref="O27:Q27"/>
    <mergeCell ref="B38:C38"/>
    <mergeCell ref="E38:F38"/>
    <mergeCell ref="H38:I38"/>
    <mergeCell ref="O2:Q7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 Multa Sped Cont.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Silva</dc:creator>
  <cp:lastModifiedBy>Junior Silva</cp:lastModifiedBy>
  <dcterms:created xsi:type="dcterms:W3CDTF">2021-09-23T12:30:42Z</dcterms:created>
  <dcterms:modified xsi:type="dcterms:W3CDTF">2021-09-24T00:00:54Z</dcterms:modified>
</cp:coreProperties>
</file>