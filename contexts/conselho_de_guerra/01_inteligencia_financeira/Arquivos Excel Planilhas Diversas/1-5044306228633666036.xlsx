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r.rodrigues\Desktop\"/>
    </mc:Choice>
  </mc:AlternateContent>
  <xr:revisionPtr revIDLastSave="0" documentId="8_{279D4B12-387A-D142-AED7-3ECBF80842B9}" xr6:coauthVersionLast="47" xr6:coauthVersionMax="47" xr10:uidLastSave="{00000000-0000-0000-0000-000000000000}"/>
  <bookViews>
    <workbookView minimized="1" xWindow="5115" yWindow="3045" windowWidth="15375" windowHeight="7875" xr2:uid="{00000000-000D-0000-FFFF-FFFF00000000}"/>
  </bookViews>
  <sheets>
    <sheet name="Simulador MP" sheetId="20" r:id="rId1"/>
    <sheet name="Planilha2" sheetId="26" r:id="rId2"/>
    <sheet name="Simulador Cx" sheetId="22" r:id="rId3"/>
    <sheet name="Simulador Cx (3)" sheetId="24" r:id="rId4"/>
    <sheet name="Planilha1" sheetId="25" r:id="rId5"/>
    <sheet name="Simulador PLASTICO" sheetId="23" r:id="rId6"/>
  </sheets>
  <externalReferences>
    <externalReference r:id="rId7"/>
  </externalReferences>
  <definedNames>
    <definedName name="_xlnm.Print_Area" localSheetId="2">'Simulador Cx'!$A$1:$AJ$34</definedName>
    <definedName name="_xlnm.Print_Area" localSheetId="3">'Simulador Cx (3)'!$A$1:$AJ$34</definedName>
    <definedName name="_xlnm.Print_Area" localSheetId="0">'Simulador MP'!$A$1:$AK$43</definedName>
    <definedName name="_xlnm.Print_Area" localSheetId="5">'Simulador PLASTICO'!$A$1:$AK$34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2" i="20" l="1"/>
  <c r="G3" i="20"/>
  <c r="D22" i="20"/>
  <c r="F22" i="20"/>
  <c r="E12" i="20"/>
  <c r="J22" i="20"/>
  <c r="O9" i="20"/>
  <c r="R17" i="20"/>
  <c r="O3" i="20"/>
  <c r="K8" i="20"/>
  <c r="K6" i="20"/>
  <c r="K7" i="20"/>
  <c r="K5" i="20"/>
  <c r="K3" i="20"/>
  <c r="K4" i="20"/>
  <c r="G10" i="20"/>
  <c r="G9" i="20"/>
  <c r="G4" i="20"/>
  <c r="H12" i="20"/>
  <c r="G7" i="20"/>
  <c r="G6" i="20"/>
  <c r="G5" i="20"/>
  <c r="E13" i="20"/>
  <c r="H13" i="20"/>
  <c r="E18" i="20"/>
  <c r="H18" i="20"/>
  <c r="E17" i="20"/>
  <c r="H17" i="20"/>
  <c r="E16" i="20"/>
  <c r="E15" i="20"/>
  <c r="H15" i="20"/>
  <c r="P12" i="20"/>
  <c r="P13" i="20"/>
  <c r="O5" i="20"/>
  <c r="R14" i="20"/>
  <c r="P14" i="20"/>
  <c r="P15" i="20"/>
  <c r="O7" i="20"/>
  <c r="O6" i="20"/>
  <c r="O8" i="20"/>
  <c r="O4" i="20"/>
  <c r="K17" i="20"/>
  <c r="M17" i="20"/>
  <c r="K16" i="20"/>
  <c r="M16" i="20"/>
  <c r="K15" i="20"/>
  <c r="M15" i="20"/>
  <c r="K14" i="20"/>
  <c r="M14" i="20"/>
  <c r="K13" i="20"/>
  <c r="M13" i="20"/>
  <c r="K12" i="20"/>
  <c r="M12" i="20"/>
  <c r="E19" i="20"/>
  <c r="H19" i="20"/>
  <c r="R15" i="20"/>
  <c r="R16" i="20"/>
  <c r="R13" i="20"/>
  <c r="L14" i="24"/>
  <c r="H14" i="24"/>
  <c r="L13" i="24"/>
  <c r="H13" i="24"/>
  <c r="L12" i="24"/>
  <c r="H12" i="24"/>
  <c r="L11" i="24"/>
  <c r="H11" i="24"/>
  <c r="L10" i="24"/>
  <c r="H10" i="24"/>
  <c r="L9" i="24"/>
  <c r="H9" i="24"/>
  <c r="L8" i="24"/>
  <c r="H8" i="24"/>
  <c r="L7" i="24"/>
  <c r="H7" i="24"/>
  <c r="L6" i="24"/>
  <c r="H6" i="24"/>
  <c r="L5" i="24"/>
  <c r="H5" i="24"/>
  <c r="L4" i="24"/>
  <c r="H4" i="24"/>
  <c r="L3" i="24"/>
  <c r="H3" i="24"/>
  <c r="H14" i="23"/>
  <c r="H13" i="23"/>
  <c r="H12" i="23"/>
  <c r="H11" i="23"/>
  <c r="H10" i="23"/>
  <c r="H9" i="23"/>
  <c r="H8" i="23"/>
  <c r="H7" i="23"/>
  <c r="H6" i="23"/>
  <c r="H5" i="23"/>
  <c r="H4" i="23"/>
  <c r="H3" i="23"/>
  <c r="H14" i="22"/>
  <c r="H11" i="22"/>
  <c r="H12" i="22"/>
  <c r="H13" i="22"/>
  <c r="H3" i="22"/>
  <c r="H10" i="22"/>
  <c r="H9" i="22"/>
  <c r="H8" i="22"/>
  <c r="H7" i="22"/>
  <c r="H6" i="22"/>
  <c r="H5" i="22"/>
  <c r="H4" i="22"/>
  <c r="H16" i="20"/>
  <c r="E14" i="20"/>
  <c r="H1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A. Junqueira</author>
  </authors>
  <commentList>
    <comment ref="E16" authorId="0" shapeId="0" xr:uid="{1DB9EA9E-85C1-44BA-9A2C-79F298A561F3}">
      <text>
        <r>
          <rPr>
            <b/>
            <sz val="9"/>
            <color indexed="81"/>
            <rFont val="Segoe UI"/>
            <family val="2"/>
          </rPr>
          <t>UTILIZAR FOLHA 5 LITROS</t>
        </r>
      </text>
    </comment>
  </commentList>
</comments>
</file>

<file path=xl/sharedStrings.xml><?xml version="1.0" encoding="utf-8"?>
<sst xmlns="http://schemas.openxmlformats.org/spreadsheetml/2006/main" count="376" uniqueCount="198">
  <si>
    <t>Peso Folha Balde 5 Litros 1PE</t>
  </si>
  <si>
    <t>Kg</t>
  </si>
  <si>
    <t>Peso Folha Balde 3 Litros 1 PE=</t>
  </si>
  <si>
    <t>Baldes</t>
  </si>
  <si>
    <t xml:space="preserve">Kg Folhas 1 000 ml = </t>
  </si>
  <si>
    <t>Copos</t>
  </si>
  <si>
    <t xml:space="preserve">Kg Bobina 1000 ml = </t>
  </si>
  <si>
    <t xml:space="preserve">Kg Bobina 500 ml = </t>
  </si>
  <si>
    <t xml:space="preserve">Kg Folhas 700 ml = </t>
  </si>
  <si>
    <t xml:space="preserve">Kg Bobina 700 ml = </t>
  </si>
  <si>
    <t>Matéria Prima</t>
  </si>
  <si>
    <t>Medida</t>
  </si>
  <si>
    <t xml:space="preserve">Kg Folhas 100 ml = </t>
  </si>
  <si>
    <t xml:space="preserve">Kg Folhas 240 ml = </t>
  </si>
  <si>
    <t>Simulador de Estoque de MATÉRIA PRIMA</t>
  </si>
  <si>
    <t xml:space="preserve">Kg Folhas180 ml = </t>
  </si>
  <si>
    <t xml:space="preserve">Peso folha 250+PE   Copo 100ml = </t>
  </si>
  <si>
    <t xml:space="preserve">Peso folha 225+PE   Copo 240ml = </t>
  </si>
  <si>
    <t xml:space="preserve">Peso folha 225+PE   Copo 180 ml = </t>
  </si>
  <si>
    <r>
      <t xml:space="preserve">Bobina </t>
    </r>
    <r>
      <rPr>
        <b/>
        <sz val="18"/>
        <rFont val="Arial"/>
        <family val="2"/>
      </rPr>
      <t xml:space="preserve">  </t>
    </r>
    <r>
      <rPr>
        <sz val="18"/>
        <rFont val="Arial"/>
        <family val="2"/>
      </rPr>
      <t xml:space="preserve">Fundo 2 PE 275 +15 +15 gr/m2  </t>
    </r>
    <r>
      <rPr>
        <b/>
        <sz val="18"/>
        <rFont val="Arial"/>
        <family val="2"/>
      </rPr>
      <t xml:space="preserve">100mm </t>
    </r>
    <r>
      <rPr>
        <sz val="18"/>
        <rFont val="Arial"/>
        <family val="2"/>
      </rPr>
      <t xml:space="preserve"> </t>
    </r>
    <r>
      <rPr>
        <b/>
        <sz val="18"/>
        <rFont val="Arial"/>
        <family val="2"/>
      </rPr>
      <t xml:space="preserve"> COPO 1000ml </t>
    </r>
  </si>
  <si>
    <r>
      <t>Bobina</t>
    </r>
    <r>
      <rPr>
        <b/>
        <sz val="18"/>
        <rFont val="Arial"/>
        <family val="2"/>
      </rPr>
      <t xml:space="preserve"> </t>
    </r>
    <r>
      <rPr>
        <sz val="18"/>
        <rFont val="Arial"/>
        <family val="2"/>
      </rPr>
      <t xml:space="preserve">Fundo 2 PE 250 +15 +15 gr/m2  </t>
    </r>
    <r>
      <rPr>
        <b/>
        <sz val="18"/>
        <rFont val="Arial"/>
        <family val="2"/>
      </rPr>
      <t xml:space="preserve">90mm   COPO 700ml </t>
    </r>
  </si>
  <si>
    <t>Peso Folha Balde 1,5 Litros 1 PE=</t>
  </si>
  <si>
    <t>Estoque Atual</t>
  </si>
  <si>
    <t>Pedir Importado</t>
  </si>
  <si>
    <t>Pedir Nacional</t>
  </si>
  <si>
    <t xml:space="preserve">Kg Folhas300 ml = </t>
  </si>
  <si>
    <t>COPO 500ML</t>
  </si>
  <si>
    <t>CAIXA BALDE 5L 200UNI</t>
  </si>
  <si>
    <t>CAIXA BALDE 5L 100UNI</t>
  </si>
  <si>
    <t>BALDE 3 Litros</t>
  </si>
  <si>
    <r>
      <rPr>
        <b/>
        <sz val="18"/>
        <rFont val="Arial"/>
        <family val="2"/>
      </rPr>
      <t xml:space="preserve"> </t>
    </r>
    <r>
      <rPr>
        <b/>
        <sz val="24"/>
        <rFont val="Arial"/>
        <family val="2"/>
      </rPr>
      <t>BALDE 1,5 Litros</t>
    </r>
  </si>
  <si>
    <t>COPO 1000 Litros</t>
  </si>
  <si>
    <t>COPO 700ML</t>
  </si>
  <si>
    <t>48x48x38</t>
  </si>
  <si>
    <t>45x45x75</t>
  </si>
  <si>
    <t>45x45x48</t>
  </si>
  <si>
    <t>43x43x65</t>
  </si>
  <si>
    <t>52x52x46</t>
  </si>
  <si>
    <t>CAIXA BALDE 5L 200 UNI</t>
  </si>
  <si>
    <t>CAIXA BALDE 5L 100 UNI</t>
  </si>
  <si>
    <t>CAIXA BALDE 3L 160 UNI</t>
  </si>
  <si>
    <t>CAIXA BALDE 1,5L  200UNI</t>
  </si>
  <si>
    <t>CAIXA COPO 1L  500UNI</t>
  </si>
  <si>
    <t>CAIXA COPO 700ML  500UNI</t>
  </si>
  <si>
    <t>CAIXA COPO 500ML  500UNI</t>
  </si>
  <si>
    <r>
      <t xml:space="preserve"> </t>
    </r>
    <r>
      <rPr>
        <b/>
        <sz val="24"/>
        <rFont val="Arial"/>
        <family val="2"/>
      </rPr>
      <t>BALDE 910 ML</t>
    </r>
  </si>
  <si>
    <t>CAIXA BALDE 910mL  400UNI</t>
  </si>
  <si>
    <t>40x48x38</t>
  </si>
  <si>
    <t>Compras</t>
  </si>
  <si>
    <t>CAIXA TAMPA/DIVISÓRIA 300 UNI</t>
  </si>
  <si>
    <t>TAMPA/DIVISÓRIA</t>
  </si>
  <si>
    <t>26x23x14</t>
  </si>
  <si>
    <t>CAIXA FESTA  128UNI</t>
  </si>
  <si>
    <t>CAIXA FESTA</t>
  </si>
  <si>
    <t>34x34x16</t>
  </si>
  <si>
    <t>CAIXA TAMPA 1000UNI</t>
  </si>
  <si>
    <t>CAIXA TAMPA 500UNI</t>
  </si>
  <si>
    <t>46x34x60</t>
  </si>
  <si>
    <t>39x36x24</t>
  </si>
  <si>
    <t>CAIXA DE PAPELÃO</t>
  </si>
  <si>
    <t>SACO PLÁSTICO</t>
  </si>
  <si>
    <t>SACO PLÁSTICO CAIXA TAMPA 1000UNI - (MANGA 100UNI)</t>
  </si>
  <si>
    <t>SACO PLÁSTICO CAIXA FESTA  (MANGA8 UNI)</t>
  </si>
  <si>
    <t>SACO PLÁSTICO TAMPA/DIVISÓRIA (MANGA 300 UNI)</t>
  </si>
  <si>
    <t>SACO PLÁSTICO COPO 500ML ( MANGA 25 UNI)</t>
  </si>
  <si>
    <t>SACO PLÁSTICO COPO 700ML ( MANGA 25 UNI)</t>
  </si>
  <si>
    <t>SACO PLÁSTICO COPO 1000 ML (MANGA 25 UNI)</t>
  </si>
  <si>
    <r>
      <t xml:space="preserve"> SACO PLÁSTICO </t>
    </r>
    <r>
      <rPr>
        <b/>
        <sz val="24"/>
        <rFont val="Arial"/>
        <family val="2"/>
      </rPr>
      <t>BALDE 910 ML                   ( MANGA 25UNI)</t>
    </r>
  </si>
  <si>
    <r>
      <t xml:space="preserve"> SACO PLÁSTICO </t>
    </r>
    <r>
      <rPr>
        <b/>
        <sz val="24"/>
        <rFont val="Arial"/>
        <family val="2"/>
      </rPr>
      <t>BALDE 1,5 Litros                  ( MANGA 50 UNI)</t>
    </r>
  </si>
  <si>
    <t>SACO PLÁSTICO BALDE 3 Litros                            ( MANGA 40UNI)</t>
  </si>
  <si>
    <t>SACO PLÁSTICO BALDE 5L                                       ( MANGA 25UNI)</t>
  </si>
  <si>
    <t>SACO PLÁSTICO BALDE 5L                               ( MANGA 50UNI)</t>
  </si>
  <si>
    <t>CAIXA TAMPA 500UNI -                 ( MANGA 8 UNI)</t>
  </si>
  <si>
    <t>34x34x17</t>
  </si>
  <si>
    <t>SACO PLÁSTICO CAIXA FESTA 1000UNI                             (MANGA 50 UNI)</t>
  </si>
  <si>
    <r>
      <rPr>
        <b/>
        <sz val="24"/>
        <rFont val="Arial"/>
        <family val="2"/>
      </rPr>
      <t xml:space="preserve">FOLHAS   1 PE </t>
    </r>
    <r>
      <rPr>
        <sz val="18"/>
        <rFont val="Arial"/>
        <family val="2"/>
      </rPr>
      <t xml:space="preserve"> 225+15gr/m2     </t>
    </r>
    <r>
      <rPr>
        <sz val="18"/>
        <color indexed="10"/>
        <rFont val="Arial"/>
        <family val="2"/>
      </rPr>
      <t xml:space="preserve">                                        </t>
    </r>
    <r>
      <rPr>
        <b/>
        <sz val="18"/>
        <rFont val="Arial"/>
        <family val="2"/>
      </rPr>
      <t>Folha</t>
    </r>
    <r>
      <rPr>
        <sz val="18"/>
        <rFont val="Arial"/>
        <family val="2"/>
      </rPr>
      <t xml:space="preserve">  </t>
    </r>
    <r>
      <rPr>
        <b/>
        <sz val="18"/>
        <rFont val="Arial"/>
        <family val="2"/>
      </rPr>
      <t xml:space="preserve">694 x 962 mm                    </t>
    </r>
    <r>
      <rPr>
        <b/>
        <sz val="24"/>
        <rFont val="Arial"/>
        <family val="2"/>
      </rPr>
      <t>BALDE 910ml KFC</t>
    </r>
  </si>
  <si>
    <r>
      <rPr>
        <b/>
        <sz val="24"/>
        <rFont val="Arial"/>
        <family val="2"/>
      </rPr>
      <t xml:space="preserve">FOLHAS   1 PE </t>
    </r>
    <r>
      <rPr>
        <sz val="18"/>
        <rFont val="Arial"/>
        <family val="2"/>
      </rPr>
      <t xml:space="preserve"> 225+15gr/m2     </t>
    </r>
    <r>
      <rPr>
        <sz val="18"/>
        <color indexed="10"/>
        <rFont val="Arial"/>
        <family val="2"/>
      </rPr>
      <t xml:space="preserve">                                        </t>
    </r>
    <r>
      <rPr>
        <b/>
        <sz val="18"/>
        <rFont val="Arial"/>
        <family val="2"/>
      </rPr>
      <t>Folha</t>
    </r>
    <r>
      <rPr>
        <sz val="18"/>
        <rFont val="Arial"/>
        <family val="2"/>
      </rPr>
      <t xml:space="preserve">  </t>
    </r>
    <r>
      <rPr>
        <b/>
        <sz val="18"/>
        <rFont val="Arial"/>
        <family val="2"/>
      </rPr>
      <t xml:space="preserve">577 x 983 mm                    </t>
    </r>
    <r>
      <rPr>
        <b/>
        <sz val="24"/>
        <rFont val="Arial"/>
        <family val="2"/>
      </rPr>
      <t>BALDE 1,5 Litros</t>
    </r>
  </si>
  <si>
    <r>
      <rPr>
        <b/>
        <sz val="24"/>
        <rFont val="Arial"/>
        <family val="2"/>
      </rPr>
      <t xml:space="preserve">FOLHAS   1 PE  </t>
    </r>
    <r>
      <rPr>
        <sz val="18"/>
        <rFont val="Arial"/>
        <family val="2"/>
      </rPr>
      <t xml:space="preserve">225+15gr/m2     </t>
    </r>
    <r>
      <rPr>
        <sz val="18"/>
        <color indexed="10"/>
        <rFont val="Arial"/>
        <family val="2"/>
      </rPr>
      <t xml:space="preserve">                                        </t>
    </r>
    <r>
      <rPr>
        <b/>
        <sz val="18"/>
        <rFont val="Arial"/>
        <family val="2"/>
      </rPr>
      <t>Folha</t>
    </r>
    <r>
      <rPr>
        <sz val="18"/>
        <rFont val="Arial"/>
        <family val="2"/>
      </rPr>
      <t xml:space="preserve">  </t>
    </r>
    <r>
      <rPr>
        <b/>
        <sz val="18"/>
        <rFont val="Arial"/>
        <family val="2"/>
      </rPr>
      <t xml:space="preserve">620x883mm                   </t>
    </r>
    <r>
      <rPr>
        <b/>
        <sz val="24"/>
        <rFont val="Arial"/>
        <family val="2"/>
      </rPr>
      <t xml:space="preserve"> BALDE 3 Litros</t>
    </r>
  </si>
  <si>
    <t>Peso Folha Balde 910 ml KFC 1 PE=</t>
  </si>
  <si>
    <t>Pedidos SUZANO</t>
  </si>
  <si>
    <t>Kg Folhas 5L = (unidades)</t>
  </si>
  <si>
    <t>Kg Folhas 3 L =  (unidades)</t>
  </si>
  <si>
    <t>Kg Folhas 1,5 L =  (unidades)</t>
  </si>
  <si>
    <t>Kg Folhas 1,0 L =  (unidades)</t>
  </si>
  <si>
    <t>Kg bobina 1 PE 1,5l / 3L / 5L = (unidades)</t>
  </si>
  <si>
    <r>
      <t xml:space="preserve">Bobina Fundo 2 PE 225 +15  gr/m2 </t>
    </r>
    <r>
      <rPr>
        <b/>
        <sz val="18"/>
        <rFont val="Arial"/>
        <family val="2"/>
      </rPr>
      <t xml:space="preserve"> </t>
    </r>
    <r>
      <rPr>
        <sz val="18"/>
        <rFont val="Arial"/>
        <family val="2"/>
      </rPr>
      <t>Fundo</t>
    </r>
    <r>
      <rPr>
        <b/>
        <sz val="18"/>
        <rFont val="Arial"/>
        <family val="2"/>
      </rPr>
      <t xml:space="preserve"> 70 mm                                COPOS PEQUENOS</t>
    </r>
  </si>
  <si>
    <r>
      <rPr>
        <b/>
        <sz val="24"/>
        <rFont val="Arial"/>
        <family val="2"/>
      </rPr>
      <t xml:space="preserve">BOBINA FUNDO </t>
    </r>
    <r>
      <rPr>
        <b/>
        <sz val="24"/>
        <color indexed="62"/>
        <rFont val="Arial"/>
        <family val="2"/>
      </rPr>
      <t>1 PE</t>
    </r>
    <r>
      <rPr>
        <b/>
        <sz val="24"/>
        <rFont val="Arial"/>
        <family val="2"/>
      </rPr>
      <t xml:space="preserve"> </t>
    </r>
    <r>
      <rPr>
        <sz val="24"/>
        <rFont val="Arial"/>
        <family val="2"/>
      </rPr>
      <t>235</t>
    </r>
    <r>
      <rPr>
        <b/>
        <sz val="24"/>
        <rFont val="Arial"/>
        <family val="2"/>
      </rPr>
      <t>/</t>
    </r>
    <r>
      <rPr>
        <sz val="18"/>
        <rFont val="Arial"/>
        <family val="2"/>
      </rPr>
      <t xml:space="preserve">215+15gr/m2 Bobina Larg. </t>
    </r>
    <r>
      <rPr>
        <b/>
        <sz val="24"/>
        <rFont val="Arial"/>
        <family val="2"/>
      </rPr>
      <t xml:space="preserve">190mm </t>
    </r>
    <r>
      <rPr>
        <b/>
        <sz val="26"/>
        <color indexed="63"/>
        <rFont val="Arial"/>
        <family val="2"/>
      </rPr>
      <t>BALDES 5L, 4L, 3L e 1,5L</t>
    </r>
  </si>
  <si>
    <r>
      <t xml:space="preserve">FOLHA 1PE 225 + 15 gr/m2  </t>
    </r>
    <r>
      <rPr>
        <b/>
        <sz val="18"/>
        <rFont val="Arial"/>
        <family val="2"/>
      </rPr>
      <t xml:space="preserve">687x931mm     </t>
    </r>
    <r>
      <rPr>
        <sz val="18"/>
        <rFont val="Arial"/>
        <family val="2"/>
      </rPr>
      <t xml:space="preserve">                    </t>
    </r>
    <r>
      <rPr>
        <b/>
        <sz val="18"/>
        <rFont val="Arial"/>
        <family val="2"/>
      </rPr>
      <t xml:space="preserve">       COPO 300ml BIODEGRADÁVEL</t>
    </r>
  </si>
  <si>
    <r>
      <t xml:space="preserve">FOLHA 1 PE 225+ 15 gr/m2  </t>
    </r>
    <r>
      <rPr>
        <b/>
        <sz val="18"/>
        <rFont val="Arial"/>
        <family val="2"/>
      </rPr>
      <t>660X1016m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COPO 240ml BIODEGRADÁVEL</t>
    </r>
  </si>
  <si>
    <r>
      <t xml:space="preserve">FOLHA 1 PE 225+ 15 gr/m2  </t>
    </r>
    <r>
      <rPr>
        <b/>
        <sz val="18"/>
        <rFont val="Arial"/>
        <family val="2"/>
      </rPr>
      <t>643X993m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COPO 180ml BIODEGRADÁVEL </t>
    </r>
  </si>
  <si>
    <r>
      <t xml:space="preserve">FOLHA 1 PE 21 0+ 15 gr/m2  </t>
    </r>
    <r>
      <rPr>
        <b/>
        <sz val="18"/>
        <rFont val="Arial"/>
        <family val="2"/>
      </rPr>
      <t>615X702m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COPO 100ml BIODEGRADÁVEL</t>
    </r>
  </si>
  <si>
    <t>Fundo 190 mm Baldes</t>
  </si>
  <si>
    <t>Peso bobina    1 PE  5L / 4L / 3L / 1,5 Litros para 1 fundo =</t>
  </si>
  <si>
    <t>Peso bobina    1PE  910 ml para 1 fundo =</t>
  </si>
  <si>
    <t>Fundo 120 mm Baldes</t>
  </si>
  <si>
    <t>Folha Bd 3 Litros</t>
  </si>
  <si>
    <t>Folha Bd 1,5 Litros</t>
  </si>
  <si>
    <t>Folha Bd 910 ml KFC</t>
  </si>
  <si>
    <t>Folha Bd 910 ml BK</t>
  </si>
  <si>
    <t xml:space="preserve">Peso folha 225+1 PE   Copo 300ml = </t>
  </si>
  <si>
    <t xml:space="preserve">Peso  bobina 225+PE Copos Pequenos fundo = </t>
  </si>
  <si>
    <t>Pedidos IBEMA</t>
  </si>
  <si>
    <t xml:space="preserve">Kg Folhas 500/400 ml = </t>
  </si>
  <si>
    <r>
      <t xml:space="preserve">Bobina Fundo 2 PE 250 +15 +15 gr/m2  </t>
    </r>
    <r>
      <rPr>
        <b/>
        <sz val="18"/>
        <rFont val="Arial"/>
        <family val="2"/>
      </rPr>
      <t xml:space="preserve"> 80 mm  COPO 400/500ml </t>
    </r>
  </si>
  <si>
    <r>
      <t xml:space="preserve">FOLHA 2 PE 275 + 15 + 15 gr/m2  </t>
    </r>
    <r>
      <rPr>
        <b/>
        <sz val="18"/>
        <rFont val="Arial"/>
        <family val="2"/>
      </rPr>
      <t xml:space="preserve">660x842mm   </t>
    </r>
    <r>
      <rPr>
        <sz val="18"/>
        <rFont val="Arial"/>
        <family val="2"/>
      </rPr>
      <t xml:space="preserve">                            </t>
    </r>
    <r>
      <rPr>
        <b/>
        <sz val="18"/>
        <rFont val="Arial"/>
        <family val="2"/>
      </rPr>
      <t xml:space="preserve"> </t>
    </r>
    <r>
      <rPr>
        <b/>
        <sz val="22"/>
        <rFont val="Arial"/>
        <family val="2"/>
      </rPr>
      <t xml:space="preserve">COPO 1000ml </t>
    </r>
  </si>
  <si>
    <r>
      <t xml:space="preserve">FOLHA 2 PE 250 + 15 + 15 </t>
    </r>
    <r>
      <rPr>
        <b/>
        <sz val="18"/>
        <rFont val="Arial"/>
        <family val="2"/>
      </rPr>
      <t xml:space="preserve">596x903mm </t>
    </r>
    <r>
      <rPr>
        <sz val="18"/>
        <rFont val="Arial"/>
        <family val="2"/>
      </rPr>
      <t xml:space="preserve">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700ml </t>
    </r>
  </si>
  <si>
    <r>
      <t xml:space="preserve">FOLHA 2 PE 250 + 15 + 15 gr/m2  </t>
    </r>
    <r>
      <rPr>
        <b/>
        <sz val="18"/>
        <rFont val="Arial"/>
        <family val="2"/>
      </rPr>
      <t>548x989m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400 / 500ml </t>
    </r>
  </si>
  <si>
    <r>
      <t xml:space="preserve">FOLHA 1 PE 225 + 15  gr/m2  </t>
    </r>
    <r>
      <rPr>
        <b/>
        <sz val="18"/>
        <rFont val="Arial"/>
        <family val="2"/>
      </rPr>
      <t>548x989m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400 / 500ml FESTA </t>
    </r>
  </si>
  <si>
    <r>
      <t xml:space="preserve">FOLHA 1PE 225 + 15 gr/m2  </t>
    </r>
    <r>
      <rPr>
        <b/>
        <sz val="18"/>
        <rFont val="Arial"/>
        <family val="2"/>
      </rPr>
      <t xml:space="preserve">687x931mm     </t>
    </r>
    <r>
      <rPr>
        <sz val="18"/>
        <rFont val="Arial"/>
        <family val="2"/>
      </rPr>
      <t xml:space="preserve">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300ml </t>
    </r>
  </si>
  <si>
    <r>
      <t xml:space="preserve">FOLHA 1 PE 225+ 15 gr/m2  </t>
    </r>
    <r>
      <rPr>
        <b/>
        <sz val="18"/>
        <rFont val="Arial"/>
        <family val="2"/>
      </rPr>
      <t>660X1016m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240ml </t>
    </r>
  </si>
  <si>
    <r>
      <t xml:space="preserve">FOLHA 1 PE 21 0+ 15 gr/m2  </t>
    </r>
    <r>
      <rPr>
        <b/>
        <sz val="18"/>
        <rFont val="Arial"/>
        <family val="2"/>
      </rPr>
      <t>615X702m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100ml </t>
    </r>
  </si>
  <si>
    <r>
      <t xml:space="preserve">FOLHA 1 PE 225 + 15  gr/m2  </t>
    </r>
    <r>
      <rPr>
        <b/>
        <sz val="18"/>
        <rFont val="Arial"/>
        <family val="2"/>
      </rPr>
      <t>548x989m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COPO 400 / 500ml BIODEGRADÁVEL</t>
    </r>
  </si>
  <si>
    <t>Folha Cp 1000ml 2 PE</t>
  </si>
  <si>
    <t>Folha Cp 700ml 2 PE</t>
  </si>
  <si>
    <t>Fundo 100 mm Copo</t>
  </si>
  <si>
    <t>Fundo 90 mm Copo</t>
  </si>
  <si>
    <t>Folha Cp 400/500ml 2 PE</t>
  </si>
  <si>
    <t>Fundo80  Copo</t>
  </si>
  <si>
    <t>Folha Cp 300ml 1 PE</t>
  </si>
  <si>
    <t>Folha Cp 240ml 1 PE</t>
  </si>
  <si>
    <t>Folha Cp 180 ml 1 PE</t>
  </si>
  <si>
    <t>Folha Cp 100 ml 1 PE</t>
  </si>
  <si>
    <r>
      <rPr>
        <b/>
        <sz val="24"/>
        <rFont val="Arial"/>
        <family val="2"/>
      </rPr>
      <t xml:space="preserve">FOLHAS   1 PE  </t>
    </r>
    <r>
      <rPr>
        <sz val="18"/>
        <rFont val="Arial"/>
        <family val="2"/>
      </rPr>
      <t xml:space="preserve">225+15gr/m2     </t>
    </r>
    <r>
      <rPr>
        <sz val="18"/>
        <color indexed="10"/>
        <rFont val="Arial"/>
        <family val="2"/>
      </rPr>
      <t xml:space="preserve">                                        </t>
    </r>
    <r>
      <rPr>
        <b/>
        <sz val="18"/>
        <rFont val="Arial"/>
        <family val="2"/>
      </rPr>
      <t>Folha</t>
    </r>
    <r>
      <rPr>
        <sz val="18"/>
        <rFont val="Arial"/>
        <family val="2"/>
      </rPr>
      <t xml:space="preserve">  </t>
    </r>
    <r>
      <rPr>
        <b/>
        <sz val="18"/>
        <rFont val="Arial"/>
        <family val="2"/>
      </rPr>
      <t xml:space="preserve">670x893mm                   </t>
    </r>
    <r>
      <rPr>
        <b/>
        <sz val="24"/>
        <rFont val="Arial"/>
        <family val="2"/>
      </rPr>
      <t xml:space="preserve"> BALDE 4 Litros</t>
    </r>
  </si>
  <si>
    <r>
      <rPr>
        <b/>
        <sz val="24"/>
        <rFont val="Arial"/>
        <family val="2"/>
      </rPr>
      <t xml:space="preserve">FOLHAS 1 PE </t>
    </r>
    <r>
      <rPr>
        <sz val="18"/>
        <rFont val="Arial"/>
        <family val="2"/>
      </rPr>
      <t xml:space="preserve">225+15gr/m2                                             </t>
    </r>
    <r>
      <rPr>
        <b/>
        <sz val="18"/>
        <rFont val="Arial"/>
        <family val="2"/>
      </rPr>
      <t xml:space="preserve">700x1022mm                   </t>
    </r>
    <r>
      <rPr>
        <b/>
        <sz val="26"/>
        <rFont val="Arial"/>
        <family val="2"/>
      </rPr>
      <t xml:space="preserve"> BALDE 5 Litros</t>
    </r>
  </si>
  <si>
    <t>Folha Bd 4 Litros</t>
  </si>
  <si>
    <t>Folha Bd 5 Litros</t>
  </si>
  <si>
    <t>Peso Folha Balde 4 Litros 1 PE=</t>
  </si>
  <si>
    <r>
      <t xml:space="preserve">Kg bobina </t>
    </r>
    <r>
      <rPr>
        <b/>
        <sz val="14"/>
        <rFont val="Arial"/>
        <family val="2"/>
      </rPr>
      <t>1</t>
    </r>
    <r>
      <rPr>
        <sz val="14"/>
        <rFont val="Arial"/>
        <family val="2"/>
      </rPr>
      <t xml:space="preserve"> PE 910ml= (unidades)</t>
    </r>
  </si>
  <si>
    <t>Kg Folhas 4 L =  (unidades)</t>
  </si>
  <si>
    <r>
      <rPr>
        <b/>
        <sz val="24"/>
        <rFont val="Arial"/>
        <family val="2"/>
      </rPr>
      <t xml:space="preserve">FOLHAS   2 PE </t>
    </r>
    <r>
      <rPr>
        <sz val="18"/>
        <rFont val="Arial"/>
        <family val="2"/>
      </rPr>
      <t xml:space="preserve"> 275+32gr/m2     </t>
    </r>
    <r>
      <rPr>
        <sz val="18"/>
        <color indexed="10"/>
        <rFont val="Arial"/>
        <family val="2"/>
      </rPr>
      <t xml:space="preserve">                                        </t>
    </r>
    <r>
      <rPr>
        <b/>
        <sz val="18"/>
        <rFont val="Arial"/>
        <family val="2"/>
      </rPr>
      <t>Folha</t>
    </r>
    <r>
      <rPr>
        <sz val="18"/>
        <rFont val="Arial"/>
        <family val="2"/>
      </rPr>
      <t xml:space="preserve">  740</t>
    </r>
    <r>
      <rPr>
        <b/>
        <sz val="18"/>
        <rFont val="Arial"/>
        <family val="2"/>
      </rPr>
      <t xml:space="preserve"> x 605 mm                    </t>
    </r>
    <r>
      <rPr>
        <b/>
        <sz val="24"/>
        <rFont val="Arial"/>
        <family val="2"/>
      </rPr>
      <t>BALDE 910ml BURGUER KING</t>
    </r>
  </si>
  <si>
    <t>Peso Folha Balde 910 ml BURGUER KING 2 PE=</t>
  </si>
  <si>
    <r>
      <rPr>
        <b/>
        <sz val="24"/>
        <rFont val="Arial"/>
        <family val="2"/>
      </rPr>
      <t>BOBINA FUNDO  1</t>
    </r>
    <r>
      <rPr>
        <b/>
        <sz val="24"/>
        <color indexed="62"/>
        <rFont val="Arial"/>
        <family val="2"/>
      </rPr>
      <t xml:space="preserve"> PE</t>
    </r>
    <r>
      <rPr>
        <b/>
        <sz val="24"/>
        <rFont val="Arial"/>
        <family val="2"/>
      </rPr>
      <t xml:space="preserve"> </t>
    </r>
    <r>
      <rPr>
        <sz val="18"/>
        <rFont val="Arial"/>
        <family val="2"/>
      </rPr>
      <t xml:space="preserve">235+15 gr/m2 Bobina Larg. </t>
    </r>
    <r>
      <rPr>
        <b/>
        <sz val="24"/>
        <rFont val="Arial"/>
        <family val="2"/>
      </rPr>
      <t>115 mm BALDE     910ml</t>
    </r>
  </si>
  <si>
    <t xml:space="preserve">Peso bobina 275 + 0,14 BIO  Copo 1000 ml   = </t>
  </si>
  <si>
    <t xml:space="preserve">Peso folha 275+0,14 BIO   Copo  1000ml = </t>
  </si>
  <si>
    <t xml:space="preserve">Peso folha 250+0,14 BIO   Copo  700ml = </t>
  </si>
  <si>
    <t xml:space="preserve">Peso  bobina 250+0,14 BIO Copo 700 ml  = </t>
  </si>
  <si>
    <t xml:space="preserve">Peso folha 250+0,14 BIOpo  400/500ml = </t>
  </si>
  <si>
    <t xml:space="preserve">Peso  bobina 250+ 0,14 BIO copo 400/500 ml  = </t>
  </si>
  <si>
    <t xml:space="preserve">Peso folha 250+14 BIO   Copo 300ml = </t>
  </si>
  <si>
    <t xml:space="preserve">Peso  bobina 250+14 BIO Copos Pequenos fundo = </t>
  </si>
  <si>
    <t>Bobina Fundo 70 mm BIO</t>
  </si>
  <si>
    <t>Bobina Fundo 70 mm PE</t>
  </si>
  <si>
    <t>Bobina fundo 70 mm BIO</t>
  </si>
  <si>
    <t>Bobina fundo 70 mm PE</t>
  </si>
  <si>
    <r>
      <t xml:space="preserve">FOLHA 1 PE 225+ 15 gr/m2  </t>
    </r>
    <r>
      <rPr>
        <b/>
        <sz val="18"/>
        <rFont val="Arial"/>
        <family val="2"/>
      </rPr>
      <t>645X995m</t>
    </r>
    <r>
      <rPr>
        <sz val="18"/>
        <rFont val="Arial"/>
        <family val="2"/>
      </rPr>
      <t xml:space="preserve">m                         </t>
    </r>
    <r>
      <rPr>
        <b/>
        <sz val="18"/>
        <rFont val="Arial"/>
        <family val="2"/>
      </rPr>
      <t xml:space="preserve">       </t>
    </r>
    <r>
      <rPr>
        <b/>
        <sz val="22"/>
        <rFont val="Arial"/>
        <family val="2"/>
      </rPr>
      <t xml:space="preserve">COPO 180ml </t>
    </r>
  </si>
  <si>
    <t>FOLHAS 1 PE 225+15gr/m2                                             700x1022mm                    BALDE 5 Litros</t>
  </si>
  <si>
    <t>FOLHAS   1 PE  225+15gr/m2                                             Folha  670x893mm                    BALDE 4 Litros</t>
  </si>
  <si>
    <t>FOLHAS   1 PE  225+15gr/m2                                             Folha  620x883mm                    BALDE 3 Litros</t>
  </si>
  <si>
    <t>FOLHAS   1 PE  225+15gr/m2                                             Folha  577 x 983 mm                    BALDE 1,5 Litros</t>
  </si>
  <si>
    <t>BOBINA FUNDO 1 PE 235/215+15gr/m2 Bobina Larg. 190mm BALDES 5L, 4L, 3L e 1,5L</t>
  </si>
  <si>
    <t>FOLHAS   1 PE  225+15gr/m2                                             Folha  694 x 962 mm                    BALDE 910ml KFC</t>
  </si>
  <si>
    <t>FOLHAS   2 PE  275+32gr/m2                                             Folha  740 x 605 mm                    BALDE 910ml BURGUER KING</t>
  </si>
  <si>
    <t>BOBINA FUNDO  1 PE 235+15 gr/m2 Bobina Larg. 115 mm BALDE     910ml</t>
  </si>
  <si>
    <t xml:space="preserve">FOLHA 2 PE 275 + 15 + 15 gr/m2  660x842mm                                COPO 1000ml </t>
  </si>
  <si>
    <t xml:space="preserve">Bobina   Fundo 2 PE 275 +15 +15 gr/m2  100mm   COPO 1000ml </t>
  </si>
  <si>
    <t xml:space="preserve">FOLHA 2 PE 250 + 15 + 15 596x903mm                                COPO 700ml </t>
  </si>
  <si>
    <t xml:space="preserve">Bobina Fundo 2 PE 250 +15 +15 gr/m2  90mm   COPO 700ml </t>
  </si>
  <si>
    <t xml:space="preserve">FOLHA 2 PE 250 + 15 + 15 gr/m2  548x989mm                                COPO 400 / 500ml </t>
  </si>
  <si>
    <t xml:space="preserve">Bobina Fundo 2 PE 250 +15 +15 gr/m2   80 mm  COPO 400/500ml </t>
  </si>
  <si>
    <t xml:space="preserve">FOLHA 1 PE 225 + 15  gr/m2  548x989mm                                COPO 400 / 500ml FESTA </t>
  </si>
  <si>
    <t xml:space="preserve">FOLHA 1PE 225 + 15 gr/m2  687x931mm                                COPO 300ml </t>
  </si>
  <si>
    <t xml:space="preserve">FOLHA 1 PE 225+ 15 gr/m2  660X1016mm                                COPO 240ml </t>
  </si>
  <si>
    <t xml:space="preserve">FOLHA 1 PE 225+ 15 gr/m2  645X995mm                                COPO 180ml </t>
  </si>
  <si>
    <t xml:space="preserve">FOLHA 1 PE 21 0+ 15 gr/m2  615X702mm                                COPO 100ml </t>
  </si>
  <si>
    <t>Bobina Fundo 2 PE 225 +15  gr/m2  Fundo 70 mm                                COPOS PEQUENOS</t>
  </si>
  <si>
    <t>FOLHA 1 PE 225 + 15  gr/m2  548x989mm                                COPO 400 / 500ml BIODEGRADÁVEL</t>
  </si>
  <si>
    <t>FOLHA 1PE 225 + 15 gr/m2  687x931mm                                COPO 300ml BIODEGRADÁVEL</t>
  </si>
  <si>
    <t>FOLHA 1 PE 225+ 15 gr/m2  660X1016mm                                COPO 240ml BIODEGRADÁVEL</t>
  </si>
  <si>
    <t xml:space="preserve">FOLHA 1 PE 225+ 15 gr/m2  643X993mm                                COPO 180ml BIODEGRADÁVEL </t>
  </si>
  <si>
    <t>FOLHA 1 PE 21 0+ 15 gr/m2  615X702mm                                COPO 100ml BIODEGRADÁVEL</t>
  </si>
  <si>
    <t>Divisoria 1,5</t>
  </si>
  <si>
    <t>Divisoria 3,0</t>
  </si>
  <si>
    <t>Divisoria 4,0</t>
  </si>
  <si>
    <t>Tampa 1,5</t>
  </si>
  <si>
    <t>Tampa 4,0</t>
  </si>
  <si>
    <t>Tampa 3,0</t>
  </si>
  <si>
    <t xml:space="preserve">NF de janeiro </t>
  </si>
  <si>
    <t>DIMENSÕES</t>
  </si>
  <si>
    <t>GRAMATURA</t>
  </si>
  <si>
    <t>PESO NA NF</t>
  </si>
  <si>
    <t>700 X 1025</t>
  </si>
  <si>
    <t>720 X 1400</t>
  </si>
  <si>
    <t>660 X 960</t>
  </si>
  <si>
    <t>770 x 1130</t>
  </si>
  <si>
    <t>694 x 961</t>
  </si>
  <si>
    <t>670 x 893</t>
  </si>
  <si>
    <t>620 x 883</t>
  </si>
  <si>
    <t>660 x 1020</t>
  </si>
  <si>
    <t>615 x 545</t>
  </si>
  <si>
    <t>596 x 905</t>
  </si>
  <si>
    <t>570 x 1000</t>
  </si>
  <si>
    <t>660 x 960</t>
  </si>
  <si>
    <t>645 x 995</t>
  </si>
  <si>
    <t>660 x 550</t>
  </si>
  <si>
    <t>710 x 1390</t>
  </si>
  <si>
    <t>690 x 935</t>
  </si>
  <si>
    <t>577 x 983</t>
  </si>
  <si>
    <t>BD5L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</si>
</sst>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000"/>
    <numFmt numFmtId="166" formatCode="00"/>
    <numFmt numFmtId="167" formatCode="dd/mm/yy;@"/>
    <numFmt numFmtId="168" formatCode="0_ ;[Red]\-0\ "/>
    <numFmt numFmtId="169" formatCode="0.000"/>
    <numFmt numFmtId="170" formatCode="#,##0_ ;[Red]\-#,##0\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name val="Arial"/>
      <family val="2"/>
    </font>
    <font>
      <b/>
      <sz val="24"/>
      <color rgb="FF0070C0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6"/>
      <color theme="1"/>
      <name val="Calibri"/>
      <family val="2"/>
      <scheme val="minor"/>
    </font>
    <font>
      <sz val="18"/>
      <color rgb="FFFF0000"/>
      <name val="Arial"/>
      <family val="2"/>
    </font>
    <font>
      <sz val="18"/>
      <color indexed="10"/>
      <name val="Arial"/>
      <family val="2"/>
    </font>
    <font>
      <b/>
      <sz val="18"/>
      <color theme="0"/>
      <name val="Arial"/>
      <family val="2"/>
    </font>
    <font>
      <sz val="18"/>
      <color rgb="FF002060"/>
      <name val="Arial"/>
      <family val="2"/>
    </font>
    <font>
      <sz val="18"/>
      <color theme="1"/>
      <name val="Calibri"/>
      <family val="2"/>
      <scheme val="minor"/>
    </font>
    <font>
      <b/>
      <sz val="14"/>
      <name val="Arial"/>
      <family val="2"/>
    </font>
    <font>
      <sz val="16"/>
      <name val="Arial"/>
      <family val="2"/>
    </font>
    <font>
      <sz val="14"/>
      <color theme="1"/>
      <name val="Calibri"/>
      <family val="2"/>
      <scheme val="minor"/>
    </font>
    <font>
      <b/>
      <sz val="26"/>
      <color indexed="63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24"/>
      <color indexed="62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indexed="1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22"/>
      <name val="Arial"/>
      <family val="2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0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Segoe UI"/>
      <family val="2"/>
    </font>
    <font>
      <sz val="1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 style="thin">
        <color theme="0" tint="-0.1499679555650502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left"/>
    </xf>
    <xf numFmtId="164" fontId="2" fillId="0" borderId="0" xfId="1" applyFont="1" applyAlignment="1">
      <alignment vertical="center"/>
    </xf>
    <xf numFmtId="164" fontId="2" fillId="0" borderId="1" xfId="1" applyFont="1" applyBorder="1" applyAlignment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5" fillId="0" borderId="0" xfId="0" applyFont="1" applyAlignment="1">
      <alignment horizontal="left"/>
    </xf>
    <xf numFmtId="0" fontId="7" fillId="0" borderId="0" xfId="0" applyFont="1"/>
    <xf numFmtId="4" fontId="6" fillId="5" borderId="7" xfId="1" applyNumberFormat="1" applyFont="1" applyFill="1" applyBorder="1" applyAlignment="1">
      <alignment horizontal="center" vertical="center"/>
    </xf>
    <xf numFmtId="4" fontId="6" fillId="5" borderId="8" xfId="1" applyNumberFormat="1" applyFont="1" applyFill="1" applyBorder="1" applyAlignment="1">
      <alignment horizontal="center" vertical="center"/>
    </xf>
    <xf numFmtId="168" fontId="11" fillId="0" borderId="4" xfId="1" applyNumberFormat="1" applyFont="1" applyBorder="1" applyAlignment="1">
      <alignment horizontal="center" vertical="center"/>
    </xf>
    <xf numFmtId="164" fontId="6" fillId="0" borderId="0" xfId="1" applyFont="1" applyAlignment="1">
      <alignment horizontal="center" vertical="center"/>
    </xf>
    <xf numFmtId="164" fontId="6" fillId="0" borderId="0" xfId="1" applyFont="1" applyAlignment="1">
      <alignment vertical="center"/>
    </xf>
    <xf numFmtId="0" fontId="12" fillId="0" borderId="0" xfId="0" applyFont="1"/>
    <xf numFmtId="40" fontId="12" fillId="0" borderId="0" xfId="0" applyNumberFormat="1" applyFont="1" applyAlignment="1">
      <alignment horizontal="left" textRotation="90"/>
    </xf>
    <xf numFmtId="0" fontId="12" fillId="0" borderId="0" xfId="0" applyFont="1" applyAlignment="1">
      <alignment textRotation="90"/>
    </xf>
    <xf numFmtId="168" fontId="11" fillId="0" borderId="6" xfId="1" applyNumberFormat="1" applyFont="1" applyBorder="1" applyAlignment="1">
      <alignment horizontal="center" vertical="center"/>
    </xf>
    <xf numFmtId="0" fontId="12" fillId="0" borderId="0" xfId="0" applyFont="1" applyAlignment="1">
      <alignment horizontal="left" textRotation="90"/>
    </xf>
    <xf numFmtId="49" fontId="6" fillId="0" borderId="0" xfId="1" applyNumberFormat="1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0" xfId="0" applyBorder="1"/>
    <xf numFmtId="49" fontId="6" fillId="0" borderId="0" xfId="1" applyNumberFormat="1" applyFont="1" applyAlignment="1">
      <alignment vertical="center"/>
    </xf>
    <xf numFmtId="9" fontId="6" fillId="0" borderId="0" xfId="4" applyFont="1" applyAlignment="1">
      <alignment vertical="center"/>
    </xf>
    <xf numFmtId="0" fontId="6" fillId="0" borderId="0" xfId="1" applyNumberFormat="1" applyFont="1" applyAlignment="1">
      <alignment vertical="center"/>
    </xf>
    <xf numFmtId="0" fontId="15" fillId="0" borderId="0" xfId="0" applyFont="1"/>
    <xf numFmtId="0" fontId="15" fillId="0" borderId="11" xfId="0" applyFont="1" applyBorder="1" applyAlignment="1">
      <alignment horizontal="left"/>
    </xf>
    <xf numFmtId="3" fontId="13" fillId="2" borderId="8" xfId="1" applyNumberFormat="1" applyFont="1" applyFill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/>
    </xf>
    <xf numFmtId="3" fontId="13" fillId="2" borderId="4" xfId="1" applyNumberFormat="1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1" fillId="0" borderId="11" xfId="0" applyFont="1" applyBorder="1" applyAlignment="1">
      <alignment horizontal="left"/>
    </xf>
    <xf numFmtId="164" fontId="14" fillId="0" borderId="3" xfId="1" applyFont="1" applyBorder="1" applyAlignment="1">
      <alignment horizontal="center" vertical="center"/>
    </xf>
    <xf numFmtId="164" fontId="14" fillId="0" borderId="7" xfId="1" applyFont="1" applyBorder="1" applyAlignment="1">
      <alignment horizontal="center" vertical="center"/>
    </xf>
    <xf numFmtId="164" fontId="14" fillId="0" borderId="6" xfId="1" applyFont="1" applyBorder="1" applyAlignment="1">
      <alignment horizontal="center" vertical="center"/>
    </xf>
    <xf numFmtId="164" fontId="14" fillId="6" borderId="4" xfId="1" applyFont="1" applyFill="1" applyBorder="1" applyAlignment="1">
      <alignment vertical="center"/>
    </xf>
    <xf numFmtId="164" fontId="14" fillId="0" borderId="16" xfId="1" applyFont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166" fontId="17" fillId="8" borderId="4" xfId="0" applyNumberFormat="1" applyFont="1" applyFill="1" applyBorder="1" applyAlignment="1">
      <alignment horizontal="center" textRotation="90" wrapText="1"/>
    </xf>
    <xf numFmtId="166" fontId="4" fillId="8" borderId="4" xfId="0" applyNumberFormat="1" applyFont="1" applyFill="1" applyBorder="1" applyAlignment="1">
      <alignment horizontal="center" textRotation="90" wrapText="1"/>
    </xf>
    <xf numFmtId="0" fontId="15" fillId="0" borderId="0" xfId="0" applyFont="1" applyBorder="1"/>
    <xf numFmtId="3" fontId="5" fillId="5" borderId="0" xfId="1" applyNumberFormat="1" applyFont="1" applyFill="1" applyBorder="1" applyAlignment="1">
      <alignment horizontal="center" vertical="center"/>
    </xf>
    <xf numFmtId="164" fontId="13" fillId="5" borderId="0" xfId="1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vertical="center" wrapText="1"/>
    </xf>
    <xf numFmtId="164" fontId="5" fillId="5" borderId="0" xfId="1" applyFont="1" applyFill="1" applyBorder="1" applyAlignment="1">
      <alignment horizontal="left" vertical="center"/>
    </xf>
    <xf numFmtId="3" fontId="13" fillId="5" borderId="0" xfId="1" applyNumberFormat="1" applyFont="1" applyFill="1" applyBorder="1" applyAlignment="1">
      <alignment horizontal="center" vertical="center"/>
    </xf>
    <xf numFmtId="0" fontId="15" fillId="5" borderId="0" xfId="0" applyFont="1" applyFill="1" applyBorder="1"/>
    <xf numFmtId="0" fontId="20" fillId="5" borderId="0" xfId="0" applyFont="1" applyFill="1" applyBorder="1"/>
    <xf numFmtId="164" fontId="5" fillId="5" borderId="0" xfId="1" applyFont="1" applyFill="1" applyBorder="1" applyAlignment="1">
      <alignment vertical="center"/>
    </xf>
    <xf numFmtId="0" fontId="13" fillId="5" borderId="0" xfId="0" applyFont="1" applyFill="1" applyBorder="1" applyAlignment="1">
      <alignment horizontal="center" vertical="center" wrapText="1"/>
    </xf>
    <xf numFmtId="168" fontId="5" fillId="5" borderId="0" xfId="1" applyNumberFormat="1" applyFont="1" applyFill="1" applyBorder="1" applyAlignment="1">
      <alignment horizontal="center" vertical="center"/>
    </xf>
    <xf numFmtId="166" fontId="17" fillId="3" borderId="4" xfId="0" applyNumberFormat="1" applyFont="1" applyFill="1" applyBorder="1" applyAlignment="1">
      <alignment horizontal="center" textRotation="90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15" fillId="0" borderId="0" xfId="0" applyFont="1" applyBorder="1" applyAlignment="1">
      <alignment horizontal="left"/>
    </xf>
    <xf numFmtId="166" fontId="25" fillId="8" borderId="4" xfId="0" applyNumberFormat="1" applyFont="1" applyFill="1" applyBorder="1" applyAlignment="1">
      <alignment horizontal="center" textRotation="90" wrapText="1"/>
    </xf>
    <xf numFmtId="0" fontId="13" fillId="5" borderId="0" xfId="0" applyFont="1" applyFill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0" fontId="13" fillId="5" borderId="0" xfId="0" applyFont="1" applyFill="1" applyBorder="1" applyAlignment="1">
      <alignment horizontal="center" vertical="center" wrapText="1"/>
    </xf>
    <xf numFmtId="168" fontId="11" fillId="2" borderId="4" xfId="1" applyNumberFormat="1" applyFont="1" applyFill="1" applyBorder="1" applyAlignment="1">
      <alignment horizontal="center" vertical="center"/>
    </xf>
    <xf numFmtId="166" fontId="8" fillId="11" borderId="8" xfId="0" applyNumberFormat="1" applyFont="1" applyFill="1" applyBorder="1" applyAlignment="1">
      <alignment horizontal="center" textRotation="90" wrapText="1"/>
    </xf>
    <xf numFmtId="166" fontId="6" fillId="3" borderId="8" xfId="0" applyNumberFormat="1" applyFont="1" applyFill="1" applyBorder="1" applyAlignment="1">
      <alignment horizontal="center" textRotation="90" wrapText="1"/>
    </xf>
    <xf numFmtId="166" fontId="6" fillId="9" borderId="8" xfId="0" applyNumberFormat="1" applyFont="1" applyFill="1" applyBorder="1" applyAlignment="1">
      <alignment horizontal="center" textRotation="90" wrapText="1"/>
    </xf>
    <xf numFmtId="0" fontId="15" fillId="0" borderId="14" xfId="0" applyFont="1" applyBorder="1" applyAlignment="1">
      <alignment horizontal="left"/>
    </xf>
    <xf numFmtId="166" fontId="6" fillId="12" borderId="8" xfId="0" applyNumberFormat="1" applyFont="1" applyFill="1" applyBorder="1" applyAlignment="1">
      <alignment horizontal="center" textRotation="90" wrapText="1"/>
    </xf>
    <xf numFmtId="166" fontId="6" fillId="4" borderId="8" xfId="0" applyNumberFormat="1" applyFont="1" applyFill="1" applyBorder="1" applyAlignment="1">
      <alignment horizontal="center" textRotation="90" wrapText="1"/>
    </xf>
    <xf numFmtId="165" fontId="14" fillId="0" borderId="4" xfId="1" applyNumberFormat="1" applyFont="1" applyBorder="1" applyAlignment="1">
      <alignment horizontal="right" vertical="center"/>
    </xf>
    <xf numFmtId="165" fontId="14" fillId="0" borderId="8" xfId="1" applyNumberFormat="1" applyFont="1" applyBorder="1" applyAlignment="1">
      <alignment horizontal="right" vertical="center"/>
    </xf>
    <xf numFmtId="165" fontId="23" fillId="5" borderId="4" xfId="0" applyNumberFormat="1" applyFont="1" applyFill="1" applyBorder="1" applyAlignment="1">
      <alignment vertical="center"/>
    </xf>
    <xf numFmtId="164" fontId="5" fillId="5" borderId="5" xfId="1" applyFont="1" applyFill="1" applyBorder="1" applyAlignment="1">
      <alignment horizontal="left" vertical="center"/>
    </xf>
    <xf numFmtId="164" fontId="5" fillId="5" borderId="4" xfId="1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 wrapText="1"/>
    </xf>
    <xf numFmtId="4" fontId="6" fillId="5" borderId="4" xfId="1" applyNumberFormat="1" applyFont="1" applyFill="1" applyBorder="1" applyAlignment="1">
      <alignment horizontal="center" vertical="center"/>
    </xf>
    <xf numFmtId="170" fontId="11" fillId="0" borderId="4" xfId="1" applyNumberFormat="1" applyFont="1" applyBorder="1" applyAlignment="1">
      <alignment horizontal="center" vertical="center"/>
    </xf>
    <xf numFmtId="170" fontId="6" fillId="0" borderId="4" xfId="1" applyNumberFormat="1" applyFont="1" applyBorder="1" applyAlignment="1">
      <alignment horizontal="center" vertical="center"/>
    </xf>
    <xf numFmtId="170" fontId="11" fillId="0" borderId="6" xfId="1" applyNumberFormat="1" applyFont="1" applyBorder="1" applyAlignment="1">
      <alignment horizontal="center" vertical="center"/>
    </xf>
    <xf numFmtId="170" fontId="31" fillId="0" borderId="4" xfId="1" applyNumberFormat="1" applyFont="1" applyBorder="1" applyAlignment="1">
      <alignment horizontal="center" vertical="center"/>
    </xf>
    <xf numFmtId="166" fontId="6" fillId="13" borderId="7" xfId="0" applyNumberFormat="1" applyFont="1" applyFill="1" applyBorder="1" applyAlignment="1">
      <alignment horizontal="center" textRotation="90" wrapText="1"/>
    </xf>
    <xf numFmtId="166" fontId="8" fillId="13" borderId="8" xfId="0" applyNumberFormat="1" applyFont="1" applyFill="1" applyBorder="1" applyAlignment="1">
      <alignment horizontal="center" textRotation="90" wrapText="1"/>
    </xf>
    <xf numFmtId="166" fontId="6" fillId="13" borderId="8" xfId="0" applyNumberFormat="1" applyFont="1" applyFill="1" applyBorder="1" applyAlignment="1">
      <alignment horizontal="center" textRotation="90" wrapText="1"/>
    </xf>
    <xf numFmtId="170" fontId="28" fillId="5" borderId="4" xfId="1" applyNumberFormat="1" applyFont="1" applyFill="1" applyBorder="1" applyAlignment="1">
      <alignment horizontal="center" vertical="center"/>
    </xf>
    <xf numFmtId="164" fontId="14" fillId="6" borderId="6" xfId="1" applyFont="1" applyFill="1" applyBorder="1" applyAlignment="1">
      <alignment vertical="center"/>
    </xf>
    <xf numFmtId="164" fontId="5" fillId="0" borderId="17" xfId="1" applyFont="1" applyBorder="1" applyAlignment="1">
      <alignment horizontal="left" vertical="center"/>
    </xf>
    <xf numFmtId="3" fontId="13" fillId="5" borderId="17" xfId="1" applyNumberFormat="1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left" vertical="center" wrapText="1"/>
    </xf>
    <xf numFmtId="164" fontId="14" fillId="3" borderId="22" xfId="1" applyFont="1" applyFill="1" applyBorder="1" applyAlignment="1">
      <alignment vertical="center"/>
    </xf>
    <xf numFmtId="165" fontId="14" fillId="0" borderId="22" xfId="1" applyNumberFormat="1" applyFont="1" applyBorder="1" applyAlignment="1">
      <alignment horizontal="center" vertical="center"/>
    </xf>
    <xf numFmtId="164" fontId="14" fillId="0" borderId="23" xfId="1" applyFont="1" applyBorder="1" applyAlignment="1">
      <alignment horizontal="center" vertical="center"/>
    </xf>
    <xf numFmtId="0" fontId="22" fillId="3" borderId="25" xfId="0" applyFont="1" applyFill="1" applyBorder="1" applyAlignment="1">
      <alignment vertical="center"/>
    </xf>
    <xf numFmtId="165" fontId="14" fillId="0" borderId="25" xfId="1" applyNumberFormat="1" applyFont="1" applyBorder="1" applyAlignment="1">
      <alignment horizontal="center" vertical="center"/>
    </xf>
    <xf numFmtId="164" fontId="14" fillId="0" borderId="26" xfId="1" applyFont="1" applyBorder="1" applyAlignment="1">
      <alignment horizontal="center" vertical="center"/>
    </xf>
    <xf numFmtId="0" fontId="22" fillId="11" borderId="25" xfId="0" applyFont="1" applyFill="1" applyBorder="1" applyAlignment="1">
      <alignment vertical="center"/>
    </xf>
    <xf numFmtId="164" fontId="14" fillId="3" borderId="25" xfId="1" applyFont="1" applyFill="1" applyBorder="1" applyAlignment="1">
      <alignment vertical="center"/>
    </xf>
    <xf numFmtId="165" fontId="23" fillId="5" borderId="25" xfId="0" applyNumberFormat="1" applyFont="1" applyFill="1" applyBorder="1" applyAlignment="1">
      <alignment horizontal="center" vertical="center"/>
    </xf>
    <xf numFmtId="164" fontId="14" fillId="3" borderId="28" xfId="1" applyFont="1" applyFill="1" applyBorder="1" applyAlignment="1">
      <alignment vertical="center"/>
    </xf>
    <xf numFmtId="165" fontId="23" fillId="5" borderId="28" xfId="0" applyNumberFormat="1" applyFont="1" applyFill="1" applyBorder="1" applyAlignment="1">
      <alignment horizontal="center" vertical="center"/>
    </xf>
    <xf numFmtId="164" fontId="14" fillId="0" borderId="29" xfId="1" applyFont="1" applyBorder="1" applyAlignment="1">
      <alignment horizontal="center" vertical="center"/>
    </xf>
    <xf numFmtId="164" fontId="14" fillId="4" borderId="21" xfId="1" applyFont="1" applyFill="1" applyBorder="1" applyAlignment="1">
      <alignment vertical="center"/>
    </xf>
    <xf numFmtId="0" fontId="22" fillId="4" borderId="22" xfId="0" applyFont="1" applyFill="1" applyBorder="1" applyAlignment="1">
      <alignment vertical="center"/>
    </xf>
    <xf numFmtId="164" fontId="14" fillId="4" borderId="24" xfId="1" applyFont="1" applyFill="1" applyBorder="1" applyAlignment="1">
      <alignment vertical="center"/>
    </xf>
    <xf numFmtId="164" fontId="14" fillId="4" borderId="25" xfId="1" applyFont="1" applyFill="1" applyBorder="1" applyAlignment="1">
      <alignment vertical="center"/>
    </xf>
    <xf numFmtId="165" fontId="14" fillId="0" borderId="26" xfId="1" applyNumberFormat="1" applyFont="1" applyBorder="1" applyAlignment="1">
      <alignment horizontal="center" vertical="center"/>
    </xf>
    <xf numFmtId="0" fontId="22" fillId="4" borderId="25" xfId="0" applyFont="1" applyFill="1" applyBorder="1" applyAlignment="1">
      <alignment vertical="center"/>
    </xf>
    <xf numFmtId="164" fontId="14" fillId="4" borderId="30" xfId="1" applyFont="1" applyFill="1" applyBorder="1" applyAlignment="1">
      <alignment vertical="center"/>
    </xf>
    <xf numFmtId="164" fontId="14" fillId="4" borderId="31" xfId="1" applyFont="1" applyFill="1" applyBorder="1" applyAlignment="1">
      <alignment vertical="center"/>
    </xf>
    <xf numFmtId="165" fontId="14" fillId="0" borderId="31" xfId="1" applyNumberFormat="1" applyFont="1" applyBorder="1" applyAlignment="1">
      <alignment horizontal="center" vertical="center"/>
    </xf>
    <xf numFmtId="164" fontId="14" fillId="0" borderId="32" xfId="1" applyFont="1" applyBorder="1" applyAlignment="1">
      <alignment horizontal="center" vertical="center"/>
    </xf>
    <xf numFmtId="164" fontId="14" fillId="4" borderId="27" xfId="1" applyFont="1" applyFill="1" applyBorder="1" applyAlignment="1">
      <alignment vertical="center"/>
    </xf>
    <xf numFmtId="164" fontId="14" fillId="4" borderId="28" xfId="1" applyFont="1" applyFill="1" applyBorder="1" applyAlignment="1">
      <alignment vertical="center"/>
    </xf>
    <xf numFmtId="169" fontId="23" fillId="5" borderId="28" xfId="0" applyNumberFormat="1" applyFont="1" applyFill="1" applyBorder="1" applyAlignment="1">
      <alignment horizontal="center" vertical="center"/>
    </xf>
    <xf numFmtId="168" fontId="14" fillId="0" borderId="34" xfId="1" applyNumberFormat="1" applyFont="1" applyBorder="1" applyAlignment="1">
      <alignment horizontal="center" vertical="center"/>
    </xf>
    <xf numFmtId="164" fontId="5" fillId="0" borderId="34" xfId="1" applyFont="1" applyBorder="1" applyAlignment="1">
      <alignment vertical="center"/>
    </xf>
    <xf numFmtId="3" fontId="13" fillId="2" borderId="34" xfId="1" applyNumberFormat="1" applyFont="1" applyFill="1" applyBorder="1" applyAlignment="1">
      <alignment horizontal="center" vertical="center"/>
    </xf>
    <xf numFmtId="164" fontId="13" fillId="0" borderId="35" xfId="1" applyFont="1" applyBorder="1" applyAlignment="1">
      <alignment horizontal="center" vertical="center"/>
    </xf>
    <xf numFmtId="3" fontId="14" fillId="0" borderId="37" xfId="1" applyNumberFormat="1" applyFont="1" applyBorder="1" applyAlignment="1">
      <alignment horizontal="center" vertical="center"/>
    </xf>
    <xf numFmtId="164" fontId="5" fillId="0" borderId="38" xfId="1" applyFont="1" applyBorder="1" applyAlignment="1">
      <alignment vertical="center"/>
    </xf>
    <xf numFmtId="3" fontId="29" fillId="2" borderId="37" xfId="1" applyNumberFormat="1" applyFont="1" applyFill="1" applyBorder="1" applyAlignment="1">
      <alignment horizontal="center" vertical="center"/>
    </xf>
    <xf numFmtId="164" fontId="13" fillId="0" borderId="39" xfId="1" applyFont="1" applyBorder="1" applyAlignment="1">
      <alignment horizontal="center" vertical="center"/>
    </xf>
    <xf numFmtId="3" fontId="14" fillId="0" borderId="38" xfId="1" applyNumberFormat="1" applyFont="1" applyBorder="1" applyAlignment="1">
      <alignment horizontal="center" vertical="center"/>
    </xf>
    <xf numFmtId="3" fontId="14" fillId="0" borderId="42" xfId="1" applyNumberFormat="1" applyFont="1" applyBorder="1" applyAlignment="1">
      <alignment horizontal="center" vertical="center"/>
    </xf>
    <xf numFmtId="164" fontId="13" fillId="0" borderId="43" xfId="1" applyFont="1" applyBorder="1" applyAlignment="1">
      <alignment horizontal="center" vertical="center"/>
    </xf>
    <xf numFmtId="164" fontId="5" fillId="0" borderId="37" xfId="1" applyFont="1" applyBorder="1" applyAlignment="1">
      <alignment vertical="center"/>
    </xf>
    <xf numFmtId="3" fontId="13" fillId="2" borderId="37" xfId="1" applyNumberFormat="1" applyFont="1" applyFill="1" applyBorder="1" applyAlignment="1">
      <alignment horizontal="center" vertical="center"/>
    </xf>
    <xf numFmtId="3" fontId="14" fillId="0" borderId="45" xfId="1" applyNumberFormat="1" applyFont="1" applyBorder="1" applyAlignment="1">
      <alignment horizontal="center" vertical="center"/>
    </xf>
    <xf numFmtId="164" fontId="5" fillId="0" borderId="45" xfId="1" applyFont="1" applyBorder="1" applyAlignment="1">
      <alignment vertical="center"/>
    </xf>
    <xf numFmtId="3" fontId="13" fillId="2" borderId="46" xfId="1" applyNumberFormat="1" applyFont="1" applyFill="1" applyBorder="1" applyAlignment="1">
      <alignment horizontal="center" vertical="center"/>
    </xf>
    <xf numFmtId="164" fontId="13" fillId="0" borderId="47" xfId="1" applyFont="1" applyBorder="1" applyAlignment="1">
      <alignment horizontal="center" vertical="center"/>
    </xf>
    <xf numFmtId="0" fontId="13" fillId="4" borderId="40" xfId="0" applyFont="1" applyFill="1" applyBorder="1" applyAlignment="1">
      <alignment vertical="center"/>
    </xf>
    <xf numFmtId="3" fontId="13" fillId="2" borderId="38" xfId="1" applyNumberFormat="1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vertical="center"/>
    </xf>
    <xf numFmtId="3" fontId="14" fillId="5" borderId="37" xfId="1" applyNumberFormat="1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vertical="center"/>
    </xf>
    <xf numFmtId="168" fontId="14" fillId="0" borderId="38" xfId="1" applyNumberFormat="1" applyFont="1" applyBorder="1" applyAlignment="1">
      <alignment horizontal="center" vertical="center"/>
    </xf>
    <xf numFmtId="164" fontId="5" fillId="0" borderId="38" xfId="1" applyFont="1" applyBorder="1" applyAlignment="1">
      <alignment horizontal="left" vertical="center"/>
    </xf>
    <xf numFmtId="0" fontId="13" fillId="4" borderId="44" xfId="0" applyFont="1" applyFill="1" applyBorder="1" applyAlignment="1">
      <alignment vertical="center"/>
    </xf>
    <xf numFmtId="3" fontId="14" fillId="0" borderId="46" xfId="1" applyNumberFormat="1" applyFont="1" applyBorder="1" applyAlignment="1">
      <alignment horizontal="center" vertical="center"/>
    </xf>
    <xf numFmtId="164" fontId="5" fillId="0" borderId="46" xfId="1" applyFont="1" applyBorder="1" applyAlignment="1">
      <alignment vertical="center"/>
    </xf>
    <xf numFmtId="164" fontId="13" fillId="0" borderId="48" xfId="1" applyFont="1" applyBorder="1" applyAlignment="1">
      <alignment horizontal="center" vertical="center"/>
    </xf>
    <xf numFmtId="164" fontId="13" fillId="0" borderId="51" xfId="1" applyFont="1" applyBorder="1" applyAlignment="1">
      <alignment horizontal="center" vertical="center"/>
    </xf>
    <xf numFmtId="164" fontId="13" fillId="0" borderId="46" xfId="1" applyFont="1" applyBorder="1" applyAlignment="1">
      <alignment horizontal="center" vertical="center"/>
    </xf>
    <xf numFmtId="0" fontId="15" fillId="0" borderId="15" xfId="0" applyFont="1" applyBorder="1"/>
    <xf numFmtId="0" fontId="0" fillId="0" borderId="52" xfId="0" applyBorder="1"/>
    <xf numFmtId="0" fontId="0" fillId="0" borderId="53" xfId="0" applyBorder="1"/>
    <xf numFmtId="0" fontId="0" fillId="0" borderId="53" xfId="0" applyBorder="1" applyAlignment="1">
      <alignment horizontal="left"/>
    </xf>
    <xf numFmtId="164" fontId="14" fillId="5" borderId="20" xfId="1" applyFont="1" applyFill="1" applyBorder="1" applyAlignment="1">
      <alignment vertical="center"/>
    </xf>
    <xf numFmtId="165" fontId="14" fillId="5" borderId="11" xfId="1" applyNumberFormat="1" applyFont="1" applyFill="1" applyBorder="1" applyAlignment="1">
      <alignment horizontal="right" vertical="center"/>
    </xf>
    <xf numFmtId="164" fontId="14" fillId="5" borderId="10" xfId="1" applyFont="1" applyFill="1" applyBorder="1" applyAlignment="1">
      <alignment horizontal="center" vertical="center"/>
    </xf>
    <xf numFmtId="164" fontId="24" fillId="5" borderId="11" xfId="1" applyFont="1" applyFill="1" applyBorder="1" applyAlignment="1">
      <alignment vertical="center"/>
    </xf>
    <xf numFmtId="164" fontId="2" fillId="0" borderId="54" xfId="1" applyFont="1" applyBorder="1" applyAlignment="1">
      <alignment vertical="center"/>
    </xf>
    <xf numFmtId="0" fontId="13" fillId="3" borderId="55" xfId="0" applyFont="1" applyFill="1" applyBorder="1" applyAlignment="1">
      <alignment vertical="center" wrapText="1"/>
    </xf>
    <xf numFmtId="0" fontId="13" fillId="4" borderId="33" xfId="0" applyFont="1" applyFill="1" applyBorder="1" applyAlignment="1">
      <alignment vertical="center"/>
    </xf>
    <xf numFmtId="3" fontId="14" fillId="0" borderId="34" xfId="1" applyNumberFormat="1" applyFont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 wrapText="1"/>
    </xf>
    <xf numFmtId="166" fontId="5" fillId="0" borderId="2" xfId="1" applyNumberFormat="1" applyFont="1" applyBorder="1" applyAlignment="1">
      <alignment horizontal="center" vertical="center"/>
    </xf>
    <xf numFmtId="164" fontId="5" fillId="5" borderId="2" xfId="1" applyFont="1" applyFill="1" applyBorder="1" applyAlignment="1">
      <alignment horizontal="left" vertical="center"/>
    </xf>
    <xf numFmtId="164" fontId="5" fillId="5" borderId="56" xfId="1" applyFont="1" applyFill="1" applyBorder="1" applyAlignment="1">
      <alignment horizontal="left" vertical="center"/>
    </xf>
    <xf numFmtId="0" fontId="13" fillId="7" borderId="50" xfId="0" applyFont="1" applyFill="1" applyBorder="1" applyAlignment="1">
      <alignment vertical="center" wrapText="1"/>
    </xf>
    <xf numFmtId="164" fontId="5" fillId="5" borderId="57" xfId="1" applyFont="1" applyFill="1" applyBorder="1" applyAlignment="1">
      <alignment horizontal="left" vertical="center"/>
    </xf>
    <xf numFmtId="0" fontId="13" fillId="7" borderId="49" xfId="0" applyFont="1" applyFill="1" applyBorder="1" applyAlignment="1">
      <alignment vertical="center" wrapText="1"/>
    </xf>
    <xf numFmtId="0" fontId="13" fillId="7" borderId="58" xfId="0" applyFont="1" applyFill="1" applyBorder="1" applyAlignment="1">
      <alignment vertical="center" wrapText="1"/>
    </xf>
    <xf numFmtId="0" fontId="13" fillId="3" borderId="50" xfId="0" applyFont="1" applyFill="1" applyBorder="1" applyAlignment="1">
      <alignment vertical="center" wrapText="1"/>
    </xf>
    <xf numFmtId="0" fontId="13" fillId="3" borderId="59" xfId="0" applyFont="1" applyFill="1" applyBorder="1" applyAlignment="1">
      <alignment vertical="center" wrapText="1"/>
    </xf>
    <xf numFmtId="3" fontId="13" fillId="5" borderId="60" xfId="1" applyNumberFormat="1" applyFont="1" applyFill="1" applyBorder="1" applyAlignment="1">
      <alignment horizontal="center" vertical="center"/>
    </xf>
    <xf numFmtId="164" fontId="13" fillId="0" borderId="61" xfId="1" applyFont="1" applyBorder="1" applyAlignment="1">
      <alignment horizontal="center" vertical="center"/>
    </xf>
    <xf numFmtId="164" fontId="13" fillId="0" borderId="62" xfId="1" applyFont="1" applyBorder="1" applyAlignment="1">
      <alignment horizontal="center" vertical="center"/>
    </xf>
    <xf numFmtId="164" fontId="13" fillId="0" borderId="63" xfId="1" applyFont="1" applyBorder="1" applyAlignment="1">
      <alignment horizontal="center" vertical="center"/>
    </xf>
    <xf numFmtId="164" fontId="13" fillId="0" borderId="64" xfId="1" applyFont="1" applyBorder="1" applyAlignment="1">
      <alignment horizontal="center" vertical="center"/>
    </xf>
    <xf numFmtId="3" fontId="5" fillId="0" borderId="15" xfId="1" applyNumberFormat="1" applyFont="1" applyBorder="1" applyAlignment="1">
      <alignment horizontal="center" vertical="center"/>
    </xf>
    <xf numFmtId="0" fontId="21" fillId="0" borderId="0" xfId="0" applyFont="1" applyBorder="1"/>
    <xf numFmtId="164" fontId="2" fillId="2" borderId="1" xfId="1" applyFont="1" applyFill="1" applyBorder="1" applyAlignment="1">
      <alignment vertical="center"/>
    </xf>
    <xf numFmtId="164" fontId="2" fillId="2" borderId="18" xfId="1" applyFont="1" applyFill="1" applyBorder="1" applyAlignment="1">
      <alignment vertical="center"/>
    </xf>
    <xf numFmtId="0" fontId="0" fillId="2" borderId="18" xfId="0" applyFill="1" applyBorder="1"/>
    <xf numFmtId="1" fontId="3" fillId="2" borderId="18" xfId="1" applyNumberFormat="1" applyFont="1" applyFill="1" applyBorder="1" applyAlignment="1">
      <alignment vertical="center"/>
    </xf>
    <xf numFmtId="1" fontId="3" fillId="2" borderId="19" xfId="1" applyNumberFormat="1" applyFont="1" applyFill="1" applyBorder="1" applyAlignment="1">
      <alignment vertical="center"/>
    </xf>
    <xf numFmtId="164" fontId="14" fillId="3" borderId="65" xfId="1" applyFont="1" applyFill="1" applyBorder="1" applyAlignment="1">
      <alignment vertical="center"/>
    </xf>
    <xf numFmtId="164" fontId="14" fillId="0" borderId="66" xfId="1" applyFont="1" applyBorder="1" applyAlignment="1">
      <alignment horizontal="center" vertical="center"/>
    </xf>
    <xf numFmtId="164" fontId="14" fillId="3" borderId="67" xfId="1" applyFont="1" applyFill="1" applyBorder="1" applyAlignment="1">
      <alignment vertical="center"/>
    </xf>
    <xf numFmtId="164" fontId="14" fillId="0" borderId="68" xfId="1" applyFont="1" applyBorder="1" applyAlignment="1">
      <alignment horizontal="center" vertical="center"/>
    </xf>
    <xf numFmtId="164" fontId="14" fillId="0" borderId="69" xfId="1" applyFont="1" applyBorder="1" applyAlignment="1">
      <alignment horizontal="center" vertical="center"/>
    </xf>
    <xf numFmtId="164" fontId="14" fillId="11" borderId="67" xfId="1" applyFont="1" applyFill="1" applyBorder="1" applyAlignment="1">
      <alignment vertical="center"/>
    </xf>
    <xf numFmtId="164" fontId="14" fillId="3" borderId="70" xfId="1" applyFont="1" applyFill="1" applyBorder="1" applyAlignment="1">
      <alignment vertical="center"/>
    </xf>
    <xf numFmtId="164" fontId="14" fillId="0" borderId="71" xfId="1" applyFont="1" applyBorder="1" applyAlignment="1">
      <alignment horizontal="center" vertical="center"/>
    </xf>
    <xf numFmtId="164" fontId="5" fillId="0" borderId="4" xfId="1" applyFont="1" applyBorder="1" applyAlignment="1">
      <alignment horizontal="left" vertical="center"/>
    </xf>
    <xf numFmtId="165" fontId="23" fillId="0" borderId="25" xfId="0" applyNumberFormat="1" applyFont="1" applyFill="1" applyBorder="1" applyAlignment="1">
      <alignment horizontal="center" vertical="center"/>
    </xf>
    <xf numFmtId="170" fontId="28" fillId="0" borderId="4" xfId="1" applyNumberFormat="1" applyFont="1" applyFill="1" applyBorder="1" applyAlignment="1">
      <alignment horizontal="center" vertical="center"/>
    </xf>
    <xf numFmtId="170" fontId="11" fillId="0" borderId="4" xfId="1" applyNumberFormat="1" applyFont="1" applyFill="1" applyBorder="1" applyAlignment="1">
      <alignment horizontal="center" vertical="center"/>
    </xf>
    <xf numFmtId="170" fontId="11" fillId="0" borderId="6" xfId="1" applyNumberFormat="1" applyFont="1" applyFill="1" applyBorder="1" applyAlignment="1">
      <alignment horizontal="center" vertical="center"/>
    </xf>
    <xf numFmtId="170" fontId="31" fillId="5" borderId="4" xfId="1" applyNumberFormat="1" applyFont="1" applyFill="1" applyBorder="1" applyAlignment="1">
      <alignment horizontal="center" vertical="center"/>
    </xf>
    <xf numFmtId="170" fontId="31" fillId="0" borderId="4" xfId="1" applyNumberFormat="1" applyFont="1" applyFill="1" applyBorder="1" applyAlignment="1">
      <alignment horizontal="center" vertical="center"/>
    </xf>
    <xf numFmtId="0" fontId="15" fillId="0" borderId="4" xfId="0" applyFont="1" applyBorder="1"/>
    <xf numFmtId="0" fontId="13" fillId="9" borderId="5" xfId="0" applyFont="1" applyFill="1" applyBorder="1" applyAlignment="1">
      <alignment horizontal="left" vertical="center"/>
    </xf>
    <xf numFmtId="0" fontId="15" fillId="0" borderId="5" xfId="0" applyFont="1" applyBorder="1"/>
    <xf numFmtId="3" fontId="14" fillId="0" borderId="4" xfId="1" applyNumberFormat="1" applyFont="1" applyBorder="1" applyAlignment="1">
      <alignment horizontal="center" vertical="center"/>
    </xf>
    <xf numFmtId="164" fontId="13" fillId="0" borderId="3" xfId="1" applyFont="1" applyBorder="1" applyAlignment="1">
      <alignment horizontal="center" vertical="center"/>
    </xf>
    <xf numFmtId="164" fontId="13" fillId="0" borderId="6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6" fillId="5" borderId="4" xfId="1" applyFont="1" applyFill="1" applyBorder="1" applyAlignment="1">
      <alignment horizontal="center" vertical="center"/>
    </xf>
    <xf numFmtId="164" fontId="6" fillId="5" borderId="5" xfId="1" applyFont="1" applyFill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164" fontId="8" fillId="5" borderId="5" xfId="1" applyFont="1" applyFill="1" applyBorder="1" applyAlignment="1">
      <alignment horizontal="left" vertical="center"/>
    </xf>
    <xf numFmtId="164" fontId="8" fillId="5" borderId="6" xfId="1" applyFont="1" applyFill="1" applyBorder="1" applyAlignment="1">
      <alignment horizontal="left" vertical="center"/>
    </xf>
    <xf numFmtId="167" fontId="10" fillId="10" borderId="4" xfId="1" applyNumberFormat="1" applyFont="1" applyFill="1" applyBorder="1" applyAlignment="1">
      <alignment horizontal="center" vertical="center"/>
    </xf>
    <xf numFmtId="167" fontId="10" fillId="10" borderId="5" xfId="1" applyNumberFormat="1" applyFont="1" applyFill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164" fontId="6" fillId="5" borderId="6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164" fontId="5" fillId="0" borderId="8" xfId="1" applyFont="1" applyBorder="1" applyAlignment="1">
      <alignment horizontal="left" vertical="center"/>
    </xf>
    <xf numFmtId="0" fontId="13" fillId="5" borderId="0" xfId="0" applyFont="1" applyFill="1" applyBorder="1" applyAlignment="1">
      <alignment horizontal="center" vertical="center" wrapText="1"/>
    </xf>
    <xf numFmtId="164" fontId="5" fillId="0" borderId="4" xfId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5">
    <cellStyle name="Moeda" xfId="1" builtinId="4"/>
    <cellStyle name="Normal" xfId="0" builtinId="0"/>
    <cellStyle name="Normal 3" xfId="2" xr:uid="{00000000-0005-0000-0000-000002000000}"/>
    <cellStyle name="Porcentagem" xfId="4" builtinId="5"/>
    <cellStyle name="Vírgula 2" xfId="3" xr:uid="{00000000-0005-0000-0000-000005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228600</xdr:rowOff>
    </xdr:from>
    <xdr:to>
      <xdr:col>2</xdr:col>
      <xdr:colOff>1016669</xdr:colOff>
      <xdr:row>6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04800"/>
          <a:ext cx="2064419" cy="135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2</xdr:row>
      <xdr:rowOff>38100</xdr:rowOff>
    </xdr:from>
    <xdr:to>
      <xdr:col>2</xdr:col>
      <xdr:colOff>781050</xdr:colOff>
      <xdr:row>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255416-7B0D-486C-BEC9-4168E6D4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9" y="2362200"/>
          <a:ext cx="1657351" cy="1085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2</xdr:row>
      <xdr:rowOff>38100</xdr:rowOff>
    </xdr:from>
    <xdr:to>
      <xdr:col>2</xdr:col>
      <xdr:colOff>781050</xdr:colOff>
      <xdr:row>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03194F-3396-4C6E-93F3-711B19D09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4" y="685800"/>
          <a:ext cx="1647826" cy="1057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2</xdr:row>
      <xdr:rowOff>38100</xdr:rowOff>
    </xdr:from>
    <xdr:to>
      <xdr:col>2</xdr:col>
      <xdr:colOff>781050</xdr:colOff>
      <xdr:row>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0D455B-A5CE-4390-B495-B8A1CC56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4" y="685800"/>
          <a:ext cx="1647826" cy="1057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OLUPLEX%20-%20GEST&#195;O%20DE%20ESTOQUES/Rastreabilidade/Rastreabilidade%201%20-%20Original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l"/>
      <sheetName val="GERAL"/>
    </sheetNames>
    <sheetDataSet>
      <sheetData sheetId="0">
        <row r="68">
          <cell r="G68">
            <v>1419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10">
          <cell r="G110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1:AU1253"/>
  <sheetViews>
    <sheetView showGridLines="0" tabSelected="1" topLeftCell="A18" zoomScale="65" zoomScaleNormal="40" zoomScaleSheetLayoutView="50" workbookViewId="0">
      <selection activeCell="J23" sqref="J23"/>
    </sheetView>
  </sheetViews>
  <sheetFormatPr defaultRowHeight="30.75" thickBottom="1" x14ac:dyDescent="0.25"/>
  <cols>
    <col min="1" max="1" width="2.15234375" customWidth="1"/>
    <col min="2" max="2" width="16.41015625" style="1" customWidth="1"/>
    <col min="3" max="3" width="16.94921875" customWidth="1"/>
    <col min="4" max="4" width="33.765625" customWidth="1"/>
    <col min="5" max="5" width="26.23046875" customWidth="1"/>
    <col min="6" max="6" width="24.34765625" customWidth="1"/>
    <col min="7" max="7" width="26.23046875" customWidth="1"/>
    <col min="8" max="8" width="27.171875" style="1" customWidth="1"/>
    <col min="9" max="9" width="29.7265625" customWidth="1"/>
    <col min="10" max="10" width="39.68359375" customWidth="1"/>
    <col min="11" max="11" width="27.98046875" customWidth="1"/>
    <col min="12" max="12" width="28.515625" style="3" customWidth="1"/>
    <col min="13" max="14" width="31.74609375" style="3" customWidth="1"/>
    <col min="15" max="15" width="33.765625" style="3" customWidth="1"/>
    <col min="16" max="16" width="29.19140625" style="3" customWidth="1"/>
    <col min="17" max="17" width="32.1484375" style="3" customWidth="1"/>
    <col min="18" max="19" width="26.23046875" style="3" customWidth="1"/>
    <col min="20" max="21" width="33.08984375" style="3" customWidth="1"/>
    <col min="22" max="22" width="31.4765625" style="3" customWidth="1"/>
    <col min="23" max="26" width="26.23046875" customWidth="1"/>
    <col min="27" max="30" width="19.1015625" bestFit="1" customWidth="1"/>
    <col min="31" max="31" width="19.1015625" customWidth="1"/>
    <col min="32" max="33" width="18.5625" customWidth="1"/>
    <col min="34" max="34" width="19.1015625" customWidth="1"/>
    <col min="35" max="35" width="18.16015625" customWidth="1"/>
    <col min="36" max="36" width="31.34375" customWidth="1"/>
    <col min="37" max="37" width="26.6328125" customWidth="1"/>
  </cols>
  <sheetData>
    <row r="1" spans="2:31" ht="12" customHeight="1" thickBot="1" x14ac:dyDescent="0.25"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31" thickBot="1" x14ac:dyDescent="0.25">
      <c r="B2" s="23"/>
      <c r="C2" s="24"/>
      <c r="D2" s="175" t="s">
        <v>14</v>
      </c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7"/>
      <c r="X2" s="178"/>
      <c r="Y2" s="177"/>
      <c r="Z2" s="177"/>
      <c r="AA2" s="179">
        <v>2020</v>
      </c>
      <c r="AB2" s="24"/>
    </row>
    <row r="3" spans="2:31" s="36" customFormat="1" ht="21.75" customHeight="1" x14ac:dyDescent="0.3">
      <c r="B3" s="37"/>
      <c r="C3" s="174"/>
      <c r="D3" s="180" t="s">
        <v>0</v>
      </c>
      <c r="E3" s="91"/>
      <c r="F3" s="91"/>
      <c r="G3" s="92">
        <f>(0.7*1.025*(0.225+0.015))</f>
        <v>0.17219999999999996</v>
      </c>
      <c r="H3" s="93" t="s">
        <v>1</v>
      </c>
      <c r="I3" s="103" t="s">
        <v>133</v>
      </c>
      <c r="J3" s="104"/>
      <c r="K3" s="92">
        <f>0.66*0.842*(0.275+0.014)</f>
        <v>0.16060308000000001</v>
      </c>
      <c r="L3" s="93" t="s">
        <v>1</v>
      </c>
      <c r="M3" s="41" t="s">
        <v>138</v>
      </c>
      <c r="N3" s="41"/>
      <c r="O3" s="72">
        <f>0.687*0.931*(0.25+0.014)</f>
        <v>0.16885360800000002</v>
      </c>
      <c r="P3" s="38" t="s">
        <v>1</v>
      </c>
      <c r="Q3" s="38"/>
      <c r="R3" s="38"/>
      <c r="S3" s="38"/>
      <c r="T3" s="38"/>
      <c r="U3" s="38"/>
      <c r="V3" s="38"/>
      <c r="W3" s="38"/>
      <c r="X3" s="38"/>
      <c r="Y3" s="38"/>
      <c r="Z3" s="38"/>
      <c r="AA3" s="181"/>
    </row>
    <row r="4" spans="2:31" s="36" customFormat="1" ht="21.75" customHeight="1" x14ac:dyDescent="0.3">
      <c r="B4" s="37"/>
      <c r="C4" s="174"/>
      <c r="D4" s="182" t="s">
        <v>126</v>
      </c>
      <c r="E4" s="94"/>
      <c r="F4" s="94"/>
      <c r="G4" s="95">
        <f>(0.67*0.893*(0.225+0.015))</f>
        <v>0.14359439999999998</v>
      </c>
      <c r="H4" s="96" t="s">
        <v>1</v>
      </c>
      <c r="I4" s="105" t="s">
        <v>132</v>
      </c>
      <c r="J4" s="106"/>
      <c r="K4" s="95">
        <f>0.1*0.097*(0.275+0.014)</f>
        <v>2.8033000000000003E-3</v>
      </c>
      <c r="L4" s="107" t="s">
        <v>1</v>
      </c>
      <c r="M4" s="41" t="s">
        <v>99</v>
      </c>
      <c r="N4" s="41"/>
      <c r="O4" s="72">
        <f>0.687*0.931*(0.23+0.015)</f>
        <v>0.15670126500000001</v>
      </c>
      <c r="P4" s="40" t="s">
        <v>1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183"/>
    </row>
    <row r="5" spans="2:31" s="36" customFormat="1" ht="21.75" customHeight="1" x14ac:dyDescent="0.3">
      <c r="B5" s="37"/>
      <c r="C5" s="174"/>
      <c r="D5" s="182" t="s">
        <v>2</v>
      </c>
      <c r="E5" s="94"/>
      <c r="F5" s="94"/>
      <c r="G5" s="95">
        <f>(0.62*0.883*(0.225+0.015))</f>
        <v>0.13139039999999999</v>
      </c>
      <c r="H5" s="96" t="s">
        <v>1</v>
      </c>
      <c r="I5" s="105" t="s">
        <v>134</v>
      </c>
      <c r="J5" s="108"/>
      <c r="K5" s="95">
        <f>0.596*0.903*(0.25+0.014)</f>
        <v>0.14208163200000001</v>
      </c>
      <c r="L5" s="107" t="s">
        <v>1</v>
      </c>
      <c r="M5" s="41" t="s">
        <v>17</v>
      </c>
      <c r="N5" s="41"/>
      <c r="O5" s="73">
        <f>0.66*1.016*(0.23+0.014)</f>
        <v>0.16361664000000004</v>
      </c>
      <c r="P5" s="39" t="s">
        <v>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184"/>
    </row>
    <row r="6" spans="2:31" s="36" customFormat="1" ht="21.75" customHeight="1" x14ac:dyDescent="0.3">
      <c r="B6" s="37"/>
      <c r="C6" s="174"/>
      <c r="D6" s="182" t="s">
        <v>21</v>
      </c>
      <c r="E6" s="94"/>
      <c r="F6" s="94"/>
      <c r="G6" s="95">
        <f>(0.577* 0.983*(0.225+0.015))</f>
        <v>0.13612584</v>
      </c>
      <c r="H6" s="96" t="s">
        <v>1</v>
      </c>
      <c r="I6" s="105" t="s">
        <v>135</v>
      </c>
      <c r="J6" s="108"/>
      <c r="K6" s="95">
        <f>0.09*0.08602*(0.25+0.014)</f>
        <v>2.0438352E-3</v>
      </c>
      <c r="L6" s="107" t="s">
        <v>1</v>
      </c>
      <c r="M6" s="41" t="s">
        <v>18</v>
      </c>
      <c r="N6" s="41"/>
      <c r="O6" s="74">
        <f>0.643*0.993*(0.23+0.014)</f>
        <v>0.15579375600000003</v>
      </c>
      <c r="P6" s="39" t="s">
        <v>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184"/>
    </row>
    <row r="7" spans="2:31" s="36" customFormat="1" ht="21.75" customHeight="1" x14ac:dyDescent="0.3">
      <c r="B7" s="37"/>
      <c r="C7" s="174"/>
      <c r="D7" s="182" t="s">
        <v>78</v>
      </c>
      <c r="E7" s="94"/>
      <c r="F7" s="94"/>
      <c r="G7" s="95">
        <f>(0.694* 0.962*(0.225+0.015))</f>
        <v>0.16023071999999997</v>
      </c>
      <c r="H7" s="96" t="s">
        <v>1</v>
      </c>
      <c r="I7" s="109" t="s">
        <v>136</v>
      </c>
      <c r="J7" s="110"/>
      <c r="K7" s="111">
        <f>0.548*0.989*(0.25+0.014)</f>
        <v>0.143080608</v>
      </c>
      <c r="L7" s="112" t="s">
        <v>1</v>
      </c>
      <c r="M7" s="41" t="s">
        <v>16</v>
      </c>
      <c r="N7" s="41"/>
      <c r="O7" s="72">
        <f>0.615*0.702*(0.23+0.014)</f>
        <v>0.10534212</v>
      </c>
      <c r="P7" s="40" t="s">
        <v>1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183"/>
    </row>
    <row r="8" spans="2:31" s="36" customFormat="1" ht="21.75" customHeight="1" x14ac:dyDescent="0.3">
      <c r="B8" s="37"/>
      <c r="C8" s="174"/>
      <c r="D8" s="185" t="s">
        <v>130</v>
      </c>
      <c r="E8" s="97"/>
      <c r="F8" s="97"/>
      <c r="G8" s="95">
        <v>0.16020000000000001</v>
      </c>
      <c r="H8" s="96" t="s">
        <v>1</v>
      </c>
      <c r="I8" s="105" t="s">
        <v>137</v>
      </c>
      <c r="J8" s="106"/>
      <c r="K8" s="99">
        <f>0.08*0.0755*(0.25+0.014)</f>
        <v>1.5945600000000001E-3</v>
      </c>
      <c r="L8" s="112" t="s">
        <v>1</v>
      </c>
      <c r="M8" s="41" t="s">
        <v>100</v>
      </c>
      <c r="N8" s="41"/>
      <c r="O8" s="72">
        <f>0.07*0.0613*(0.23+0.015)</f>
        <v>1.0512950000000001E-3</v>
      </c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183"/>
    </row>
    <row r="9" spans="2:31" s="36" customFormat="1" ht="21.75" customHeight="1" x14ac:dyDescent="0.3">
      <c r="B9" s="37"/>
      <c r="C9" s="174"/>
      <c r="D9" s="182" t="s">
        <v>92</v>
      </c>
      <c r="E9" s="98"/>
      <c r="F9" s="98"/>
      <c r="G9" s="189">
        <f>(0.19+0.0025)*0.19*(0.225+0.015)</f>
        <v>8.7780000000000011E-3</v>
      </c>
      <c r="H9" s="96" t="s">
        <v>1</v>
      </c>
      <c r="I9" s="105"/>
      <c r="J9" s="106"/>
      <c r="K9" s="99"/>
      <c r="L9" s="96"/>
      <c r="M9" s="41" t="s">
        <v>139</v>
      </c>
      <c r="N9" s="87"/>
      <c r="O9" s="72">
        <f>0.07*0.0613*(0.25+0.014)</f>
        <v>1.1328240000000002E-3</v>
      </c>
      <c r="P9" s="40" t="s">
        <v>1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183"/>
    </row>
    <row r="10" spans="2:31" s="36" customFormat="1" ht="21.75" customHeight="1" thickBot="1" x14ac:dyDescent="0.35">
      <c r="B10" s="37"/>
      <c r="C10" s="174"/>
      <c r="D10" s="186" t="s">
        <v>93</v>
      </c>
      <c r="E10" s="100"/>
      <c r="F10" s="100"/>
      <c r="G10" s="101">
        <f>(0.12+0.0025)*0.12*(0.225+0.015)</f>
        <v>3.5279999999999999E-3</v>
      </c>
      <c r="H10" s="102" t="s">
        <v>1</v>
      </c>
      <c r="I10" s="113"/>
      <c r="J10" s="114"/>
      <c r="K10" s="115"/>
      <c r="L10" s="10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187"/>
    </row>
    <row r="11" spans="2:31" ht="10.5" customHeight="1" thickBot="1" x14ac:dyDescent="0.35">
      <c r="B11" s="25"/>
      <c r="C11" s="26"/>
      <c r="D11" s="147"/>
      <c r="E11" s="148"/>
      <c r="F11" s="148"/>
      <c r="G11" s="148"/>
      <c r="H11" s="149"/>
      <c r="I11" s="148"/>
      <c r="J11" s="148"/>
      <c r="K11" s="148"/>
      <c r="L11" s="148"/>
      <c r="M11" s="150"/>
      <c r="N11" s="150"/>
      <c r="O11" s="151"/>
      <c r="P11" s="152"/>
      <c r="Q11" s="153"/>
      <c r="R11" s="153"/>
      <c r="S11" s="154"/>
      <c r="T11"/>
      <c r="U11"/>
      <c r="V11"/>
      <c r="AC11" s="11"/>
      <c r="AD11" s="11"/>
      <c r="AE11" s="11"/>
    </row>
    <row r="12" spans="2:31" s="30" customFormat="1" ht="24.75" customHeight="1" x14ac:dyDescent="0.25">
      <c r="B12" s="31"/>
      <c r="C12" s="46"/>
      <c r="D12" s="155" t="s">
        <v>125</v>
      </c>
      <c r="E12" s="116">
        <f>+D23+D22+D24+D25+D26</f>
        <v>0</v>
      </c>
      <c r="F12" s="117" t="s">
        <v>80</v>
      </c>
      <c r="G12" s="117"/>
      <c r="H12" s="118">
        <f>(E12/G3)*4</f>
        <v>0</v>
      </c>
      <c r="I12" s="119" t="s">
        <v>3</v>
      </c>
      <c r="J12" s="156" t="s">
        <v>112</v>
      </c>
      <c r="K12" s="157">
        <f>L22+L23+L24+L25+L26</f>
        <v>0</v>
      </c>
      <c r="L12" s="117" t="s">
        <v>4</v>
      </c>
      <c r="M12" s="118">
        <f>(K12/K3)*8</f>
        <v>0</v>
      </c>
      <c r="N12" s="169" t="s">
        <v>5</v>
      </c>
      <c r="O12" s="196" t="s">
        <v>118</v>
      </c>
      <c r="P12" s="198">
        <f>S22+S23+S24+S25+S26</f>
        <v>0</v>
      </c>
      <c r="Q12" s="188" t="s">
        <v>25</v>
      </c>
      <c r="R12" s="34"/>
      <c r="S12" s="199"/>
      <c r="T12" s="158"/>
      <c r="U12" s="159"/>
      <c r="V12" s="160"/>
      <c r="W12" s="160"/>
      <c r="X12" s="160"/>
      <c r="Y12" s="160"/>
      <c r="Z12" s="160"/>
      <c r="AA12" s="161"/>
      <c r="AC12" s="35"/>
      <c r="AD12" s="35"/>
      <c r="AE12" s="35"/>
    </row>
    <row r="13" spans="2:31" s="30" customFormat="1" ht="24.75" customHeight="1" x14ac:dyDescent="0.25">
      <c r="B13" s="31"/>
      <c r="C13" s="46"/>
      <c r="D13" s="162" t="s">
        <v>124</v>
      </c>
      <c r="E13" s="120">
        <f>E22+E23+E24+E25+E26</f>
        <v>0</v>
      </c>
      <c r="F13" s="121" t="s">
        <v>128</v>
      </c>
      <c r="G13" s="121"/>
      <c r="H13" s="122">
        <f>(E13/G4)*4</f>
        <v>0</v>
      </c>
      <c r="I13" s="123" t="s">
        <v>3</v>
      </c>
      <c r="J13" s="135" t="s">
        <v>114</v>
      </c>
      <c r="K13" s="136">
        <f>M22+M23+M24+M25+M26</f>
        <v>0</v>
      </c>
      <c r="L13" s="127" t="s">
        <v>6</v>
      </c>
      <c r="M13" s="128">
        <f>(K13/K4)</f>
        <v>0</v>
      </c>
      <c r="N13" s="170" t="s">
        <v>5</v>
      </c>
      <c r="O13" s="196" t="s">
        <v>119</v>
      </c>
      <c r="P13" s="198">
        <f>T22+T23+T24+T25+T26</f>
        <v>0</v>
      </c>
      <c r="Q13" s="188" t="s">
        <v>13</v>
      </c>
      <c r="R13" s="34">
        <f>(P12/O4)*21</f>
        <v>0</v>
      </c>
      <c r="S13" s="200" t="s">
        <v>5</v>
      </c>
      <c r="T13" s="77"/>
      <c r="U13" s="33"/>
      <c r="V13" s="75"/>
      <c r="W13" s="75"/>
      <c r="X13" s="75"/>
      <c r="Y13" s="75"/>
      <c r="Z13" s="75"/>
      <c r="AA13" s="163"/>
      <c r="AC13" s="35"/>
      <c r="AD13" s="35"/>
      <c r="AE13" s="35"/>
    </row>
    <row r="14" spans="2:31" s="30" customFormat="1" ht="24.75" customHeight="1" x14ac:dyDescent="0.25">
      <c r="B14" s="31"/>
      <c r="C14" s="46"/>
      <c r="D14" s="162" t="s">
        <v>95</v>
      </c>
      <c r="E14" s="120">
        <f>F22+F23+F24+F25+F26</f>
        <v>0</v>
      </c>
      <c r="F14" s="121" t="s">
        <v>81</v>
      </c>
      <c r="G14" s="121"/>
      <c r="H14" s="122">
        <f>(E14/G5)*5</f>
        <v>0</v>
      </c>
      <c r="I14" s="123" t="s">
        <v>3</v>
      </c>
      <c r="J14" s="137" t="s">
        <v>113</v>
      </c>
      <c r="K14" s="120">
        <f>N22+N23+N24+N25</f>
        <v>0</v>
      </c>
      <c r="L14" s="127" t="s">
        <v>8</v>
      </c>
      <c r="M14" s="128">
        <f>(K14/K5)*10</f>
        <v>0</v>
      </c>
      <c r="N14" s="171" t="s">
        <v>5</v>
      </c>
      <c r="O14" s="196" t="s">
        <v>120</v>
      </c>
      <c r="P14" s="198">
        <f>U22+U23+U24+U25+U26</f>
        <v>1419</v>
      </c>
      <c r="Q14" s="188" t="s">
        <v>15</v>
      </c>
      <c r="R14" s="34">
        <f>(P13/O5)*27</f>
        <v>0</v>
      </c>
      <c r="S14" s="200" t="s">
        <v>5</v>
      </c>
      <c r="T14" s="77"/>
      <c r="U14" s="33"/>
      <c r="V14" s="76"/>
      <c r="W14" s="76"/>
      <c r="X14" s="76"/>
      <c r="Y14" s="76"/>
      <c r="Z14" s="76"/>
      <c r="AA14" s="163"/>
    </row>
    <row r="15" spans="2:31" s="30" customFormat="1" ht="24.75" customHeight="1" x14ac:dyDescent="0.25">
      <c r="B15" s="31"/>
      <c r="C15" s="46"/>
      <c r="D15" s="162" t="s">
        <v>96</v>
      </c>
      <c r="E15" s="120">
        <f>G22+G23+G24+G25+G26</f>
        <v>0</v>
      </c>
      <c r="F15" s="121" t="s">
        <v>82</v>
      </c>
      <c r="G15" s="121"/>
      <c r="H15" s="122">
        <f>(E15/G6)*9</f>
        <v>0</v>
      </c>
      <c r="I15" s="123" t="s">
        <v>3</v>
      </c>
      <c r="J15" s="135" t="s">
        <v>115</v>
      </c>
      <c r="K15" s="120">
        <f>O22+O23+O24+O25</f>
        <v>0</v>
      </c>
      <c r="L15" s="127" t="s">
        <v>9</v>
      </c>
      <c r="M15" s="128">
        <f>(K15/K6)</f>
        <v>0</v>
      </c>
      <c r="N15" s="171" t="s">
        <v>5</v>
      </c>
      <c r="O15" s="196" t="s">
        <v>121</v>
      </c>
      <c r="P15" s="198">
        <f>V22+V23+V24+V25+V26</f>
        <v>0</v>
      </c>
      <c r="Q15" s="188" t="s">
        <v>12</v>
      </c>
      <c r="R15" s="34">
        <f>(P14/O6)*30</f>
        <v>273245.86744028423</v>
      </c>
      <c r="S15" s="200" t="s">
        <v>5</v>
      </c>
      <c r="T15" s="77"/>
      <c r="U15" s="33"/>
      <c r="V15" s="76"/>
      <c r="W15" s="76"/>
      <c r="X15" s="76"/>
      <c r="Y15" s="76"/>
      <c r="Z15" s="76"/>
      <c r="AA15" s="163"/>
    </row>
    <row r="16" spans="2:31" s="30" customFormat="1" ht="24.75" customHeight="1" x14ac:dyDescent="0.25">
      <c r="B16" s="31"/>
      <c r="C16" s="46"/>
      <c r="D16" s="164" t="s">
        <v>97</v>
      </c>
      <c r="E16" s="124">
        <f>I22+I23+I24+I25+I26</f>
        <v>0</v>
      </c>
      <c r="F16" s="121" t="s">
        <v>83</v>
      </c>
      <c r="G16" s="121"/>
      <c r="H16" s="122">
        <f>(E16/G7)*12*0.9</f>
        <v>0</v>
      </c>
      <c r="I16" s="123" t="s">
        <v>3</v>
      </c>
      <c r="J16" s="133" t="s">
        <v>116</v>
      </c>
      <c r="K16" s="138">
        <f>P22+P23+P24+P25+P26</f>
        <v>160</v>
      </c>
      <c r="L16" s="139" t="s">
        <v>102</v>
      </c>
      <c r="M16" s="134">
        <f>(K16/K7)*12</f>
        <v>13419.009234291205</v>
      </c>
      <c r="N16" s="171" t="s">
        <v>5</v>
      </c>
      <c r="O16" s="196" t="s">
        <v>141</v>
      </c>
      <c r="P16" s="198">
        <v>2000</v>
      </c>
      <c r="Q16" s="188" t="s">
        <v>143</v>
      </c>
      <c r="R16" s="34">
        <f>(P16/O8)</f>
        <v>1902415.5921981935</v>
      </c>
      <c r="S16" s="200" t="s">
        <v>5</v>
      </c>
      <c r="T16" s="77"/>
      <c r="U16" s="33"/>
      <c r="V16" s="76"/>
      <c r="W16" s="76"/>
      <c r="X16" s="76"/>
      <c r="Y16" s="76"/>
      <c r="Z16" s="76"/>
      <c r="AA16" s="163"/>
    </row>
    <row r="17" spans="2:47" s="30" customFormat="1" ht="24.75" customHeight="1" x14ac:dyDescent="0.25">
      <c r="B17" s="31"/>
      <c r="C17" s="46"/>
      <c r="D17" s="165" t="s">
        <v>98</v>
      </c>
      <c r="E17" s="125">
        <f>J22+J23+J24+J25+J26</f>
        <v>0</v>
      </c>
      <c r="F17" s="121" t="s">
        <v>83</v>
      </c>
      <c r="G17" s="121"/>
      <c r="H17" s="122">
        <f>(E17/G8)*8</f>
        <v>0</v>
      </c>
      <c r="I17" s="126" t="s">
        <v>3</v>
      </c>
      <c r="J17" s="135" t="s">
        <v>117</v>
      </c>
      <c r="K17" s="120">
        <f>Q22+Q23+Q24+Q25+Q26</f>
        <v>0</v>
      </c>
      <c r="L17" s="127" t="s">
        <v>7</v>
      </c>
      <c r="M17" s="128">
        <f>(K17/K8)</f>
        <v>0</v>
      </c>
      <c r="N17" s="171" t="s">
        <v>5</v>
      </c>
      <c r="O17" s="196" t="s">
        <v>140</v>
      </c>
      <c r="P17" s="198">
        <v>2000</v>
      </c>
      <c r="Q17" s="188" t="s">
        <v>142</v>
      </c>
      <c r="R17" s="34">
        <f>(P17/O9)</f>
        <v>1765499.3185172628</v>
      </c>
      <c r="S17" s="200" t="s">
        <v>5</v>
      </c>
      <c r="T17" s="77"/>
      <c r="U17" s="33"/>
      <c r="V17" s="76"/>
      <c r="W17" s="76"/>
      <c r="X17" s="76"/>
      <c r="Y17" s="76"/>
      <c r="Z17" s="76"/>
      <c r="AA17" s="163"/>
    </row>
    <row r="18" spans="2:47" s="30" customFormat="1" ht="24.75" customHeight="1" x14ac:dyDescent="0.25">
      <c r="B18" s="31"/>
      <c r="C18" s="46"/>
      <c r="D18" s="166" t="s">
        <v>91</v>
      </c>
      <c r="E18" s="120">
        <f>H22+H23+H24+H26+H25+H27</f>
        <v>0</v>
      </c>
      <c r="F18" s="127" t="s">
        <v>84</v>
      </c>
      <c r="G18" s="127"/>
      <c r="H18" s="128">
        <f>(E18/G9)</f>
        <v>0</v>
      </c>
      <c r="I18" s="123" t="s">
        <v>3</v>
      </c>
      <c r="J18" s="137"/>
      <c r="K18" s="120"/>
      <c r="L18" s="127"/>
      <c r="M18" s="128"/>
      <c r="N18" s="170"/>
      <c r="O18" s="197"/>
      <c r="P18" s="195"/>
      <c r="Q18" s="195"/>
      <c r="R18" s="195"/>
      <c r="S18" s="200"/>
      <c r="T18" s="90"/>
      <c r="U18" s="33"/>
      <c r="V18" s="76"/>
      <c r="W18" s="76"/>
      <c r="X18" s="76"/>
      <c r="Y18" s="76"/>
      <c r="Z18" s="76"/>
      <c r="AA18" s="163"/>
    </row>
    <row r="19" spans="2:47" s="30" customFormat="1" ht="24.75" customHeight="1" thickBot="1" x14ac:dyDescent="0.3">
      <c r="B19" s="69"/>
      <c r="C19" s="146"/>
      <c r="D19" s="167" t="s">
        <v>94</v>
      </c>
      <c r="E19" s="129">
        <f>K22+K23+K25+K24+K26</f>
        <v>0</v>
      </c>
      <c r="F19" s="130" t="s">
        <v>127</v>
      </c>
      <c r="G19" s="130"/>
      <c r="H19" s="131">
        <f>(E19/G10)</f>
        <v>0</v>
      </c>
      <c r="I19" s="132" t="s">
        <v>3</v>
      </c>
      <c r="J19" s="140"/>
      <c r="K19" s="141"/>
      <c r="L19" s="142"/>
      <c r="M19" s="131"/>
      <c r="N19" s="172"/>
      <c r="O19" s="144"/>
      <c r="P19" s="145"/>
      <c r="Q19" s="145"/>
      <c r="R19" s="145"/>
      <c r="S19" s="143"/>
      <c r="T19" s="173"/>
      <c r="U19" s="88"/>
      <c r="V19" s="89"/>
      <c r="W19" s="89"/>
      <c r="X19" s="89"/>
      <c r="Y19" s="89"/>
      <c r="Z19" s="89"/>
      <c r="AA19" s="168"/>
    </row>
    <row r="20" spans="2:47" ht="274.5" customHeight="1" x14ac:dyDescent="0.2">
      <c r="B20" s="202" t="s">
        <v>10</v>
      </c>
      <c r="C20" s="203"/>
      <c r="D20" s="83" t="s">
        <v>123</v>
      </c>
      <c r="E20" s="84" t="s">
        <v>122</v>
      </c>
      <c r="F20" s="84" t="s">
        <v>77</v>
      </c>
      <c r="G20" s="84" t="s">
        <v>76</v>
      </c>
      <c r="H20" s="85" t="s">
        <v>86</v>
      </c>
      <c r="I20" s="85" t="s">
        <v>75</v>
      </c>
      <c r="J20" s="66" t="s">
        <v>129</v>
      </c>
      <c r="K20" s="67" t="s">
        <v>131</v>
      </c>
      <c r="L20" s="71" t="s">
        <v>104</v>
      </c>
      <c r="M20" s="71" t="s">
        <v>19</v>
      </c>
      <c r="N20" s="71" t="s">
        <v>105</v>
      </c>
      <c r="O20" s="71" t="s">
        <v>20</v>
      </c>
      <c r="P20" s="71" t="s">
        <v>106</v>
      </c>
      <c r="Q20" s="71" t="s">
        <v>103</v>
      </c>
      <c r="R20" s="68" t="s">
        <v>107</v>
      </c>
      <c r="S20" s="68" t="s">
        <v>108</v>
      </c>
      <c r="T20" s="68" t="s">
        <v>109</v>
      </c>
      <c r="U20" s="68" t="s">
        <v>144</v>
      </c>
      <c r="V20" s="68" t="s">
        <v>110</v>
      </c>
      <c r="W20" s="68" t="s">
        <v>85</v>
      </c>
      <c r="X20" s="70" t="s">
        <v>111</v>
      </c>
      <c r="Y20" s="70" t="s">
        <v>87</v>
      </c>
      <c r="Z20" s="70" t="s">
        <v>88</v>
      </c>
      <c r="AA20" s="70" t="s">
        <v>89</v>
      </c>
      <c r="AB20" s="70" t="s">
        <v>90</v>
      </c>
    </row>
    <row r="21" spans="2:47" s="5" customFormat="1" ht="22.5" customHeight="1" x14ac:dyDescent="0.2">
      <c r="B21" s="204" t="s">
        <v>11</v>
      </c>
      <c r="C21" s="205"/>
      <c r="D21" s="78" t="s">
        <v>1</v>
      </c>
      <c r="E21" s="12" t="s">
        <v>1</v>
      </c>
      <c r="F21" s="12" t="s">
        <v>1</v>
      </c>
      <c r="G21" s="12" t="s">
        <v>1</v>
      </c>
      <c r="H21" s="13" t="s">
        <v>1</v>
      </c>
      <c r="I21" s="12" t="s">
        <v>1</v>
      </c>
      <c r="J21" s="12" t="s">
        <v>1</v>
      </c>
      <c r="K21" s="13" t="s">
        <v>1</v>
      </c>
      <c r="L21" s="13" t="s">
        <v>1</v>
      </c>
      <c r="M21" s="13" t="s">
        <v>1</v>
      </c>
      <c r="N21" s="13" t="s">
        <v>1</v>
      </c>
      <c r="O21" s="13" t="s">
        <v>1</v>
      </c>
      <c r="P21" s="13" t="s">
        <v>1</v>
      </c>
      <c r="Q21" s="13" t="s">
        <v>1</v>
      </c>
      <c r="R21" s="13" t="s">
        <v>1</v>
      </c>
      <c r="S21" s="13" t="s">
        <v>1</v>
      </c>
      <c r="T21" s="13" t="s">
        <v>1</v>
      </c>
      <c r="U21" s="13" t="s">
        <v>1</v>
      </c>
      <c r="V21" s="13" t="s">
        <v>1</v>
      </c>
      <c r="W21" s="13" t="s">
        <v>1</v>
      </c>
      <c r="X21" s="13" t="s">
        <v>1</v>
      </c>
      <c r="Y21" s="13" t="s">
        <v>1</v>
      </c>
      <c r="Z21" s="13" t="s">
        <v>1</v>
      </c>
      <c r="AA21" s="13" t="s">
        <v>1</v>
      </c>
      <c r="AB21" s="13" t="s">
        <v>1</v>
      </c>
      <c r="AF21"/>
      <c r="AG21"/>
      <c r="AH21"/>
      <c r="AI21"/>
      <c r="AJ21"/>
      <c r="AK21"/>
      <c r="AL21"/>
      <c r="AM21" s="4"/>
      <c r="AN21" s="4"/>
      <c r="AO21" s="4"/>
      <c r="AP21" s="4"/>
      <c r="AQ21" s="4"/>
      <c r="AR21" s="4"/>
      <c r="AS21" s="4"/>
      <c r="AT21" s="4"/>
      <c r="AU21" s="4"/>
    </row>
    <row r="22" spans="2:47" s="7" customFormat="1" ht="26.25" customHeight="1" x14ac:dyDescent="0.2">
      <c r="B22" s="209" t="s">
        <v>22</v>
      </c>
      <c r="C22" s="210"/>
      <c r="D22" s="79">
        <f>SUM([1]Papel!$G$100+[1]Papel!$G$101+[1]Papel!$G$110)</f>
        <v>0</v>
      </c>
      <c r="E22" s="86"/>
      <c r="F22" s="193">
        <f>SUM([1]Papel!$G$99)</f>
        <v>0</v>
      </c>
      <c r="G22" s="86"/>
      <c r="H22" s="191"/>
      <c r="I22" s="190"/>
      <c r="J22" s="194">
        <f>D22</f>
        <v>0</v>
      </c>
      <c r="K22" s="191"/>
      <c r="L22" s="80"/>
      <c r="M22" s="80"/>
      <c r="N22" s="80"/>
      <c r="O22" s="80"/>
      <c r="P22" s="80">
        <v>160</v>
      </c>
      <c r="Q22" s="80"/>
      <c r="R22" s="80"/>
      <c r="S22" s="80"/>
      <c r="T22" s="80"/>
      <c r="U22" s="80">
        <f>SUM([1]Papel!$G$68+[1]Papel!$G$98)</f>
        <v>1419</v>
      </c>
      <c r="V22" s="190"/>
      <c r="W22" s="190"/>
      <c r="X22" s="82">
        <v>25258</v>
      </c>
      <c r="Y22" s="81"/>
      <c r="Z22" s="81"/>
      <c r="AA22" s="81"/>
      <c r="AB22" s="81"/>
      <c r="AF22"/>
      <c r="AG22"/>
      <c r="AH22"/>
      <c r="AI22"/>
      <c r="AJ22"/>
      <c r="AK22"/>
      <c r="AL22"/>
      <c r="AM22" s="6"/>
      <c r="AN22" s="6"/>
      <c r="AO22" s="6"/>
      <c r="AP22" s="6"/>
      <c r="AQ22" s="6"/>
      <c r="AR22" s="6"/>
      <c r="AS22" s="6"/>
      <c r="AT22" s="6"/>
      <c r="AU22" s="6"/>
    </row>
    <row r="23" spans="2:47" s="10" customFormat="1" ht="26.25" customHeight="1" x14ac:dyDescent="0.2">
      <c r="B23" s="205" t="s">
        <v>79</v>
      </c>
      <c r="C23" s="213"/>
      <c r="D23" s="191"/>
      <c r="E23" s="191"/>
      <c r="F23" s="192"/>
      <c r="G23" s="192"/>
      <c r="H23" s="192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7"/>
    </row>
    <row r="24" spans="2:47" s="10" customFormat="1" ht="26.25" customHeight="1" x14ac:dyDescent="0.2">
      <c r="B24" s="205" t="s">
        <v>101</v>
      </c>
      <c r="C24" s="213"/>
      <c r="D24" s="7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7"/>
    </row>
    <row r="25" spans="2:47" s="1" customFormat="1" ht="26.25" customHeight="1" x14ac:dyDescent="0.2">
      <c r="B25" s="207" t="s">
        <v>24</v>
      </c>
      <c r="C25" s="208"/>
      <c r="D25" s="79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7"/>
    </row>
    <row r="26" spans="2:47" s="1" customFormat="1" ht="26.25" customHeight="1" x14ac:dyDescent="0.2">
      <c r="B26" s="207" t="s">
        <v>23</v>
      </c>
      <c r="C26" s="208"/>
      <c r="D26" s="7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7"/>
    </row>
    <row r="27" spans="2:47" ht="22.5" x14ac:dyDescent="0.2">
      <c r="B27" s="211"/>
      <c r="C27" s="212"/>
      <c r="D27" s="7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7"/>
    </row>
    <row r="28" spans="2:47" ht="23.25" x14ac:dyDescent="0.3">
      <c r="B28" s="27"/>
      <c r="C28" s="15"/>
      <c r="D28" s="16"/>
      <c r="E28" s="16"/>
      <c r="F28" s="16"/>
      <c r="G28" s="16"/>
      <c r="H28" s="16"/>
      <c r="I28" s="28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  <c r="AB28" s="7"/>
    </row>
    <row r="29" spans="2:47" ht="22.5" x14ac:dyDescent="0.2">
      <c r="B29" s="206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7"/>
    </row>
    <row r="30" spans="2:47" ht="22.5" x14ac:dyDescent="0.2">
      <c r="B30" s="206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7"/>
    </row>
    <row r="31" spans="2:47" ht="23.25" x14ac:dyDescent="0.3">
      <c r="B31" s="206"/>
      <c r="C31" s="1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7"/>
    </row>
    <row r="32" spans="2:47" ht="23.25" x14ac:dyDescent="0.3">
      <c r="B32" s="206"/>
      <c r="C32" s="1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7"/>
    </row>
    <row r="33" spans="2:28" ht="23.25" x14ac:dyDescent="0.3">
      <c r="B33" s="22"/>
      <c r="C33" s="15"/>
      <c r="D33" s="17"/>
      <c r="E33" s="17"/>
      <c r="F33" s="17"/>
      <c r="G33" s="17"/>
      <c r="H33" s="18"/>
      <c r="I33" s="19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7"/>
    </row>
    <row r="34" spans="2:28" ht="23.25" x14ac:dyDescent="0.3">
      <c r="B34" s="206"/>
      <c r="C34" s="15"/>
      <c r="D34" s="17"/>
      <c r="E34" s="17"/>
      <c r="F34" s="17"/>
      <c r="G34" s="17"/>
      <c r="H34" s="18"/>
      <c r="I34" s="19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7"/>
    </row>
    <row r="35" spans="2:28" ht="22.5" x14ac:dyDescent="0.2">
      <c r="B35" s="206"/>
      <c r="C35" s="15"/>
      <c r="H35"/>
      <c r="L35"/>
      <c r="M35"/>
      <c r="N35"/>
      <c r="O35"/>
      <c r="P35"/>
      <c r="Q35"/>
      <c r="R35"/>
      <c r="S35"/>
      <c r="T35"/>
      <c r="U35"/>
      <c r="V35"/>
      <c r="AB35" s="7"/>
    </row>
    <row r="36" spans="2:28" ht="22.5" x14ac:dyDescent="0.2">
      <c r="B36" s="206"/>
      <c r="C36" s="15"/>
      <c r="H36"/>
      <c r="L36"/>
      <c r="M36"/>
      <c r="N36"/>
      <c r="O36"/>
      <c r="P36"/>
      <c r="Q36"/>
      <c r="R36"/>
      <c r="S36"/>
      <c r="T36"/>
      <c r="U36"/>
      <c r="V36"/>
      <c r="AB36" s="7"/>
    </row>
    <row r="37" spans="2:28" ht="22.5" x14ac:dyDescent="0.2">
      <c r="B37" s="206"/>
      <c r="C37" s="15"/>
      <c r="H37"/>
      <c r="L37"/>
      <c r="M37"/>
      <c r="N37"/>
      <c r="O37"/>
      <c r="P37"/>
      <c r="Q37"/>
      <c r="R37"/>
      <c r="S37"/>
      <c r="T37"/>
      <c r="U37"/>
      <c r="V37"/>
      <c r="AB37" s="7"/>
    </row>
    <row r="38" spans="2:28" ht="22.5" x14ac:dyDescent="0.2">
      <c r="B38" s="206"/>
      <c r="C38" s="15"/>
      <c r="H38"/>
      <c r="L38"/>
      <c r="M38"/>
      <c r="N38"/>
      <c r="O38"/>
      <c r="P38"/>
      <c r="Q38"/>
      <c r="R38"/>
      <c r="S38"/>
      <c r="T38"/>
      <c r="U38"/>
      <c r="V38"/>
      <c r="AB38" s="7"/>
    </row>
    <row r="39" spans="2:28" ht="23.25" x14ac:dyDescent="0.3">
      <c r="B39" s="206"/>
      <c r="C39" s="15"/>
      <c r="H39"/>
      <c r="L39"/>
      <c r="M39"/>
      <c r="N39"/>
      <c r="O39"/>
      <c r="P39"/>
      <c r="Q39"/>
      <c r="R39"/>
      <c r="S39"/>
      <c r="T39"/>
      <c r="U39"/>
      <c r="V39"/>
      <c r="AB39" s="17"/>
    </row>
    <row r="40" spans="2:28" ht="23.25" x14ac:dyDescent="0.3">
      <c r="B40" s="206"/>
      <c r="C40" s="15"/>
      <c r="H40"/>
      <c r="L40"/>
      <c r="M40"/>
      <c r="N40"/>
      <c r="O40"/>
      <c r="P40"/>
      <c r="Q40"/>
      <c r="R40"/>
      <c r="S40"/>
      <c r="T40"/>
      <c r="U40"/>
      <c r="V40"/>
      <c r="AB40" s="17"/>
    </row>
    <row r="41" spans="2:28" ht="23.25" x14ac:dyDescent="0.3">
      <c r="B41" s="206"/>
      <c r="C41" s="15"/>
      <c r="D41" s="17"/>
      <c r="E41" s="17"/>
      <c r="F41" s="17"/>
      <c r="G41" s="17"/>
      <c r="H41" s="18"/>
      <c r="I41" s="19"/>
      <c r="J41" s="17"/>
      <c r="K41" s="17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7"/>
      <c r="AB41" s="17"/>
    </row>
    <row r="42" spans="2:28" ht="23.25" x14ac:dyDescent="0.3">
      <c r="B42" s="206"/>
      <c r="C42" s="15"/>
      <c r="D42" s="17"/>
      <c r="E42" s="17"/>
      <c r="F42" s="17"/>
      <c r="G42" s="17"/>
      <c r="H42" s="18"/>
      <c r="I42" s="19"/>
      <c r="J42" s="17"/>
      <c r="K42" s="17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7"/>
      <c r="AB42" s="17"/>
    </row>
    <row r="43" spans="2:28" ht="30" x14ac:dyDescent="0.3">
      <c r="B43" s="206"/>
      <c r="C43" s="15"/>
      <c r="D43" s="17"/>
      <c r="E43" s="17"/>
      <c r="F43" s="17"/>
      <c r="G43" s="17"/>
      <c r="H43" s="21"/>
      <c r="I43" s="19"/>
      <c r="J43" s="17"/>
      <c r="K43" s="17"/>
      <c r="L43" s="16"/>
      <c r="M43" s="16"/>
      <c r="N43" s="16"/>
      <c r="O43" s="16"/>
      <c r="P43" s="2"/>
      <c r="Q43" s="2"/>
      <c r="R43" s="2"/>
      <c r="S43" s="2"/>
      <c r="T43" s="2"/>
      <c r="U43" s="2"/>
      <c r="V43" s="2"/>
      <c r="W43" s="16"/>
      <c r="X43" s="16"/>
      <c r="Y43" s="16"/>
      <c r="Z43" s="16"/>
      <c r="AA43" s="17"/>
      <c r="AB43" s="17"/>
    </row>
    <row r="44" spans="2:28" ht="30" x14ac:dyDescent="0.2">
      <c r="B44" s="10"/>
      <c r="H44" s="9"/>
      <c r="I44" s="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8" ht="30" x14ac:dyDescent="0.2">
      <c r="B45" s="10"/>
      <c r="H45" s="9"/>
      <c r="I45" s="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8" ht="30" x14ac:dyDescent="0.2">
      <c r="B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8" ht="30" x14ac:dyDescent="0.2">
      <c r="B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8" ht="30" x14ac:dyDescent="0.2">
      <c r="B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2:26" ht="30" x14ac:dyDescent="0.2">
      <c r="B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 ht="30" x14ac:dyDescent="0.2">
      <c r="B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 ht="30" x14ac:dyDescent="0.2">
      <c r="B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 ht="30" x14ac:dyDescent="0.2">
      <c r="B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 ht="30" x14ac:dyDescent="0.2">
      <c r="B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2:26" ht="30" x14ac:dyDescent="0.2"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2:26" ht="30" x14ac:dyDescent="0.2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2:26" ht="30" x14ac:dyDescent="0.2"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2:26" ht="30" x14ac:dyDescent="0.2"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2:26" ht="30" x14ac:dyDescent="0.2"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6" ht="30" x14ac:dyDescent="0.2"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 ht="30" x14ac:dyDescent="0.2"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 ht="30" x14ac:dyDescent="0.2"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2:26" ht="30" x14ac:dyDescent="0.2"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6" ht="30" x14ac:dyDescent="0.2"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2:26" ht="30" x14ac:dyDescent="0.2"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2:26" ht="30" x14ac:dyDescent="0.2"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2:26" ht="30" x14ac:dyDescent="0.2"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2:26" ht="30" x14ac:dyDescent="0.2"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2:26" ht="30" x14ac:dyDescent="0.2"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2:26" ht="30" x14ac:dyDescent="0.2"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2:26" ht="30" x14ac:dyDescent="0.2"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2:26" ht="30" x14ac:dyDescent="0.2"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2:26" ht="30" x14ac:dyDescent="0.2"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2:26" ht="30" x14ac:dyDescent="0.2"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2:26" ht="30" x14ac:dyDescent="0.2"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2:26" ht="30" x14ac:dyDescent="0.2"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2:26" ht="30" x14ac:dyDescent="0.2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2:26" ht="30" x14ac:dyDescent="0.2"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2:26" ht="30" x14ac:dyDescent="0.2"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2:26" ht="30" x14ac:dyDescent="0.2"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2:26" ht="30" x14ac:dyDescent="0.2"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2:22" ht="30" x14ac:dyDescent="0.2"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2:22" ht="30" x14ac:dyDescent="0.2"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2:22" ht="30" x14ac:dyDescent="0.2"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2:22" ht="30" x14ac:dyDescent="0.2"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2:22" ht="30" x14ac:dyDescent="0.2"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2:22" ht="30" x14ac:dyDescent="0.2"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2:22" ht="30" x14ac:dyDescent="0.2"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2:22" ht="30" x14ac:dyDescent="0.2"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2:22" ht="30" x14ac:dyDescent="0.2"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2:22" ht="30" x14ac:dyDescent="0.2"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2:22" ht="30" x14ac:dyDescent="0.2"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2:22" ht="30" x14ac:dyDescent="0.2"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2:22" ht="30" x14ac:dyDescent="0.2"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2:22" ht="30" x14ac:dyDescent="0.2"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2:22" ht="30" x14ac:dyDescent="0.2"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2:22" ht="30" x14ac:dyDescent="0.2"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2:22" ht="30" x14ac:dyDescent="0.2"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2:22" ht="30" x14ac:dyDescent="0.2"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2:22" ht="30" x14ac:dyDescent="0.2"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2:22" ht="30" x14ac:dyDescent="0.2"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2:22" ht="30" x14ac:dyDescent="0.2"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2:22" ht="30" x14ac:dyDescent="0.2"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2:22" ht="30" x14ac:dyDescent="0.2"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2:22" ht="30" x14ac:dyDescent="0.2"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2:22" ht="30" x14ac:dyDescent="0.2"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2:22" ht="30" x14ac:dyDescent="0.2"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2:22" ht="30" x14ac:dyDescent="0.2"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2:22" ht="30" x14ac:dyDescent="0.2"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2:22" ht="30" x14ac:dyDescent="0.2"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2:22" ht="30" x14ac:dyDescent="0.2"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2:22" ht="30" x14ac:dyDescent="0.2"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2:22" ht="30" x14ac:dyDescent="0.2"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2:22" ht="30" x14ac:dyDescent="0.2"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2:22" ht="30" x14ac:dyDescent="0.2"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2:22" ht="30" x14ac:dyDescent="0.2"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2:22" ht="30" x14ac:dyDescent="0.2"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2:22" ht="30" x14ac:dyDescent="0.2"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2:22" ht="30" x14ac:dyDescent="0.2"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2:22" ht="30" x14ac:dyDescent="0.2"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2:22" ht="30" x14ac:dyDescent="0.2"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2:22" ht="30" x14ac:dyDescent="0.2"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2:22" ht="30" x14ac:dyDescent="0.2"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2:22" ht="30" x14ac:dyDescent="0.2"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2:22" ht="30" x14ac:dyDescent="0.2"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2:22" ht="30" x14ac:dyDescent="0.2"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2:22" ht="30" x14ac:dyDescent="0.2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2:22" ht="30" x14ac:dyDescent="0.2"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2:22" ht="30" x14ac:dyDescent="0.2"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2:22" ht="30" x14ac:dyDescent="0.2"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2:22" ht="30" x14ac:dyDescent="0.2"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2:22" ht="30" x14ac:dyDescent="0.2"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2:22" ht="30" x14ac:dyDescent="0.2"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2:22" ht="30" x14ac:dyDescent="0.2"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2:22" ht="30" x14ac:dyDescent="0.2"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2:22" ht="30" x14ac:dyDescent="0.2"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2:22" ht="30" x14ac:dyDescent="0.2"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2:22" ht="30" x14ac:dyDescent="0.2"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2:22" ht="30" x14ac:dyDescent="0.2"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2:22" ht="30" x14ac:dyDescent="0.2"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2:22" ht="30" x14ac:dyDescent="0.2"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2:22" ht="30" x14ac:dyDescent="0.2"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2:22" ht="30" x14ac:dyDescent="0.2"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2:22" ht="30" x14ac:dyDescent="0.2"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2:22" ht="30" x14ac:dyDescent="0.2"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2:22" ht="30" x14ac:dyDescent="0.2"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2:22" ht="30" x14ac:dyDescent="0.2"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2:22" ht="30" x14ac:dyDescent="0.2"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2:22" ht="30" x14ac:dyDescent="0.2"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2:22" ht="30" x14ac:dyDescent="0.2"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2:22" ht="30" x14ac:dyDescent="0.2"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2:22" ht="30" x14ac:dyDescent="0.2"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2:22" ht="30" x14ac:dyDescent="0.2"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2:22" ht="30" x14ac:dyDescent="0.2"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2:22" ht="30" x14ac:dyDescent="0.2"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2:22" ht="30" x14ac:dyDescent="0.2"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2:22" ht="30" x14ac:dyDescent="0.2"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2:22" ht="30" x14ac:dyDescent="0.2"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2:22" ht="30" x14ac:dyDescent="0.2"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2:22" ht="30" x14ac:dyDescent="0.2"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2:22" ht="30" x14ac:dyDescent="0.2"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2:22" ht="30" x14ac:dyDescent="0.2"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2:22" ht="30" x14ac:dyDescent="0.2"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2:22" ht="30" x14ac:dyDescent="0.2"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2:22" ht="30" x14ac:dyDescent="0.2"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2:22" ht="30" x14ac:dyDescent="0.2"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2:22" ht="30" x14ac:dyDescent="0.2"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2:22" ht="30" x14ac:dyDescent="0.2"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2:22" ht="30" x14ac:dyDescent="0.2"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2:22" ht="30" x14ac:dyDescent="0.2"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2:22" ht="30" x14ac:dyDescent="0.2"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2:22" ht="30" x14ac:dyDescent="0.2"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2:22" ht="30" x14ac:dyDescent="0.2"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2:22" ht="30" x14ac:dyDescent="0.2"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2:22" ht="30" x14ac:dyDescent="0.2"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2:22" ht="30" x14ac:dyDescent="0.2"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2:22" ht="30" x14ac:dyDescent="0.2"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2:22" ht="30" x14ac:dyDescent="0.2"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2:22" ht="30" x14ac:dyDescent="0.2"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2:22" ht="30" x14ac:dyDescent="0.2"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2:22" ht="30" x14ac:dyDescent="0.2"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2:22" ht="30" x14ac:dyDescent="0.2"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2:22" ht="30" x14ac:dyDescent="0.2"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2:22" ht="30" x14ac:dyDescent="0.2"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2:22" ht="30" x14ac:dyDescent="0.2"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2:22" ht="30" x14ac:dyDescent="0.2"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2:22" ht="30" x14ac:dyDescent="0.2"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2:22" ht="30" x14ac:dyDescent="0.2"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2:22" ht="30" x14ac:dyDescent="0.2"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2:22" ht="30" x14ac:dyDescent="0.2"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2:22" ht="30" x14ac:dyDescent="0.2"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2:22" ht="30" x14ac:dyDescent="0.2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2:22" ht="30" x14ac:dyDescent="0.2"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2:22" ht="30" x14ac:dyDescent="0.2"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2:22" ht="30" x14ac:dyDescent="0.2"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2:22" ht="30" x14ac:dyDescent="0.2"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2:22" ht="30" x14ac:dyDescent="0.2"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2:22" ht="30" x14ac:dyDescent="0.2"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2:22" ht="30" x14ac:dyDescent="0.2"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2:22" ht="30" x14ac:dyDescent="0.2"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2:22" ht="30" x14ac:dyDescent="0.2"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2:22" ht="30" x14ac:dyDescent="0.2"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2:22" ht="30" x14ac:dyDescent="0.2"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2:22" ht="30" x14ac:dyDescent="0.2"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2:22" ht="30" x14ac:dyDescent="0.2"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2:22" ht="30" x14ac:dyDescent="0.2"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2:22" ht="30" x14ac:dyDescent="0.2"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2:22" ht="30" x14ac:dyDescent="0.2"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2:22" ht="30" x14ac:dyDescent="0.2"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2:22" ht="30" x14ac:dyDescent="0.2"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2:22" ht="30" x14ac:dyDescent="0.2"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2:22" ht="30" x14ac:dyDescent="0.2"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2:22" ht="30" x14ac:dyDescent="0.2"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2:22" ht="30" x14ac:dyDescent="0.2"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2:22" ht="30" x14ac:dyDescent="0.2"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2:22" ht="30" x14ac:dyDescent="0.2"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2:22" ht="30" x14ac:dyDescent="0.2"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2:22" ht="30" x14ac:dyDescent="0.2"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2:22" ht="30" x14ac:dyDescent="0.2"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2:22" ht="30" x14ac:dyDescent="0.2"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2:22" ht="30" x14ac:dyDescent="0.2"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2:22" ht="30" x14ac:dyDescent="0.2"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2:22" ht="30" x14ac:dyDescent="0.2"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2:22" ht="30" x14ac:dyDescent="0.2"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2:22" ht="30" x14ac:dyDescent="0.2"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2:22" ht="30" x14ac:dyDescent="0.2"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2:22" ht="30" x14ac:dyDescent="0.2"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2:22" ht="30" x14ac:dyDescent="0.2"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2:22" ht="30" x14ac:dyDescent="0.2"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2:22" ht="30" x14ac:dyDescent="0.2"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2:22" ht="30" x14ac:dyDescent="0.2"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2:22" ht="30" x14ac:dyDescent="0.2"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2:22" ht="30" x14ac:dyDescent="0.2"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2:22" ht="30" x14ac:dyDescent="0.2"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2:22" ht="30" x14ac:dyDescent="0.2"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2:22" ht="30" x14ac:dyDescent="0.2"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2:22" ht="30" x14ac:dyDescent="0.2"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2:22" ht="30" x14ac:dyDescent="0.2"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2:22" ht="30" x14ac:dyDescent="0.2"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2:22" ht="30" x14ac:dyDescent="0.2"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2:22" ht="30" x14ac:dyDescent="0.2"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2:22" ht="30" x14ac:dyDescent="0.2"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2:22" ht="30" x14ac:dyDescent="0.2"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2:22" ht="30" x14ac:dyDescent="0.2"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2:22" ht="30" x14ac:dyDescent="0.2"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2:22" ht="30" x14ac:dyDescent="0.2"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2:22" ht="30" x14ac:dyDescent="0.2"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2:22" ht="30" x14ac:dyDescent="0.2"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2:22" ht="30" x14ac:dyDescent="0.2"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2:22" ht="30" x14ac:dyDescent="0.2"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2:22" ht="30" x14ac:dyDescent="0.2"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2:22" ht="30" x14ac:dyDescent="0.2"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2:22" ht="30" x14ac:dyDescent="0.2"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2:22" ht="30" x14ac:dyDescent="0.2"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2:22" ht="30" x14ac:dyDescent="0.2"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2:22" ht="30" x14ac:dyDescent="0.2"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2:22" ht="30" x14ac:dyDescent="0.2"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2:22" ht="30" x14ac:dyDescent="0.2"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2:22" ht="30" x14ac:dyDescent="0.2"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2:22" ht="30" x14ac:dyDescent="0.2"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2:22" ht="30" x14ac:dyDescent="0.2"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2:22" ht="30" x14ac:dyDescent="0.2"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2:22" ht="30" x14ac:dyDescent="0.2"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2:22" ht="30" x14ac:dyDescent="0.2"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2:22" ht="30" x14ac:dyDescent="0.2"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2:22" ht="30" x14ac:dyDescent="0.2"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2:22" ht="30" x14ac:dyDescent="0.2"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2:22" ht="30" x14ac:dyDescent="0.2"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2:22" ht="30" x14ac:dyDescent="0.2"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2:22" ht="30" x14ac:dyDescent="0.2"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2:22" ht="30" x14ac:dyDescent="0.2"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2:22" ht="30" x14ac:dyDescent="0.2"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2:22" ht="30" x14ac:dyDescent="0.2"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2:22" ht="30" x14ac:dyDescent="0.2"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2:22" ht="30" x14ac:dyDescent="0.2"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2:22" ht="30" x14ac:dyDescent="0.2"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2:22" ht="30" x14ac:dyDescent="0.2"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2:22" ht="30" x14ac:dyDescent="0.2"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2:22" ht="30" x14ac:dyDescent="0.2"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2:22" ht="30" x14ac:dyDescent="0.2"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2:22" ht="30" x14ac:dyDescent="0.2"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2:22" ht="30" x14ac:dyDescent="0.2"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2:22" ht="30" x14ac:dyDescent="0.2"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2:22" ht="30" x14ac:dyDescent="0.2"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2:22" ht="30" x14ac:dyDescent="0.2"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2:22" ht="30" x14ac:dyDescent="0.2"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2:22" ht="30" x14ac:dyDescent="0.2"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2:22" ht="30" x14ac:dyDescent="0.2"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2:22" ht="30" x14ac:dyDescent="0.2"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2:22" ht="30" x14ac:dyDescent="0.2"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2:22" ht="30" x14ac:dyDescent="0.2"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2:22" ht="30" x14ac:dyDescent="0.2"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2:22" ht="30" x14ac:dyDescent="0.2"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2:22" ht="30" x14ac:dyDescent="0.2"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2:22" ht="30" x14ac:dyDescent="0.2"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2:22" ht="30" x14ac:dyDescent="0.2"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2:22" ht="30" x14ac:dyDescent="0.2"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2:22" ht="30" x14ac:dyDescent="0.2"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2:22" ht="30" x14ac:dyDescent="0.2"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2:22" ht="30" x14ac:dyDescent="0.2"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2:22" ht="30" x14ac:dyDescent="0.2"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2:22" ht="30" x14ac:dyDescent="0.2"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2:22" ht="30" x14ac:dyDescent="0.2"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2:22" ht="30" x14ac:dyDescent="0.2"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2:22" ht="30" x14ac:dyDescent="0.2"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2:22" ht="30" x14ac:dyDescent="0.2"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2:22" ht="30" x14ac:dyDescent="0.2"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2:22" ht="30" x14ac:dyDescent="0.2"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2:22" ht="30" x14ac:dyDescent="0.2"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2:22" ht="30" x14ac:dyDescent="0.2"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2:22" ht="30" x14ac:dyDescent="0.2"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2:22" ht="30" x14ac:dyDescent="0.2"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2:22" ht="30" x14ac:dyDescent="0.2"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2:22" ht="30" x14ac:dyDescent="0.2"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2:22" ht="30" x14ac:dyDescent="0.2"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2:22" ht="30" x14ac:dyDescent="0.2"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2:22" ht="30" x14ac:dyDescent="0.2"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2:22" ht="30" x14ac:dyDescent="0.2"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2:22" ht="30" x14ac:dyDescent="0.2"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2:22" ht="30" x14ac:dyDescent="0.2"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2:22" ht="30" x14ac:dyDescent="0.2"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2:22" ht="30" x14ac:dyDescent="0.2"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2:22" ht="30" x14ac:dyDescent="0.2"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2:22" ht="30" x14ac:dyDescent="0.2"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2:22" ht="30" x14ac:dyDescent="0.2"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2:22" ht="30" x14ac:dyDescent="0.2"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2:22" ht="30" x14ac:dyDescent="0.2"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2:22" ht="30" x14ac:dyDescent="0.2"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2:22" ht="30" x14ac:dyDescent="0.2"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2:22" ht="30" x14ac:dyDescent="0.2"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2:22" ht="30" x14ac:dyDescent="0.2"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2:22" ht="30" x14ac:dyDescent="0.2"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2:22" ht="30" x14ac:dyDescent="0.2"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2:22" ht="30" x14ac:dyDescent="0.2"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2:22" ht="30" x14ac:dyDescent="0.2"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2:22" ht="30" x14ac:dyDescent="0.2"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2:22" ht="30" x14ac:dyDescent="0.2"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2:22" ht="30" x14ac:dyDescent="0.2"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2:22" ht="30" x14ac:dyDescent="0.2"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2:22" ht="30" x14ac:dyDescent="0.2"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2:22" ht="30" x14ac:dyDescent="0.2"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2:22" ht="30" x14ac:dyDescent="0.2"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2:22" ht="30" x14ac:dyDescent="0.2"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2:22" ht="30" x14ac:dyDescent="0.2"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2:22" ht="30" x14ac:dyDescent="0.2"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2:22" ht="30" x14ac:dyDescent="0.2"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2:22" ht="30" x14ac:dyDescent="0.2"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2:22" ht="30" x14ac:dyDescent="0.2"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2:22" ht="30" x14ac:dyDescent="0.2"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2:22" ht="30" x14ac:dyDescent="0.2"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2:22" ht="30" x14ac:dyDescent="0.2"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2:22" ht="30" x14ac:dyDescent="0.2"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2:22" ht="30" x14ac:dyDescent="0.2"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2:22" ht="30" x14ac:dyDescent="0.2"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2:22" ht="30" x14ac:dyDescent="0.2"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2:22" ht="30" x14ac:dyDescent="0.2"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2:22" ht="30" x14ac:dyDescent="0.2"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2:22" ht="30" x14ac:dyDescent="0.2"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2:22" ht="30" x14ac:dyDescent="0.2"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2:22" ht="30" x14ac:dyDescent="0.2"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2:22" ht="30" x14ac:dyDescent="0.2"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2:22" ht="30" x14ac:dyDescent="0.2"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2:22" ht="30" x14ac:dyDescent="0.2"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2:22" ht="30" x14ac:dyDescent="0.2"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2:22" ht="30" x14ac:dyDescent="0.2"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2:22" ht="30" x14ac:dyDescent="0.2"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2:22" ht="30" x14ac:dyDescent="0.2"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2:22" ht="30" x14ac:dyDescent="0.2"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2:22" ht="30" x14ac:dyDescent="0.2"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2:22" ht="30" x14ac:dyDescent="0.2"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2:22" ht="30" x14ac:dyDescent="0.2"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2:22" ht="30" x14ac:dyDescent="0.2"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2:22" ht="30" x14ac:dyDescent="0.2"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2:22" ht="30" x14ac:dyDescent="0.2"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2:22" ht="30" x14ac:dyDescent="0.2"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2:22" ht="30" x14ac:dyDescent="0.2"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2:22" ht="30" x14ac:dyDescent="0.2"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2:22" ht="30" x14ac:dyDescent="0.2"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2:22" ht="30" x14ac:dyDescent="0.2"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2:22" ht="30" x14ac:dyDescent="0.2"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2:22" ht="30" x14ac:dyDescent="0.2"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2:22" ht="30" x14ac:dyDescent="0.2"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2:22" ht="30" x14ac:dyDescent="0.2"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2:22" ht="30" x14ac:dyDescent="0.2"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2:22" ht="30" x14ac:dyDescent="0.2"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2:22" ht="30" x14ac:dyDescent="0.2"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2:22" ht="30" x14ac:dyDescent="0.2"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2:22" ht="30" x14ac:dyDescent="0.2"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2:22" ht="30" x14ac:dyDescent="0.2"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2:22" ht="30" x14ac:dyDescent="0.2"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2:22" ht="30" x14ac:dyDescent="0.2"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2:22" ht="30" x14ac:dyDescent="0.2"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2:22" ht="30" x14ac:dyDescent="0.2"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2:22" ht="30" x14ac:dyDescent="0.2"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2:22" ht="30" x14ac:dyDescent="0.2"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2:22" ht="30" x14ac:dyDescent="0.2"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2:22" ht="30" x14ac:dyDescent="0.2"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2:22" ht="30" x14ac:dyDescent="0.2"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2:22" ht="30" x14ac:dyDescent="0.2"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2:22" ht="30" x14ac:dyDescent="0.2"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2:22" ht="30" x14ac:dyDescent="0.2"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2:22" ht="30" x14ac:dyDescent="0.2"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2:22" ht="30" x14ac:dyDescent="0.2"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2:22" ht="30" x14ac:dyDescent="0.2"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2:22" ht="30" x14ac:dyDescent="0.2"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2:22" ht="30" x14ac:dyDescent="0.2"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2:22" ht="30" x14ac:dyDescent="0.2"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2:22" ht="30" x14ac:dyDescent="0.2"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2:22" ht="30" x14ac:dyDescent="0.2"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2:22" ht="30" x14ac:dyDescent="0.2"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2:22" ht="30" x14ac:dyDescent="0.2"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2:22" ht="30" x14ac:dyDescent="0.2"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2:22" ht="30" x14ac:dyDescent="0.2"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2:22" ht="30" x14ac:dyDescent="0.2"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2:22" ht="30" x14ac:dyDescent="0.2"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2:22" ht="30" x14ac:dyDescent="0.2"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2:22" ht="30" x14ac:dyDescent="0.2"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2:22" ht="30" x14ac:dyDescent="0.2"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2:22" ht="30" x14ac:dyDescent="0.2"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2:22" ht="30" x14ac:dyDescent="0.2"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2:22" ht="30" x14ac:dyDescent="0.2"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2:22" ht="30" x14ac:dyDescent="0.2"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2:22" ht="30" x14ac:dyDescent="0.2"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2:22" ht="30" x14ac:dyDescent="0.2"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2:22" ht="30" x14ac:dyDescent="0.2"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2:22" ht="30" x14ac:dyDescent="0.2"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2:22" ht="30" x14ac:dyDescent="0.2"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2:22" ht="30" x14ac:dyDescent="0.2"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2:22" ht="30" x14ac:dyDescent="0.2"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2:22" ht="30" x14ac:dyDescent="0.2"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2:22" ht="30" x14ac:dyDescent="0.2"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2:22" ht="30" x14ac:dyDescent="0.2"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2:22" ht="30" x14ac:dyDescent="0.2"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2:22" ht="30" x14ac:dyDescent="0.2"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2:22" ht="30" x14ac:dyDescent="0.2"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2:22" ht="30" x14ac:dyDescent="0.2"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2:22" ht="30" x14ac:dyDescent="0.2"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2:22" ht="30" x14ac:dyDescent="0.2"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2:22" ht="30" x14ac:dyDescent="0.2"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2:22" ht="30" x14ac:dyDescent="0.2"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2:22" ht="30" x14ac:dyDescent="0.2"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2:22" ht="30" x14ac:dyDescent="0.2"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2:22" ht="30" x14ac:dyDescent="0.2"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2:22" ht="30" x14ac:dyDescent="0.2"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2:22" ht="30" x14ac:dyDescent="0.2"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2:22" ht="30" x14ac:dyDescent="0.2"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2:22" ht="30" x14ac:dyDescent="0.2"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2:22" ht="30" x14ac:dyDescent="0.2"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2:22" ht="30" x14ac:dyDescent="0.2"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2:22" ht="30" x14ac:dyDescent="0.2"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2:22" ht="30" x14ac:dyDescent="0.2"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2:22" ht="30" x14ac:dyDescent="0.2"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2:22" ht="30" x14ac:dyDescent="0.2"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2:22" ht="30" x14ac:dyDescent="0.2"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2:22" ht="30" x14ac:dyDescent="0.2"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2:22" ht="30" x14ac:dyDescent="0.2"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2:22" ht="30" x14ac:dyDescent="0.2"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2:22" ht="30" x14ac:dyDescent="0.2"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2:22" ht="30" x14ac:dyDescent="0.2"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2:22" ht="30" x14ac:dyDescent="0.2"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2:22" ht="30" x14ac:dyDescent="0.2"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2:22" ht="30" x14ac:dyDescent="0.2"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2:22" ht="30" x14ac:dyDescent="0.2"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2:22" ht="30" x14ac:dyDescent="0.2"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2:22" ht="30" x14ac:dyDescent="0.2"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2:22" ht="30" x14ac:dyDescent="0.2"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2:22" ht="30" x14ac:dyDescent="0.2"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2:22" ht="30" x14ac:dyDescent="0.2"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2:22" ht="30" x14ac:dyDescent="0.2"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2:22" ht="30" x14ac:dyDescent="0.2"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2:22" ht="30" x14ac:dyDescent="0.2"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2:22" ht="30" x14ac:dyDescent="0.2"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2:22" ht="30" x14ac:dyDescent="0.2"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2:22" ht="30" x14ac:dyDescent="0.2"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2:22" ht="30" x14ac:dyDescent="0.2"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2:22" ht="30" x14ac:dyDescent="0.2"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2:22" ht="30" x14ac:dyDescent="0.2"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2:22" ht="30" x14ac:dyDescent="0.2"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2:22" ht="30" x14ac:dyDescent="0.2"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2:22" ht="30" x14ac:dyDescent="0.2"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2:22" ht="30" x14ac:dyDescent="0.2"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2:22" ht="30" x14ac:dyDescent="0.2"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2:22" ht="30" x14ac:dyDescent="0.2"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2:22" ht="30" x14ac:dyDescent="0.2"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2:22" ht="30" x14ac:dyDescent="0.2"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2:22" ht="30" x14ac:dyDescent="0.2"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2:22" ht="30" x14ac:dyDescent="0.2"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2:22" ht="30" x14ac:dyDescent="0.2"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2:22" ht="30" x14ac:dyDescent="0.2"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2:22" ht="30" x14ac:dyDescent="0.2"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2:22" ht="30" x14ac:dyDescent="0.2"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2:22" ht="30" x14ac:dyDescent="0.2"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2:22" ht="30" x14ac:dyDescent="0.2"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2:22" ht="30" x14ac:dyDescent="0.2"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2:22" ht="30" x14ac:dyDescent="0.2"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2:22" ht="30" x14ac:dyDescent="0.2"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2:22" ht="30" x14ac:dyDescent="0.2"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2:22" ht="30" x14ac:dyDescent="0.2"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2:22" ht="30" x14ac:dyDescent="0.2"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2:22" ht="30" x14ac:dyDescent="0.2"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2:22" ht="30" x14ac:dyDescent="0.2"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2:22" ht="30" x14ac:dyDescent="0.2"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2:22" ht="30" x14ac:dyDescent="0.2"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2:22" ht="30" x14ac:dyDescent="0.2"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2:22" ht="30" x14ac:dyDescent="0.2"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2:22" ht="30" x14ac:dyDescent="0.2"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2:22" ht="30" x14ac:dyDescent="0.2"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2:22" ht="30" x14ac:dyDescent="0.2"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2:22" ht="30" x14ac:dyDescent="0.2"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2:22" ht="30" x14ac:dyDescent="0.2"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2:22" ht="30" x14ac:dyDescent="0.2"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2:22" ht="30" x14ac:dyDescent="0.2"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2:22" ht="30" x14ac:dyDescent="0.2"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2:22" ht="30" x14ac:dyDescent="0.2"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2:22" ht="30" x14ac:dyDescent="0.2"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2:22" ht="30" x14ac:dyDescent="0.2"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2:22" ht="30" x14ac:dyDescent="0.2"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2:22" ht="30" x14ac:dyDescent="0.2"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2:22" ht="30" x14ac:dyDescent="0.2"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2:22" ht="30" x14ac:dyDescent="0.2"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2:22" ht="30" x14ac:dyDescent="0.2"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2:22" ht="30" x14ac:dyDescent="0.2"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2:22" ht="30" x14ac:dyDescent="0.2"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2:22" ht="30" x14ac:dyDescent="0.2"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2:22" ht="30" x14ac:dyDescent="0.2"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2:22" ht="30" x14ac:dyDescent="0.2"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2:22" ht="30" x14ac:dyDescent="0.2"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2:22" ht="30" x14ac:dyDescent="0.2"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2:22" ht="30" x14ac:dyDescent="0.2"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2:22" ht="30" x14ac:dyDescent="0.2"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2:22" ht="30" x14ac:dyDescent="0.2"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2:22" ht="30" x14ac:dyDescent="0.2"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2:22" ht="30" x14ac:dyDescent="0.2"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2:22" ht="30" x14ac:dyDescent="0.2"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2:22" ht="30" x14ac:dyDescent="0.2"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2:22" ht="30" x14ac:dyDescent="0.2"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2:22" ht="30" x14ac:dyDescent="0.2"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2:22" ht="30" x14ac:dyDescent="0.2"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2:22" ht="30" x14ac:dyDescent="0.2"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2:22" ht="30" x14ac:dyDescent="0.2"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2:22" ht="30" x14ac:dyDescent="0.2"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2:22" ht="30" x14ac:dyDescent="0.2"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2:22" ht="30" x14ac:dyDescent="0.2"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2:22" ht="30" x14ac:dyDescent="0.2"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2:22" ht="30" x14ac:dyDescent="0.2"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2:22" ht="30" x14ac:dyDescent="0.2"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2:22" ht="30" x14ac:dyDescent="0.2"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2:22" ht="30" x14ac:dyDescent="0.2"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2:22" ht="30" x14ac:dyDescent="0.2"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2:22" ht="30" x14ac:dyDescent="0.2"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2:22" ht="30" x14ac:dyDescent="0.2"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2:22" ht="30" x14ac:dyDescent="0.2"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2:22" ht="30" x14ac:dyDescent="0.2"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2:22" ht="30" x14ac:dyDescent="0.2"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2:22" ht="30" x14ac:dyDescent="0.2"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2:22" ht="30" x14ac:dyDescent="0.2"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2:22" ht="30" x14ac:dyDescent="0.2"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2:22" ht="30" x14ac:dyDescent="0.2"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2:22" ht="30" x14ac:dyDescent="0.2"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2:22" ht="30" x14ac:dyDescent="0.2"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2:22" ht="30" x14ac:dyDescent="0.2"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2:22" ht="30" x14ac:dyDescent="0.2"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2:22" ht="30" x14ac:dyDescent="0.2"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2:22" ht="30" x14ac:dyDescent="0.2"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2:22" ht="30" x14ac:dyDescent="0.2"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2:22" ht="30" x14ac:dyDescent="0.2"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2:22" ht="30" x14ac:dyDescent="0.2"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2:22" ht="30" x14ac:dyDescent="0.2"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2:22" ht="30" x14ac:dyDescent="0.2"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2:22" ht="30" x14ac:dyDescent="0.2"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2:22" ht="30" x14ac:dyDescent="0.2"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2:22" ht="30" x14ac:dyDescent="0.2"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2:22" ht="30" x14ac:dyDescent="0.2"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2:22" ht="30" x14ac:dyDescent="0.2"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2:22" ht="30" x14ac:dyDescent="0.2"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2:22" ht="30" x14ac:dyDescent="0.2"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2:22" ht="30" x14ac:dyDescent="0.2"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2:22" ht="30" x14ac:dyDescent="0.2"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2:22" ht="30" x14ac:dyDescent="0.2"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2:22" ht="30" x14ac:dyDescent="0.2"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2:22" ht="30" x14ac:dyDescent="0.2"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2:22" ht="30" x14ac:dyDescent="0.2"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2:22" ht="30" x14ac:dyDescent="0.2"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2:22" ht="30" x14ac:dyDescent="0.2"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2:22" ht="30" x14ac:dyDescent="0.2"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2:22" ht="30" x14ac:dyDescent="0.2"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2:22" ht="30" x14ac:dyDescent="0.2"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2:22" ht="30" x14ac:dyDescent="0.2"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2:22" ht="30" x14ac:dyDescent="0.2"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2:22" ht="30" x14ac:dyDescent="0.2"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2:22" ht="30" x14ac:dyDescent="0.2"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2:22" ht="30" x14ac:dyDescent="0.2"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2:22" ht="30" x14ac:dyDescent="0.2"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2:22" ht="30" x14ac:dyDescent="0.2"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2:22" ht="30" x14ac:dyDescent="0.2"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2:22" ht="30" x14ac:dyDescent="0.2"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2:22" ht="30" x14ac:dyDescent="0.2"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2:22" ht="30" x14ac:dyDescent="0.2"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2:22" ht="30" x14ac:dyDescent="0.2"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2:22" ht="30" x14ac:dyDescent="0.2"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2:22" ht="30" x14ac:dyDescent="0.2"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2:22" ht="30" x14ac:dyDescent="0.2"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2:22" ht="30" x14ac:dyDescent="0.2"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2:22" ht="30" x14ac:dyDescent="0.2"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2:22" ht="30" x14ac:dyDescent="0.2"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2:22" ht="30" x14ac:dyDescent="0.2"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2:22" ht="30" x14ac:dyDescent="0.2"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2:22" ht="30" x14ac:dyDescent="0.2"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2:22" ht="30" x14ac:dyDescent="0.2"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2:22" ht="30" x14ac:dyDescent="0.2"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2:22" ht="30" x14ac:dyDescent="0.2"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2:22" ht="30" x14ac:dyDescent="0.2"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2:22" ht="30" x14ac:dyDescent="0.2"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2:22" ht="30" x14ac:dyDescent="0.2"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2:22" ht="30" x14ac:dyDescent="0.2"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2:22" ht="30" x14ac:dyDescent="0.2"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2:22" ht="30" x14ac:dyDescent="0.2"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2:22" ht="30" x14ac:dyDescent="0.2"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2:22" ht="30" x14ac:dyDescent="0.2"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2:22" ht="30" x14ac:dyDescent="0.2"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2:22" ht="30" x14ac:dyDescent="0.2"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2:22" ht="30" x14ac:dyDescent="0.2"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2:22" ht="30" x14ac:dyDescent="0.2"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2:22" ht="30" x14ac:dyDescent="0.2"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2:22" ht="30" x14ac:dyDescent="0.2"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2:22" ht="30" x14ac:dyDescent="0.2"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2:22" ht="30" x14ac:dyDescent="0.2"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2:22" ht="30" x14ac:dyDescent="0.2"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2:22" ht="30" x14ac:dyDescent="0.2"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2:22" ht="30" x14ac:dyDescent="0.2"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2:22" ht="30" x14ac:dyDescent="0.2"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2:22" ht="30" x14ac:dyDescent="0.2"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2:22" ht="30" x14ac:dyDescent="0.2"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2:22" ht="30" x14ac:dyDescent="0.2"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2:22" ht="30" x14ac:dyDescent="0.2"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2:22" ht="30" x14ac:dyDescent="0.2"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2:22" ht="30" x14ac:dyDescent="0.2"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2:22" ht="30" x14ac:dyDescent="0.2"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2:22" ht="30" x14ac:dyDescent="0.2"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2:22" ht="30" x14ac:dyDescent="0.2"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2:22" ht="30" x14ac:dyDescent="0.2"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2:22" ht="30" x14ac:dyDescent="0.2"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2:22" ht="30" x14ac:dyDescent="0.2"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2:22" ht="30" x14ac:dyDescent="0.2"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2:22" ht="30" x14ac:dyDescent="0.2"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2:22" ht="30" x14ac:dyDescent="0.2"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2:22" ht="30" x14ac:dyDescent="0.2"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2:22" ht="30" x14ac:dyDescent="0.2"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2:22" ht="30" x14ac:dyDescent="0.2"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2:22" ht="30" x14ac:dyDescent="0.2"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2:22" ht="30" x14ac:dyDescent="0.2"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2:22" ht="30" x14ac:dyDescent="0.2"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2:22" ht="30" x14ac:dyDescent="0.2"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2:22" ht="30" x14ac:dyDescent="0.2"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2:22" ht="30" x14ac:dyDescent="0.2"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2:22" ht="30" x14ac:dyDescent="0.2"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2:22" ht="30" x14ac:dyDescent="0.2"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2:22" ht="30" x14ac:dyDescent="0.2"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2:22" ht="30" x14ac:dyDescent="0.2"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2:22" ht="30" x14ac:dyDescent="0.2"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2:22" ht="30" x14ac:dyDescent="0.2"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2:22" ht="30" x14ac:dyDescent="0.2"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2:22" ht="30" x14ac:dyDescent="0.2"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2:22" ht="30" x14ac:dyDescent="0.2"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2:22" ht="30" x14ac:dyDescent="0.2"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2:22" ht="30" x14ac:dyDescent="0.2"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2:22" ht="30" x14ac:dyDescent="0.2"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2:22" ht="30" x14ac:dyDescent="0.2"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2:22" ht="30" x14ac:dyDescent="0.2"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2:22" ht="30" x14ac:dyDescent="0.2"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2:22" ht="30" x14ac:dyDescent="0.2"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2:22" ht="30" x14ac:dyDescent="0.2"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2:22" ht="30" x14ac:dyDescent="0.2"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2:22" ht="30" x14ac:dyDescent="0.2"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2:22" ht="30" x14ac:dyDescent="0.2"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2:22" ht="30" x14ac:dyDescent="0.2"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2:22" ht="30" x14ac:dyDescent="0.2"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2:22" ht="30" x14ac:dyDescent="0.2"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2:22" ht="30" x14ac:dyDescent="0.2"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2:22" ht="30" x14ac:dyDescent="0.2"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2:22" ht="30" x14ac:dyDescent="0.2"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2:22" ht="30" x14ac:dyDescent="0.2"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2:22" ht="30" x14ac:dyDescent="0.2"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2:22" ht="30" x14ac:dyDescent="0.2"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2:22" ht="30" x14ac:dyDescent="0.2"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2:22" ht="30" x14ac:dyDescent="0.2"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2:22" ht="30" x14ac:dyDescent="0.2"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2:22" ht="30" x14ac:dyDescent="0.2"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2:22" ht="30" x14ac:dyDescent="0.2"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2:22" ht="30" x14ac:dyDescent="0.2"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2:22" ht="30" x14ac:dyDescent="0.2"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2:22" ht="30" x14ac:dyDescent="0.2"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2:22" ht="30" x14ac:dyDescent="0.2"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2:22" ht="30" x14ac:dyDescent="0.2"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2:22" ht="30" x14ac:dyDescent="0.2"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2:22" ht="30" x14ac:dyDescent="0.2"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2:22" ht="30" x14ac:dyDescent="0.2"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2:22" ht="30" x14ac:dyDescent="0.2"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2:22" ht="30" x14ac:dyDescent="0.2"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2:22" ht="30" x14ac:dyDescent="0.2"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2:22" ht="30" x14ac:dyDescent="0.2"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2:22" ht="30" x14ac:dyDescent="0.2"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2:22" ht="30" x14ac:dyDescent="0.2"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2:22" ht="30" x14ac:dyDescent="0.2"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2:22" ht="30" x14ac:dyDescent="0.2"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2:22" ht="30" x14ac:dyDescent="0.2"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2:22" ht="30" x14ac:dyDescent="0.2"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2:22" ht="30" x14ac:dyDescent="0.2"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2:22" ht="30" x14ac:dyDescent="0.2"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2:22" ht="30" x14ac:dyDescent="0.2"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2:22" ht="30" x14ac:dyDescent="0.2"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2:22" ht="30" x14ac:dyDescent="0.2"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2:22" ht="30" x14ac:dyDescent="0.2"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2:22" ht="30" x14ac:dyDescent="0.2"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2:22" ht="30" x14ac:dyDescent="0.2"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2:22" ht="30" x14ac:dyDescent="0.2"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2:22" ht="30" x14ac:dyDescent="0.2"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2:22" ht="30" x14ac:dyDescent="0.2"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2:22" ht="30" x14ac:dyDescent="0.2"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2:22" ht="30" x14ac:dyDescent="0.2"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2:22" ht="30" x14ac:dyDescent="0.2"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2:22" ht="30" x14ac:dyDescent="0.2"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2:22" ht="30" x14ac:dyDescent="0.2"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2:22" ht="30" x14ac:dyDescent="0.2"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2:22" ht="30" x14ac:dyDescent="0.2"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2:22" ht="30" x14ac:dyDescent="0.2"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2:22" ht="30" x14ac:dyDescent="0.2"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2:22" ht="30" x14ac:dyDescent="0.2"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2:22" ht="30" x14ac:dyDescent="0.2"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2:22" ht="30" x14ac:dyDescent="0.2"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2:22" ht="30" x14ac:dyDescent="0.2"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2:22" ht="30" x14ac:dyDescent="0.2"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2:22" ht="30" x14ac:dyDescent="0.2"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2:22" ht="30" x14ac:dyDescent="0.2"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2:22" ht="30" x14ac:dyDescent="0.2"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2:22" ht="30" x14ac:dyDescent="0.2"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2:22" ht="30" x14ac:dyDescent="0.2"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2:22" ht="30" x14ac:dyDescent="0.2"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2:22" ht="30" x14ac:dyDescent="0.2"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2:22" ht="30" x14ac:dyDescent="0.2"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2:22" ht="30" x14ac:dyDescent="0.2"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2:22" ht="30" x14ac:dyDescent="0.2"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2:22" ht="30" x14ac:dyDescent="0.2"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2:22" ht="30" x14ac:dyDescent="0.2"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2:22" ht="30" x14ac:dyDescent="0.2"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2:22" ht="30" x14ac:dyDescent="0.2"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2:22" ht="30" x14ac:dyDescent="0.2"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2:22" ht="30" x14ac:dyDescent="0.2"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2:22" ht="30" x14ac:dyDescent="0.2"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2:22" ht="30" x14ac:dyDescent="0.2"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2:22" ht="30" x14ac:dyDescent="0.2"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2:22" ht="30" x14ac:dyDescent="0.2"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2:22" ht="30" x14ac:dyDescent="0.2"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2:22" ht="30" x14ac:dyDescent="0.2"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2:22" ht="30" x14ac:dyDescent="0.2"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2:22" ht="30" x14ac:dyDescent="0.2"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2:22" ht="30" x14ac:dyDescent="0.2"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2:22" ht="30" x14ac:dyDescent="0.2"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2:22" ht="30" x14ac:dyDescent="0.2"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2:22" ht="30" x14ac:dyDescent="0.2"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2:22" ht="30" x14ac:dyDescent="0.2"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2:22" ht="30" x14ac:dyDescent="0.2"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2:22" ht="30" x14ac:dyDescent="0.2"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2:22" ht="30" x14ac:dyDescent="0.2"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2:22" ht="30" x14ac:dyDescent="0.2"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2:22" ht="30" x14ac:dyDescent="0.2"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2:22" ht="30" x14ac:dyDescent="0.2"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2:22" ht="30" x14ac:dyDescent="0.2"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2:22" ht="30" x14ac:dyDescent="0.2"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2:22" ht="30" x14ac:dyDescent="0.2"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2:22" ht="30" x14ac:dyDescent="0.2"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2:22" ht="30" x14ac:dyDescent="0.2"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2:22" ht="30" x14ac:dyDescent="0.2"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2:22" ht="30" x14ac:dyDescent="0.2"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2:22" ht="30" x14ac:dyDescent="0.2"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2:22" ht="30" x14ac:dyDescent="0.2"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2:22" ht="30" x14ac:dyDescent="0.2"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2:22" ht="30" x14ac:dyDescent="0.2"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2:22" ht="30" x14ac:dyDescent="0.2"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2:22" ht="30" x14ac:dyDescent="0.2"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2:22" ht="30" x14ac:dyDescent="0.2"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2:22" ht="30" x14ac:dyDescent="0.2"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2:22" ht="30" x14ac:dyDescent="0.2"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2:22" ht="30" x14ac:dyDescent="0.2"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2:22" ht="30" x14ac:dyDescent="0.2"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2:22" ht="30" x14ac:dyDescent="0.2"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2:22" ht="30" x14ac:dyDescent="0.2"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2:22" ht="30" x14ac:dyDescent="0.2"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2:22" ht="30" x14ac:dyDescent="0.2"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2:22" ht="30" x14ac:dyDescent="0.2"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2:22" ht="30" x14ac:dyDescent="0.2"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2:22" ht="30" x14ac:dyDescent="0.2"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2:22" ht="30" x14ac:dyDescent="0.2"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2:22" ht="30" x14ac:dyDescent="0.2"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2:22" ht="30" x14ac:dyDescent="0.2"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2:22" ht="30" x14ac:dyDescent="0.2"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2:22" ht="30" x14ac:dyDescent="0.2"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2:22" ht="30" x14ac:dyDescent="0.2"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2:22" ht="30" x14ac:dyDescent="0.2"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2:22" ht="30" x14ac:dyDescent="0.2"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2:22" ht="30" x14ac:dyDescent="0.2"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2:22" ht="30" x14ac:dyDescent="0.2"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2:22" ht="30" x14ac:dyDescent="0.2"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2:22" ht="30" x14ac:dyDescent="0.2"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2:22" ht="30" x14ac:dyDescent="0.2"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2:22" ht="30" x14ac:dyDescent="0.2"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2:22" ht="30" x14ac:dyDescent="0.2"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2:22" ht="30" x14ac:dyDescent="0.2"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2:22" ht="30" x14ac:dyDescent="0.2"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2:22" ht="30" x14ac:dyDescent="0.2"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2:22" ht="30" x14ac:dyDescent="0.2"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2:22" ht="30" x14ac:dyDescent="0.2"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2:22" ht="30" x14ac:dyDescent="0.2"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2:22" ht="30" x14ac:dyDescent="0.2"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2:22" ht="30" x14ac:dyDescent="0.2"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2:22" ht="30" x14ac:dyDescent="0.2"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2:22" ht="30" x14ac:dyDescent="0.2"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2:22" ht="30" x14ac:dyDescent="0.2"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2:22" ht="30" x14ac:dyDescent="0.2"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2:22" ht="30" x14ac:dyDescent="0.2"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2:22" ht="30" x14ac:dyDescent="0.2"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2:22" ht="30" x14ac:dyDescent="0.2"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2:22" ht="30" x14ac:dyDescent="0.2"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2:22" ht="30" x14ac:dyDescent="0.2"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2:22" ht="30" x14ac:dyDescent="0.2"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2:22" ht="30" x14ac:dyDescent="0.2"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2:22" ht="30" x14ac:dyDescent="0.2"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2:22" ht="30" x14ac:dyDescent="0.2"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2:22" ht="30" x14ac:dyDescent="0.2"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2:22" ht="30" x14ac:dyDescent="0.2"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2:22" ht="30" x14ac:dyDescent="0.2"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2:22" ht="30" x14ac:dyDescent="0.2"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2:22" ht="30" x14ac:dyDescent="0.2"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2:22" ht="30" x14ac:dyDescent="0.2"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2:22" ht="30" x14ac:dyDescent="0.2"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2:22" ht="30" x14ac:dyDescent="0.2"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2:22" ht="30" x14ac:dyDescent="0.2"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2:22" ht="30" x14ac:dyDescent="0.2"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2:22" ht="30" x14ac:dyDescent="0.2"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2:22" ht="30" x14ac:dyDescent="0.2"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2:22" ht="30" x14ac:dyDescent="0.2"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2:22" ht="30" x14ac:dyDescent="0.2"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2:22" ht="30" x14ac:dyDescent="0.2"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2:22" ht="30" x14ac:dyDescent="0.2"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2:22" ht="30" x14ac:dyDescent="0.2"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2:22" ht="30" x14ac:dyDescent="0.2"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2:22" ht="30" x14ac:dyDescent="0.2"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2:22" ht="30" x14ac:dyDescent="0.2"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2:22" ht="30" x14ac:dyDescent="0.2"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2:22" ht="30" x14ac:dyDescent="0.2"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2:22" ht="30" x14ac:dyDescent="0.2"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2:22" ht="30" x14ac:dyDescent="0.2"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2:22" ht="30" x14ac:dyDescent="0.2"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2:22" ht="30" x14ac:dyDescent="0.2"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2:22" ht="30" x14ac:dyDescent="0.2"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2:22" ht="30" x14ac:dyDescent="0.2"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2:22" ht="30" x14ac:dyDescent="0.2"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2:22" ht="30" x14ac:dyDescent="0.2"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2:22" ht="30" x14ac:dyDescent="0.2"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2:22" ht="30" x14ac:dyDescent="0.2"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2:22" ht="30" x14ac:dyDescent="0.2"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2:22" ht="30" x14ac:dyDescent="0.2"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2:22" ht="30" x14ac:dyDescent="0.2"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2:22" ht="30" x14ac:dyDescent="0.2"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2:22" ht="30" x14ac:dyDescent="0.2"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2:22" ht="30" x14ac:dyDescent="0.2"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2:22" ht="30" x14ac:dyDescent="0.2"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2:22" ht="30" x14ac:dyDescent="0.2"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2:22" ht="30" x14ac:dyDescent="0.2"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2:22" ht="30" x14ac:dyDescent="0.2"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2:22" ht="30" x14ac:dyDescent="0.2"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2:22" ht="30" x14ac:dyDescent="0.2"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2:22" ht="30" x14ac:dyDescent="0.2"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2:22" ht="30" x14ac:dyDescent="0.2"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2:22" ht="30" x14ac:dyDescent="0.2"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2:22" ht="30" x14ac:dyDescent="0.2"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2:22" ht="30" x14ac:dyDescent="0.2"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2:22" ht="30" x14ac:dyDescent="0.2"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2:22" ht="30" x14ac:dyDescent="0.2"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2:22" ht="30" x14ac:dyDescent="0.2"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2:22" ht="30" x14ac:dyDescent="0.2"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2:22" ht="30" x14ac:dyDescent="0.2"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2:22" ht="30" x14ac:dyDescent="0.2"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2:22" ht="30" x14ac:dyDescent="0.2"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2:22" ht="30" x14ac:dyDescent="0.2"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2:22" ht="30" x14ac:dyDescent="0.2"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2:22" ht="30" x14ac:dyDescent="0.2"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2:22" ht="30" x14ac:dyDescent="0.2"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2:22" ht="30" x14ac:dyDescent="0.2"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2:22" ht="30" x14ac:dyDescent="0.2"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2:22" ht="30" x14ac:dyDescent="0.2"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2:22" ht="30" x14ac:dyDescent="0.2"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2:22" ht="30" x14ac:dyDescent="0.2"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2:22" ht="30" x14ac:dyDescent="0.2"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2:22" ht="30" x14ac:dyDescent="0.2"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2:22" ht="30" x14ac:dyDescent="0.2"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2:22" ht="30" x14ac:dyDescent="0.2"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2:22" ht="30" x14ac:dyDescent="0.2"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2:22" ht="30" x14ac:dyDescent="0.2"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2:22" ht="30" x14ac:dyDescent="0.2"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2:22" ht="30" x14ac:dyDescent="0.2"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2:22" ht="30" x14ac:dyDescent="0.2"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2:22" ht="30" x14ac:dyDescent="0.2"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2:22" ht="30" x14ac:dyDescent="0.2"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2:22" ht="30" x14ac:dyDescent="0.2"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2:22" ht="30" x14ac:dyDescent="0.2"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2:22" ht="30" x14ac:dyDescent="0.2"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2:22" ht="30" x14ac:dyDescent="0.2"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2:22" ht="30" x14ac:dyDescent="0.2"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2:22" ht="30" x14ac:dyDescent="0.2"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2:22" ht="30" x14ac:dyDescent="0.2"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2:22" ht="30" x14ac:dyDescent="0.2"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2:22" ht="30" x14ac:dyDescent="0.2"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2:22" ht="30" x14ac:dyDescent="0.2"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2:22" ht="30" x14ac:dyDescent="0.2"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2:22" ht="30" x14ac:dyDescent="0.2"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2:22" ht="30" x14ac:dyDescent="0.2"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2:22" ht="30" x14ac:dyDescent="0.2"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2:22" ht="30" x14ac:dyDescent="0.2"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2:22" ht="30" x14ac:dyDescent="0.2"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2:22" ht="30" x14ac:dyDescent="0.2"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2:22" ht="30" x14ac:dyDescent="0.2"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2:22" ht="30" x14ac:dyDescent="0.2"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2:22" ht="30" x14ac:dyDescent="0.2"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2:22" ht="30" x14ac:dyDescent="0.2"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2:22" ht="30" x14ac:dyDescent="0.2"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2:22" ht="30" x14ac:dyDescent="0.2"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2:22" ht="30" x14ac:dyDescent="0.2"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2:22" ht="30" x14ac:dyDescent="0.2"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2:22" ht="30" x14ac:dyDescent="0.2"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2:22" ht="30" x14ac:dyDescent="0.2"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2:22" ht="30" x14ac:dyDescent="0.2"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2:22" ht="30" x14ac:dyDescent="0.2"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2:22" ht="30" x14ac:dyDescent="0.2"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2:22" ht="30" x14ac:dyDescent="0.2"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2:22" ht="30" x14ac:dyDescent="0.2"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2:22" ht="30" x14ac:dyDescent="0.2"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2:22" ht="30" x14ac:dyDescent="0.2"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2:22" ht="30" x14ac:dyDescent="0.2"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2:22" ht="30" x14ac:dyDescent="0.2"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2:22" ht="30" x14ac:dyDescent="0.2"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2:22" ht="30" x14ac:dyDescent="0.2"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2:22" ht="30" x14ac:dyDescent="0.2"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2:22" ht="30" x14ac:dyDescent="0.2"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2:22" ht="30" x14ac:dyDescent="0.2"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2:22" ht="30" x14ac:dyDescent="0.2"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2:22" ht="30" x14ac:dyDescent="0.2"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2:22" ht="30" x14ac:dyDescent="0.2"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2:22" ht="30" x14ac:dyDescent="0.2"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2:22" ht="30" x14ac:dyDescent="0.2"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2:22" ht="30" x14ac:dyDescent="0.2"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2:22" ht="30" x14ac:dyDescent="0.2"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2:22" ht="30" x14ac:dyDescent="0.2"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2:22" ht="30" x14ac:dyDescent="0.2"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2:22" ht="30" x14ac:dyDescent="0.2"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2:22" ht="30" x14ac:dyDescent="0.2"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2:22" ht="30" x14ac:dyDescent="0.2"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2:22" ht="30" x14ac:dyDescent="0.2"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2:22" ht="30" x14ac:dyDescent="0.2"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2:22" ht="30" x14ac:dyDescent="0.2"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2:22" ht="30" x14ac:dyDescent="0.2"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2:22" ht="30" x14ac:dyDescent="0.2"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2:22" ht="30" x14ac:dyDescent="0.2"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2:22" ht="30" x14ac:dyDescent="0.2"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2:22" ht="30" x14ac:dyDescent="0.2"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2:22" ht="30" x14ac:dyDescent="0.2"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2:22" ht="30" x14ac:dyDescent="0.2"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2:22" ht="30" x14ac:dyDescent="0.2"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2:22" ht="30" x14ac:dyDescent="0.2"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2:22" ht="30" x14ac:dyDescent="0.2"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2:22" ht="30" x14ac:dyDescent="0.2"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2:22" ht="30" x14ac:dyDescent="0.2"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2:22" ht="30" x14ac:dyDescent="0.2"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2:22" ht="30" x14ac:dyDescent="0.2"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2:22" ht="30" x14ac:dyDescent="0.2"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2:22" ht="30" x14ac:dyDescent="0.2"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2:22" ht="30" x14ac:dyDescent="0.2"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2:22" ht="30" x14ac:dyDescent="0.2"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2:22" ht="30" x14ac:dyDescent="0.2"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2:22" ht="30" x14ac:dyDescent="0.2"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2:22" ht="30" x14ac:dyDescent="0.2"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2:22" ht="30" x14ac:dyDescent="0.2"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2:22" ht="30" x14ac:dyDescent="0.2"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2:22" ht="30" x14ac:dyDescent="0.2"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2:22" ht="30" x14ac:dyDescent="0.2"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2:22" ht="30" x14ac:dyDescent="0.2"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2:22" ht="30" x14ac:dyDescent="0.2"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2:22" ht="30" x14ac:dyDescent="0.2"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2:22" ht="30" x14ac:dyDescent="0.2"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2:22" ht="30" x14ac:dyDescent="0.2"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2:22" ht="30" x14ac:dyDescent="0.2"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2:22" ht="30" x14ac:dyDescent="0.2"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2:22" ht="30" x14ac:dyDescent="0.2"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2:22" ht="30" x14ac:dyDescent="0.2"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2:22" ht="30" x14ac:dyDescent="0.2"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2:22" ht="30" x14ac:dyDescent="0.2"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2:22" ht="30" x14ac:dyDescent="0.2"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2:22" ht="30" x14ac:dyDescent="0.2"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2:22" ht="30" x14ac:dyDescent="0.2"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2:22" ht="30" x14ac:dyDescent="0.2"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2:22" ht="30" x14ac:dyDescent="0.2"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2:22" ht="30" x14ac:dyDescent="0.2"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2:22" ht="30" x14ac:dyDescent="0.2"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2:22" ht="30" x14ac:dyDescent="0.2"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2:22" ht="30" x14ac:dyDescent="0.2"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2:22" ht="30" x14ac:dyDescent="0.2"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2:22" ht="30" x14ac:dyDescent="0.2"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2:22" ht="30" x14ac:dyDescent="0.2"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2:22" ht="30" x14ac:dyDescent="0.2"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2:22" ht="30" x14ac:dyDescent="0.2"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2:22" ht="30" x14ac:dyDescent="0.2"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2:22" ht="30" x14ac:dyDescent="0.2"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2:22" ht="30" x14ac:dyDescent="0.2"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2:22" ht="30" x14ac:dyDescent="0.2"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2:22" ht="30" x14ac:dyDescent="0.2"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2:22" ht="30" x14ac:dyDescent="0.2"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2:22" ht="30" x14ac:dyDescent="0.2"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2:22" ht="30" x14ac:dyDescent="0.2"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2:22" ht="30" x14ac:dyDescent="0.2"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2:22" ht="30" x14ac:dyDescent="0.2"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2:22" ht="30" x14ac:dyDescent="0.2"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2:22" ht="30" x14ac:dyDescent="0.2"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2:22" ht="30" x14ac:dyDescent="0.2"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2:22" ht="30" x14ac:dyDescent="0.2"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2:22" ht="30" x14ac:dyDescent="0.2"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2:22" ht="30" x14ac:dyDescent="0.2"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2:22" ht="30" x14ac:dyDescent="0.2"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2:22" ht="30" x14ac:dyDescent="0.2"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2:22" ht="30" x14ac:dyDescent="0.2"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2:22" ht="30" x14ac:dyDescent="0.2"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2:22" ht="30" x14ac:dyDescent="0.2"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2:22" ht="30" x14ac:dyDescent="0.2"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2:22" ht="30" x14ac:dyDescent="0.2"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2:22" ht="30" x14ac:dyDescent="0.2"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2:22" ht="30" x14ac:dyDescent="0.2"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2:22" ht="30" x14ac:dyDescent="0.2"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2:22" ht="30" x14ac:dyDescent="0.2"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2:22" ht="30" x14ac:dyDescent="0.2"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2:22" ht="30" x14ac:dyDescent="0.2"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2:22" ht="30" x14ac:dyDescent="0.2"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2:22" ht="30" x14ac:dyDescent="0.2"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2:22" ht="30" x14ac:dyDescent="0.2"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2:22" ht="30" x14ac:dyDescent="0.2"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2:22" ht="30" x14ac:dyDescent="0.2"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2:22" ht="30" x14ac:dyDescent="0.2"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2:22" ht="30" x14ac:dyDescent="0.2"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2:22" ht="30" x14ac:dyDescent="0.2"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2:22" ht="30" x14ac:dyDescent="0.2"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2:22" ht="30" x14ac:dyDescent="0.2"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2:22" ht="30" x14ac:dyDescent="0.2"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2:22" ht="30" x14ac:dyDescent="0.2"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2:22" ht="30" x14ac:dyDescent="0.2"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2:22" ht="30" x14ac:dyDescent="0.2"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2:22" ht="30" x14ac:dyDescent="0.2"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2:22" ht="30" x14ac:dyDescent="0.2"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2:22" ht="30" x14ac:dyDescent="0.2"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2:22" ht="30" x14ac:dyDescent="0.2"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2:22" ht="30" x14ac:dyDescent="0.2"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2:22" ht="30" x14ac:dyDescent="0.2"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2:22" ht="30" x14ac:dyDescent="0.2"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2:22" ht="30" x14ac:dyDescent="0.2"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2:22" ht="30" x14ac:dyDescent="0.2"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2:22" ht="30" x14ac:dyDescent="0.2"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2:22" ht="30" x14ac:dyDescent="0.2"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2:22" ht="30" x14ac:dyDescent="0.2"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2:22" ht="30" x14ac:dyDescent="0.2"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2:22" ht="30" x14ac:dyDescent="0.2"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2:22" ht="30" x14ac:dyDescent="0.2"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2:22" ht="30" x14ac:dyDescent="0.2"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2:22" ht="30" x14ac:dyDescent="0.2"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2:22" ht="30" x14ac:dyDescent="0.2"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2:22" ht="30" x14ac:dyDescent="0.2"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spans="12:22" ht="30" x14ac:dyDescent="0.2"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spans="12:22" ht="30" x14ac:dyDescent="0.2"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spans="12:22" ht="30" x14ac:dyDescent="0.2"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2:22" ht="30" x14ac:dyDescent="0.2"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spans="12:22" ht="30" x14ac:dyDescent="0.2"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2:22" ht="30" x14ac:dyDescent="0.2"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spans="12:22" ht="30" x14ac:dyDescent="0.2"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spans="12:22" ht="30" x14ac:dyDescent="0.2"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spans="12:22" ht="30" x14ac:dyDescent="0.2"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spans="12:22" ht="30" x14ac:dyDescent="0.2"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spans="12:22" ht="30" x14ac:dyDescent="0.2"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spans="12:22" ht="30" x14ac:dyDescent="0.2"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spans="12:22" ht="30" x14ac:dyDescent="0.2"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spans="12:22" ht="30" x14ac:dyDescent="0.2"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spans="12:22" ht="30" x14ac:dyDescent="0.2"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spans="12:22" ht="30" x14ac:dyDescent="0.2"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spans="12:22" ht="30" x14ac:dyDescent="0.2"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spans="12:22" ht="30" x14ac:dyDescent="0.2"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spans="12:22" ht="30" x14ac:dyDescent="0.2"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spans="12:22" ht="30" x14ac:dyDescent="0.2"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spans="12:22" ht="30" x14ac:dyDescent="0.2"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spans="12:22" ht="30" x14ac:dyDescent="0.2"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spans="12:22" ht="30" x14ac:dyDescent="0.2"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spans="12:22" ht="30" x14ac:dyDescent="0.2"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spans="12:22" ht="30" x14ac:dyDescent="0.2"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spans="12:22" ht="30" x14ac:dyDescent="0.2"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spans="12:22" ht="30" x14ac:dyDescent="0.2"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spans="12:22" ht="30" x14ac:dyDescent="0.2"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spans="12:22" ht="30" x14ac:dyDescent="0.2"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spans="12:22" ht="30" x14ac:dyDescent="0.2"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spans="12:22" ht="30" x14ac:dyDescent="0.2"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spans="12:22" ht="30" x14ac:dyDescent="0.2"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spans="12:22" ht="30" x14ac:dyDescent="0.2"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spans="12:22" ht="30" x14ac:dyDescent="0.2"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spans="12:22" ht="30" x14ac:dyDescent="0.2"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spans="12:22" ht="30" x14ac:dyDescent="0.2"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spans="12:22" ht="30" x14ac:dyDescent="0.2"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spans="12:22" ht="30" x14ac:dyDescent="0.2"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spans="12:22" ht="30" x14ac:dyDescent="0.2"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spans="12:22" ht="30" x14ac:dyDescent="0.2"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spans="12:22" ht="30" x14ac:dyDescent="0.2"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spans="12:22" ht="30" x14ac:dyDescent="0.2"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spans="12:22" ht="30" x14ac:dyDescent="0.2"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spans="12:22" ht="30" x14ac:dyDescent="0.2"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spans="12:22" ht="30" x14ac:dyDescent="0.2"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2:22" ht="30" x14ac:dyDescent="0.2"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spans="12:22" ht="30" x14ac:dyDescent="0.2"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spans="12:22" ht="30" x14ac:dyDescent="0.2"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spans="12:22" ht="30" x14ac:dyDescent="0.2"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spans="12:22" ht="30" x14ac:dyDescent="0.2"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spans="12:22" ht="30" x14ac:dyDescent="0.2"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spans="12:22" ht="30" x14ac:dyDescent="0.2"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spans="12:22" ht="30" x14ac:dyDescent="0.2"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spans="12:22" ht="30" x14ac:dyDescent="0.2"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spans="12:22" ht="30" x14ac:dyDescent="0.2"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spans="12:22" ht="30" x14ac:dyDescent="0.2"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spans="12:22" ht="30" x14ac:dyDescent="0.2"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spans="12:22" ht="30" x14ac:dyDescent="0.2"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spans="12:22" ht="30" x14ac:dyDescent="0.2"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spans="12:22" ht="30" x14ac:dyDescent="0.2"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spans="12:22" ht="30" x14ac:dyDescent="0.2"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spans="12:22" ht="30" x14ac:dyDescent="0.2"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spans="12:22" ht="30" x14ac:dyDescent="0.2"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spans="12:22" ht="30" x14ac:dyDescent="0.2"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spans="12:22" ht="30" x14ac:dyDescent="0.2"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spans="12:22" ht="30" x14ac:dyDescent="0.2"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spans="12:22" ht="30" x14ac:dyDescent="0.2"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spans="12:22" ht="30" x14ac:dyDescent="0.2"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spans="12:22" ht="30" x14ac:dyDescent="0.2"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spans="12:22" ht="30" x14ac:dyDescent="0.2"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spans="12:22" ht="30" x14ac:dyDescent="0.2"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spans="12:22" ht="30" x14ac:dyDescent="0.2"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spans="12:22" ht="30" x14ac:dyDescent="0.2"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spans="12:22" ht="30" x14ac:dyDescent="0.2"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spans="12:22" ht="30" x14ac:dyDescent="0.2"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spans="12:22" ht="30" x14ac:dyDescent="0.2"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spans="12:22" ht="30" x14ac:dyDescent="0.2"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spans="12:22" ht="30" x14ac:dyDescent="0.2"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spans="12:22" ht="30" x14ac:dyDescent="0.2"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spans="12:22" ht="30" x14ac:dyDescent="0.2"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spans="12:22" ht="30" x14ac:dyDescent="0.2"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spans="12:22" ht="30" x14ac:dyDescent="0.2"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spans="12:22" ht="30" x14ac:dyDescent="0.2"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spans="12:22" ht="30" x14ac:dyDescent="0.2"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spans="12:22" ht="30" x14ac:dyDescent="0.2"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spans="12:22" ht="30" x14ac:dyDescent="0.2"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spans="12:22" ht="30" x14ac:dyDescent="0.2"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spans="12:22" ht="30" x14ac:dyDescent="0.2"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spans="12:22" ht="30" x14ac:dyDescent="0.2"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spans="12:22" ht="30" x14ac:dyDescent="0.2"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spans="12:22" ht="30" x14ac:dyDescent="0.2"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spans="12:22" ht="30" x14ac:dyDescent="0.2"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spans="12:22" ht="30" x14ac:dyDescent="0.2"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2:22" ht="30" x14ac:dyDescent="0.2"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spans="12:22" ht="30" x14ac:dyDescent="0.2"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spans="12:22" ht="30" x14ac:dyDescent="0.2"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spans="12:22" ht="30" x14ac:dyDescent="0.2"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spans="12:22" ht="30" x14ac:dyDescent="0.2"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spans="12:22" ht="30" x14ac:dyDescent="0.2"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spans="12:22" ht="30" x14ac:dyDescent="0.2"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spans="12:22" ht="30" x14ac:dyDescent="0.2"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spans="12:22" ht="30" x14ac:dyDescent="0.2"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spans="12:22" ht="30" x14ac:dyDescent="0.2"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spans="12:22" ht="30" x14ac:dyDescent="0.2"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spans="12:22" ht="30" x14ac:dyDescent="0.2"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spans="12:22" ht="30" x14ac:dyDescent="0.2"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spans="12:22" ht="30" x14ac:dyDescent="0.2"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spans="12:22" ht="30" x14ac:dyDescent="0.2"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spans="12:22" ht="30" x14ac:dyDescent="0.2"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spans="12:22" ht="30" x14ac:dyDescent="0.2"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spans="12:22" ht="30" x14ac:dyDescent="0.2"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spans="12:22" ht="30" x14ac:dyDescent="0.2"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spans="12:22" ht="30" x14ac:dyDescent="0.2"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spans="12:22" ht="30" x14ac:dyDescent="0.2"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spans="12:22" ht="30" x14ac:dyDescent="0.2"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spans="12:22" ht="30" x14ac:dyDescent="0.2"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spans="12:22" ht="30" x14ac:dyDescent="0.2"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spans="12:22" ht="30" x14ac:dyDescent="0.2"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spans="12:22" ht="30" x14ac:dyDescent="0.2"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spans="12:22" ht="30" x14ac:dyDescent="0.2"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spans="12:22" ht="30" x14ac:dyDescent="0.2"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spans="12:22" ht="30" x14ac:dyDescent="0.2"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spans="12:22" ht="30" x14ac:dyDescent="0.2"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spans="12:22" ht="30" x14ac:dyDescent="0.2"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spans="12:22" ht="30" x14ac:dyDescent="0.2"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spans="12:22" ht="30" x14ac:dyDescent="0.2"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spans="12:22" ht="30" x14ac:dyDescent="0.2"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spans="12:22" ht="30" x14ac:dyDescent="0.2"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spans="12:22" ht="30" x14ac:dyDescent="0.2"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spans="12:22" ht="30" x14ac:dyDescent="0.2"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spans="12:22" ht="30" x14ac:dyDescent="0.2"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spans="12:22" ht="30" x14ac:dyDescent="0.2"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spans="12:22" ht="30" x14ac:dyDescent="0.2"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spans="12:22" ht="30" x14ac:dyDescent="0.2"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spans="12:22" ht="30" x14ac:dyDescent="0.2"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spans="12:22" ht="30" x14ac:dyDescent="0.2"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spans="12:22" ht="30" x14ac:dyDescent="0.2"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spans="12:22" ht="30" x14ac:dyDescent="0.2"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spans="12:22" ht="30" x14ac:dyDescent="0.2"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spans="12:22" ht="30" x14ac:dyDescent="0.2"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spans="12:22" ht="30" x14ac:dyDescent="0.2"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spans="12:22" ht="30" x14ac:dyDescent="0.2"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spans="12:22" ht="30" x14ac:dyDescent="0.2"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spans="12:22" ht="30" x14ac:dyDescent="0.2"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spans="12:22" ht="30" x14ac:dyDescent="0.2"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spans="12:22" ht="30" x14ac:dyDescent="0.2"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spans="12:22" ht="30" x14ac:dyDescent="0.2"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spans="12:22" ht="30" x14ac:dyDescent="0.2"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spans="12:22" ht="30" x14ac:dyDescent="0.2"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spans="12:22" ht="30" x14ac:dyDescent="0.2"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spans="12:22" ht="30" x14ac:dyDescent="0.2"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spans="12:22" ht="30" x14ac:dyDescent="0.2"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spans="12:22" ht="30" x14ac:dyDescent="0.2"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spans="12:22" ht="30" x14ac:dyDescent="0.2"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spans="12:22" ht="30" x14ac:dyDescent="0.2"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spans="12:22" ht="30" x14ac:dyDescent="0.2"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spans="12:22" ht="30" x14ac:dyDescent="0.2"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spans="12:22" ht="30" x14ac:dyDescent="0.2"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spans="12:22" ht="30" x14ac:dyDescent="0.2"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spans="12:22" ht="30" x14ac:dyDescent="0.2"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spans="12:22" ht="30" x14ac:dyDescent="0.2"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spans="12:22" ht="30" x14ac:dyDescent="0.2"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spans="12:22" ht="30" x14ac:dyDescent="0.2"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spans="12:22" ht="30" x14ac:dyDescent="0.2"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spans="12:22" ht="30" x14ac:dyDescent="0.2"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spans="12:22" ht="30" x14ac:dyDescent="0.2"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spans="12:22" ht="30" x14ac:dyDescent="0.2"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spans="12:22" ht="30" x14ac:dyDescent="0.2"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spans="12:22" ht="30" x14ac:dyDescent="0.2"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spans="12:22" ht="30" x14ac:dyDescent="0.2"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 spans="12:22" ht="30" x14ac:dyDescent="0.2"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 spans="12:22" ht="30" x14ac:dyDescent="0.2"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 spans="12:22" ht="30" x14ac:dyDescent="0.2"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 spans="12:22" ht="30" x14ac:dyDescent="0.2"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 spans="12:22" ht="30" x14ac:dyDescent="0.2"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 spans="12:22" ht="30" x14ac:dyDescent="0.2"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 spans="12:22" ht="30" x14ac:dyDescent="0.2"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 spans="12:22" ht="30" x14ac:dyDescent="0.2"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 spans="12:22" ht="30" x14ac:dyDescent="0.2"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 spans="12:22" ht="30" x14ac:dyDescent="0.2"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 spans="12:22" thickBot="1" x14ac:dyDescent="0.25"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 spans="12:22" thickBot="1" x14ac:dyDescent="0.25">
      <c r="L1253" s="2"/>
      <c r="M1253" s="2"/>
      <c r="N1253" s="2"/>
      <c r="O1253" s="2"/>
    </row>
  </sheetData>
  <mergeCells count="15">
    <mergeCell ref="B20:C20"/>
    <mergeCell ref="B21:C21"/>
    <mergeCell ref="B42:B43"/>
    <mergeCell ref="B29:B30"/>
    <mergeCell ref="B31:B32"/>
    <mergeCell ref="B34:B35"/>
    <mergeCell ref="B36:B37"/>
    <mergeCell ref="B26:C26"/>
    <mergeCell ref="B22:C22"/>
    <mergeCell ref="B27:C27"/>
    <mergeCell ref="B38:B39"/>
    <mergeCell ref="B40:B41"/>
    <mergeCell ref="B25:C25"/>
    <mergeCell ref="B23:C23"/>
    <mergeCell ref="B24:C24"/>
  </mergeCells>
  <pageMargins left="0.25" right="0.25" top="0.75" bottom="0.75" header="0.3" footer="0.3"/>
  <pageSetup paperSize="9" scale="21" orientation="landscape" verticalDpi="300" r:id="rId1"/>
  <colBreaks count="2" manualBreakCount="2">
    <brk id="36" max="47" man="1"/>
    <brk id="37" max="47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C406-BFE0-40EB-963D-854189732585}">
  <sheetPr>
    <tabColor theme="9" tint="0.59999389629810485"/>
  </sheetPr>
  <dimension ref="A1:E42"/>
  <sheetViews>
    <sheetView workbookViewId="0">
      <selection activeCell="K1" sqref="K1"/>
    </sheetView>
  </sheetViews>
  <sheetFormatPr defaultRowHeight="15" x14ac:dyDescent="0.2"/>
  <cols>
    <col min="1" max="1" width="13.44921875" bestFit="1" customWidth="1"/>
    <col min="2" max="3" width="13.44921875" customWidth="1"/>
    <col min="4" max="4" width="11.43359375" bestFit="1" customWidth="1"/>
  </cols>
  <sheetData>
    <row r="1" spans="1:5" x14ac:dyDescent="0.2">
      <c r="A1" s="201" t="s">
        <v>176</v>
      </c>
      <c r="B1" s="201" t="s">
        <v>179</v>
      </c>
      <c r="C1" s="201" t="s">
        <v>178</v>
      </c>
      <c r="D1" t="s">
        <v>177</v>
      </c>
    </row>
    <row r="2" spans="1:5" x14ac:dyDescent="0.2">
      <c r="A2" s="201">
        <v>211503</v>
      </c>
      <c r="B2" s="201">
        <v>5693</v>
      </c>
      <c r="C2" s="201">
        <v>239</v>
      </c>
      <c r="D2" t="s">
        <v>180</v>
      </c>
      <c r="E2" t="s">
        <v>197</v>
      </c>
    </row>
    <row r="3" spans="1:5" x14ac:dyDescent="0.2">
      <c r="A3" s="201">
        <v>211503</v>
      </c>
      <c r="B3" s="201">
        <v>17915</v>
      </c>
      <c r="C3" s="201">
        <v>310</v>
      </c>
      <c r="D3" t="s">
        <v>180</v>
      </c>
      <c r="E3" t="s">
        <v>197</v>
      </c>
    </row>
    <row r="4" spans="1:5" x14ac:dyDescent="0.2">
      <c r="A4" s="201">
        <v>27530</v>
      </c>
      <c r="B4" s="201">
        <v>6700</v>
      </c>
      <c r="C4" s="201">
        <v>245</v>
      </c>
      <c r="D4" t="s">
        <v>181</v>
      </c>
    </row>
    <row r="5" spans="1:5" x14ac:dyDescent="0.2">
      <c r="A5" s="201">
        <v>29271</v>
      </c>
      <c r="B5" s="201">
        <v>6401</v>
      </c>
      <c r="C5" s="201">
        <v>239</v>
      </c>
      <c r="D5" t="s">
        <v>180</v>
      </c>
      <c r="E5" t="s">
        <v>197</v>
      </c>
    </row>
    <row r="6" spans="1:5" x14ac:dyDescent="0.2">
      <c r="A6" s="201">
        <v>211528</v>
      </c>
      <c r="B6" s="201">
        <v>1678</v>
      </c>
      <c r="C6" s="201">
        <v>268</v>
      </c>
      <c r="D6" t="s">
        <v>182</v>
      </c>
    </row>
    <row r="7" spans="1:5" x14ac:dyDescent="0.2">
      <c r="A7" s="201">
        <v>211528</v>
      </c>
      <c r="B7" s="201">
        <v>5061</v>
      </c>
      <c r="C7" s="201">
        <v>268</v>
      </c>
      <c r="D7" t="s">
        <v>183</v>
      </c>
    </row>
    <row r="8" spans="1:5" x14ac:dyDescent="0.2">
      <c r="A8" s="201">
        <v>211530</v>
      </c>
      <c r="B8" s="201">
        <v>4800</v>
      </c>
      <c r="C8" s="201">
        <v>310</v>
      </c>
      <c r="D8" t="s">
        <v>184</v>
      </c>
    </row>
    <row r="9" spans="1:5" x14ac:dyDescent="0.2">
      <c r="A9" s="201">
        <v>211529</v>
      </c>
      <c r="B9" s="201">
        <v>6788</v>
      </c>
      <c r="C9" s="201">
        <v>239</v>
      </c>
      <c r="D9" t="s">
        <v>185</v>
      </c>
    </row>
    <row r="10" spans="1:5" x14ac:dyDescent="0.2">
      <c r="A10" s="201">
        <v>206710</v>
      </c>
      <c r="B10" s="201">
        <v>9840</v>
      </c>
      <c r="C10" s="201">
        <v>310</v>
      </c>
      <c r="D10" t="s">
        <v>186</v>
      </c>
    </row>
    <row r="11" spans="1:5" x14ac:dyDescent="0.2">
      <c r="A11" s="201">
        <v>214883</v>
      </c>
      <c r="B11" s="201">
        <v>6888</v>
      </c>
      <c r="C11" s="201">
        <v>310</v>
      </c>
      <c r="D11" t="s">
        <v>186</v>
      </c>
    </row>
    <row r="12" spans="1:5" x14ac:dyDescent="0.2">
      <c r="A12" s="201">
        <v>203184</v>
      </c>
      <c r="B12" s="201">
        <v>2933</v>
      </c>
      <c r="C12" s="201">
        <v>268</v>
      </c>
      <c r="D12" t="s">
        <v>187</v>
      </c>
    </row>
    <row r="13" spans="1:5" x14ac:dyDescent="0.2">
      <c r="A13" s="201">
        <v>206710</v>
      </c>
      <c r="B13" s="201">
        <v>9840</v>
      </c>
      <c r="C13" s="201">
        <v>310</v>
      </c>
      <c r="D13" t="s">
        <v>186</v>
      </c>
    </row>
    <row r="14" spans="1:5" x14ac:dyDescent="0.2">
      <c r="A14" s="201">
        <v>207921</v>
      </c>
      <c r="B14" s="201">
        <v>3114</v>
      </c>
      <c r="C14" s="201">
        <v>268</v>
      </c>
      <c r="D14" t="s">
        <v>188</v>
      </c>
    </row>
    <row r="15" spans="1:5" x14ac:dyDescent="0.2">
      <c r="A15" s="201">
        <v>203557</v>
      </c>
      <c r="B15" s="201">
        <v>4582</v>
      </c>
      <c r="C15" s="201">
        <v>310</v>
      </c>
      <c r="D15" t="s">
        <v>184</v>
      </c>
    </row>
    <row r="16" spans="1:5" x14ac:dyDescent="0.2">
      <c r="A16" s="201">
        <v>1014</v>
      </c>
      <c r="B16" s="201">
        <v>4870</v>
      </c>
      <c r="C16" s="201">
        <v>264</v>
      </c>
      <c r="D16" t="s">
        <v>189</v>
      </c>
    </row>
    <row r="17" spans="1:4" x14ac:dyDescent="0.2">
      <c r="A17" s="201">
        <v>580858</v>
      </c>
      <c r="B17" s="201">
        <v>10612</v>
      </c>
      <c r="C17" s="201">
        <v>264</v>
      </c>
      <c r="D17" t="s">
        <v>190</v>
      </c>
    </row>
    <row r="18" spans="1:4" x14ac:dyDescent="0.2">
      <c r="A18" s="201">
        <v>49636</v>
      </c>
      <c r="B18" s="201">
        <v>9334.5</v>
      </c>
      <c r="C18" s="201">
        <v>264</v>
      </c>
      <c r="D18" t="s">
        <v>190</v>
      </c>
    </row>
    <row r="19" spans="1:4" x14ac:dyDescent="0.2">
      <c r="A19" s="201">
        <v>561888</v>
      </c>
      <c r="B19" s="201">
        <v>4313</v>
      </c>
      <c r="C19" s="201">
        <v>248</v>
      </c>
      <c r="D19" t="s">
        <v>191</v>
      </c>
    </row>
    <row r="20" spans="1:4" x14ac:dyDescent="0.2">
      <c r="A20" s="201">
        <v>205905</v>
      </c>
      <c r="B20" s="201">
        <v>2648</v>
      </c>
      <c r="C20" s="201">
        <v>268</v>
      </c>
      <c r="D20" t="s">
        <v>192</v>
      </c>
    </row>
    <row r="21" spans="1:4" x14ac:dyDescent="0.2">
      <c r="A21" s="201">
        <v>563301</v>
      </c>
      <c r="B21" s="201">
        <v>3165</v>
      </c>
      <c r="C21" s="201">
        <v>264</v>
      </c>
      <c r="D21" t="s">
        <v>193</v>
      </c>
    </row>
    <row r="22" spans="1:4" x14ac:dyDescent="0.2">
      <c r="A22" s="201">
        <v>569569</v>
      </c>
      <c r="B22" s="201">
        <v>2694</v>
      </c>
      <c r="C22" s="201">
        <v>268</v>
      </c>
      <c r="D22" t="s">
        <v>183</v>
      </c>
    </row>
    <row r="23" spans="1:4" x14ac:dyDescent="0.2">
      <c r="A23" s="201">
        <v>569569</v>
      </c>
      <c r="B23" s="201">
        <v>2616</v>
      </c>
      <c r="C23" s="201">
        <v>268</v>
      </c>
      <c r="D23" t="s">
        <v>191</v>
      </c>
    </row>
    <row r="24" spans="1:4" x14ac:dyDescent="0.2">
      <c r="A24" s="201">
        <v>111690</v>
      </c>
      <c r="B24" s="201">
        <v>9951</v>
      </c>
      <c r="C24" s="201">
        <v>295</v>
      </c>
      <c r="D24" t="s">
        <v>194</v>
      </c>
    </row>
    <row r="25" spans="1:4" x14ac:dyDescent="0.2">
      <c r="A25" s="201">
        <v>211530</v>
      </c>
      <c r="B25" s="201">
        <v>4800</v>
      </c>
      <c r="C25" s="201">
        <v>310</v>
      </c>
      <c r="D25" t="s">
        <v>184</v>
      </c>
    </row>
    <row r="26" spans="1:4" x14ac:dyDescent="0.2">
      <c r="A26" s="201">
        <v>211529</v>
      </c>
      <c r="B26" s="201">
        <v>6788</v>
      </c>
      <c r="C26" s="201">
        <v>239</v>
      </c>
      <c r="D26" t="s">
        <v>185</v>
      </c>
    </row>
    <row r="27" spans="1:4" x14ac:dyDescent="0.2">
      <c r="A27" s="201">
        <v>214883</v>
      </c>
      <c r="B27" s="201">
        <v>6888</v>
      </c>
      <c r="C27" s="201">
        <v>310</v>
      </c>
      <c r="D27" t="s">
        <v>186</v>
      </c>
    </row>
    <row r="28" spans="1:4" x14ac:dyDescent="0.2">
      <c r="A28" s="201">
        <v>206710</v>
      </c>
      <c r="B28" s="201">
        <v>9840</v>
      </c>
      <c r="C28" s="201">
        <v>310</v>
      </c>
      <c r="D28" t="s">
        <v>186</v>
      </c>
    </row>
    <row r="29" spans="1:4" x14ac:dyDescent="0.2">
      <c r="A29" s="201">
        <v>599224</v>
      </c>
      <c r="B29" s="201">
        <v>1780</v>
      </c>
      <c r="C29" s="201">
        <v>239</v>
      </c>
      <c r="D29" t="s">
        <v>186</v>
      </c>
    </row>
    <row r="30" spans="1:4" x14ac:dyDescent="0.2">
      <c r="A30" s="201">
        <v>1014</v>
      </c>
      <c r="B30" s="201">
        <v>4870</v>
      </c>
      <c r="C30" s="201">
        <v>264</v>
      </c>
      <c r="D30" t="s">
        <v>189</v>
      </c>
    </row>
    <row r="31" spans="1:4" x14ac:dyDescent="0.2">
      <c r="A31" s="201">
        <v>583298</v>
      </c>
      <c r="B31" s="201">
        <v>9334.5</v>
      </c>
      <c r="C31" s="201">
        <v>264</v>
      </c>
      <c r="D31" t="s">
        <v>190</v>
      </c>
    </row>
    <row r="32" spans="1:4" x14ac:dyDescent="0.2">
      <c r="A32" s="201">
        <v>109816</v>
      </c>
      <c r="B32" s="201">
        <v>1916</v>
      </c>
      <c r="C32" s="201">
        <v>264</v>
      </c>
      <c r="D32" t="s">
        <v>195</v>
      </c>
    </row>
    <row r="33" spans="1:4" x14ac:dyDescent="0.2">
      <c r="A33" s="201">
        <v>592560</v>
      </c>
      <c r="B33" s="201">
        <v>2130</v>
      </c>
      <c r="C33" s="201">
        <v>264</v>
      </c>
      <c r="D33" t="s">
        <v>192</v>
      </c>
    </row>
    <row r="34" spans="1:4" x14ac:dyDescent="0.2">
      <c r="A34" s="201">
        <v>586912</v>
      </c>
      <c r="B34" s="201">
        <v>6203</v>
      </c>
      <c r="C34" s="201">
        <v>248</v>
      </c>
      <c r="D34" t="s">
        <v>192</v>
      </c>
    </row>
    <row r="35" spans="1:4" x14ac:dyDescent="0.2">
      <c r="A35" s="201">
        <v>563301</v>
      </c>
      <c r="B35" s="201">
        <v>3165</v>
      </c>
      <c r="C35" s="201">
        <v>264</v>
      </c>
      <c r="D35" t="s">
        <v>193</v>
      </c>
    </row>
    <row r="36" spans="1:4" x14ac:dyDescent="0.2">
      <c r="A36" s="201">
        <v>569569</v>
      </c>
      <c r="B36" s="201">
        <v>2694</v>
      </c>
      <c r="C36" s="201">
        <v>268</v>
      </c>
      <c r="D36" t="s">
        <v>183</v>
      </c>
    </row>
    <row r="37" spans="1:4" x14ac:dyDescent="0.2">
      <c r="A37" s="201">
        <v>207922</v>
      </c>
      <c r="B37" s="201">
        <v>2616</v>
      </c>
      <c r="C37" s="201">
        <v>268</v>
      </c>
      <c r="D37" t="s">
        <v>191</v>
      </c>
    </row>
    <row r="38" spans="1:4" x14ac:dyDescent="0.2">
      <c r="A38" s="201">
        <v>592224</v>
      </c>
      <c r="B38" s="201">
        <v>1780</v>
      </c>
      <c r="C38" s="201">
        <v>268</v>
      </c>
      <c r="D38" t="s">
        <v>186</v>
      </c>
    </row>
    <row r="39" spans="1:4" x14ac:dyDescent="0.2">
      <c r="A39" s="201">
        <v>592286</v>
      </c>
      <c r="B39" s="201">
        <v>8455</v>
      </c>
      <c r="C39" s="201">
        <v>239</v>
      </c>
      <c r="D39" t="s">
        <v>186</v>
      </c>
    </row>
    <row r="40" spans="1:4" x14ac:dyDescent="0.2">
      <c r="A40" s="201">
        <v>591347</v>
      </c>
      <c r="B40" s="201">
        <v>14034</v>
      </c>
      <c r="C40" s="201">
        <v>264</v>
      </c>
      <c r="D40" t="s">
        <v>190</v>
      </c>
    </row>
    <row r="41" spans="1:4" x14ac:dyDescent="0.2">
      <c r="A41" s="201">
        <v>111693</v>
      </c>
      <c r="B41" s="201">
        <v>10796</v>
      </c>
      <c r="C41" s="201">
        <v>295</v>
      </c>
      <c r="D41" t="s">
        <v>194</v>
      </c>
    </row>
    <row r="42" spans="1:4" x14ac:dyDescent="0.2">
      <c r="A42" s="201">
        <v>112373</v>
      </c>
      <c r="B42" s="201">
        <v>1122</v>
      </c>
      <c r="C42" s="201">
        <v>264</v>
      </c>
      <c r="D42" t="s">
        <v>196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2B41-2752-4E56-A98F-C40339CEBD29}">
  <sheetPr>
    <tabColor theme="9" tint="0.59999389629810485"/>
  </sheetPr>
  <dimension ref="B1:AT1244"/>
  <sheetViews>
    <sheetView showGridLines="0" topLeftCell="A13" zoomScale="50" zoomScaleNormal="50" zoomScaleSheetLayoutView="50" workbookViewId="0">
      <selection activeCell="L18" sqref="L18"/>
    </sheetView>
  </sheetViews>
  <sheetFormatPr defaultRowHeight="30.75" thickBottom="1" x14ac:dyDescent="0.25"/>
  <cols>
    <col min="1" max="1" width="2.15234375" customWidth="1"/>
    <col min="2" max="2" width="16.41015625" style="1" customWidth="1"/>
    <col min="3" max="3" width="16.94921875" customWidth="1"/>
    <col min="4" max="4" width="29.45703125" customWidth="1"/>
    <col min="5" max="6" width="26.23046875" customWidth="1"/>
    <col min="7" max="7" width="26.36328125" style="1" customWidth="1"/>
    <col min="8" max="9" width="26.23046875" customWidth="1"/>
    <col min="10" max="10" width="29.19140625" customWidth="1"/>
    <col min="11" max="11" width="26.23046875" style="3" customWidth="1"/>
    <col min="12" max="12" width="28.25" style="3" customWidth="1"/>
    <col min="13" max="14" width="26.23046875" style="3" customWidth="1"/>
    <col min="15" max="15" width="27.44140625" style="3" customWidth="1"/>
    <col min="16" max="20" width="26.23046875" style="3" customWidth="1"/>
    <col min="21" max="21" width="31.4765625" style="3" customWidth="1"/>
    <col min="22" max="28" width="26.23046875" customWidth="1"/>
    <col min="29" max="29" width="21.25390625" bestFit="1" customWidth="1"/>
    <col min="30" max="32" width="18.5625" customWidth="1"/>
    <col min="33" max="33" width="19.1015625" customWidth="1"/>
    <col min="34" max="34" width="18.16015625" customWidth="1"/>
    <col min="35" max="35" width="31.34375" customWidth="1"/>
    <col min="36" max="36" width="26.6328125" customWidth="1"/>
  </cols>
  <sheetData>
    <row r="1" spans="2:46" ht="10.5" customHeight="1" thickBot="1" x14ac:dyDescent="0.35">
      <c r="B1" s="59"/>
      <c r="C1" s="58"/>
      <c r="D1" s="58"/>
      <c r="K1"/>
      <c r="L1"/>
      <c r="M1"/>
      <c r="N1"/>
      <c r="O1"/>
      <c r="P1"/>
      <c r="Q1"/>
      <c r="R1"/>
      <c r="S1"/>
      <c r="T1"/>
      <c r="U1"/>
      <c r="AB1" s="11"/>
      <c r="AC1" s="11"/>
      <c r="AD1" s="11"/>
    </row>
    <row r="2" spans="2:46" ht="40.5" customHeight="1" thickBot="1" x14ac:dyDescent="0.35">
      <c r="B2" s="59"/>
      <c r="C2" s="58"/>
      <c r="D2" s="58"/>
      <c r="F2" s="214" t="s">
        <v>59</v>
      </c>
      <c r="G2" s="215"/>
      <c r="H2" s="216"/>
      <c r="K2"/>
      <c r="L2"/>
      <c r="M2"/>
      <c r="N2"/>
      <c r="O2"/>
      <c r="P2"/>
      <c r="Q2"/>
      <c r="R2"/>
      <c r="S2"/>
      <c r="T2"/>
      <c r="U2"/>
      <c r="Y2" s="11"/>
      <c r="Z2" s="11"/>
      <c r="AA2" s="11"/>
    </row>
    <row r="3" spans="2:46" s="30" customFormat="1" ht="24.75" customHeight="1" x14ac:dyDescent="0.25">
      <c r="B3" s="60"/>
      <c r="C3" s="46"/>
      <c r="D3" s="49"/>
      <c r="E3" s="56"/>
      <c r="F3" s="217" t="s">
        <v>38</v>
      </c>
      <c r="G3" s="217"/>
      <c r="H3" s="32">
        <f>(D17+D18)*200</f>
        <v>910000</v>
      </c>
      <c r="I3" s="48"/>
      <c r="J3" s="50"/>
      <c r="K3" s="51"/>
      <c r="L3" s="48"/>
      <c r="M3" s="218"/>
      <c r="N3" s="47"/>
      <c r="O3" s="50"/>
      <c r="P3" s="51"/>
      <c r="Q3" s="48"/>
      <c r="R3" s="49"/>
      <c r="S3" s="47"/>
      <c r="T3" s="50"/>
      <c r="U3" s="50"/>
      <c r="V3" s="51"/>
      <c r="W3" s="48"/>
      <c r="X3" s="52"/>
      <c r="Y3" s="53"/>
      <c r="Z3" s="53"/>
      <c r="AA3" s="35"/>
    </row>
    <row r="4" spans="2:46" s="30" customFormat="1" ht="24.75" customHeight="1" x14ac:dyDescent="0.25">
      <c r="B4" s="60"/>
      <c r="C4" s="46"/>
      <c r="D4" s="49"/>
      <c r="E4" s="47"/>
      <c r="F4" s="219" t="s">
        <v>39</v>
      </c>
      <c r="G4" s="219"/>
      <c r="H4" s="34">
        <f>(E17+E18)*100</f>
        <v>412500</v>
      </c>
      <c r="I4" s="48"/>
      <c r="J4" s="54"/>
      <c r="K4" s="51"/>
      <c r="L4" s="48"/>
      <c r="M4" s="218"/>
      <c r="N4" s="47"/>
      <c r="O4" s="50"/>
      <c r="P4" s="51"/>
      <c r="Q4" s="48"/>
      <c r="R4" s="55"/>
      <c r="S4" s="47"/>
      <c r="T4" s="50"/>
      <c r="U4" s="50"/>
      <c r="V4" s="51"/>
      <c r="W4" s="48"/>
      <c r="X4" s="52"/>
      <c r="Y4" s="53"/>
      <c r="Z4" s="53"/>
      <c r="AA4" s="35"/>
    </row>
    <row r="5" spans="2:46" s="30" customFormat="1" ht="24.75" customHeight="1" x14ac:dyDescent="0.25">
      <c r="B5" s="60"/>
      <c r="C5" s="46"/>
      <c r="D5" s="49"/>
      <c r="E5" s="47"/>
      <c r="F5" s="219" t="s">
        <v>40</v>
      </c>
      <c r="G5" s="219"/>
      <c r="H5" s="34">
        <f>(F17+F18)*160</f>
        <v>456000</v>
      </c>
      <c r="I5" s="48"/>
      <c r="J5" s="54"/>
      <c r="K5" s="51"/>
      <c r="L5" s="48"/>
      <c r="M5" s="218"/>
      <c r="N5" s="47"/>
      <c r="O5" s="50"/>
      <c r="P5" s="51"/>
      <c r="Q5" s="48"/>
      <c r="R5" s="55"/>
      <c r="S5" s="47"/>
      <c r="T5" s="50"/>
      <c r="U5" s="50"/>
      <c r="V5" s="51"/>
      <c r="W5" s="48"/>
      <c r="X5" s="52"/>
      <c r="Y5" s="52"/>
      <c r="Z5" s="52"/>
    </row>
    <row r="6" spans="2:46" s="30" customFormat="1" ht="24.75" customHeight="1" x14ac:dyDescent="0.25">
      <c r="B6" s="60"/>
      <c r="C6" s="46"/>
      <c r="D6" s="49"/>
      <c r="E6" s="47"/>
      <c r="F6" s="219" t="s">
        <v>41</v>
      </c>
      <c r="G6" s="219"/>
      <c r="H6" s="34">
        <f>(G17+G18)*200</f>
        <v>170000</v>
      </c>
      <c r="I6" s="48"/>
      <c r="J6" s="54"/>
      <c r="K6" s="51"/>
      <c r="L6" s="48"/>
      <c r="M6" s="218"/>
      <c r="N6" s="47"/>
      <c r="O6" s="50"/>
      <c r="P6" s="51"/>
      <c r="Q6" s="48"/>
      <c r="R6" s="55"/>
      <c r="S6" s="47"/>
      <c r="T6" s="50"/>
      <c r="U6" s="50"/>
      <c r="V6" s="51"/>
      <c r="W6" s="48"/>
      <c r="X6" s="52"/>
      <c r="Y6" s="52"/>
      <c r="Z6" s="52"/>
    </row>
    <row r="7" spans="2:46" s="30" customFormat="1" ht="24.75" customHeight="1" x14ac:dyDescent="0.25">
      <c r="B7" s="60"/>
      <c r="C7" s="46"/>
      <c r="D7" s="49"/>
      <c r="E7" s="47"/>
      <c r="F7" s="219" t="s">
        <v>46</v>
      </c>
      <c r="G7" s="219"/>
      <c r="H7" s="34">
        <f>(H17+H18)*400</f>
        <v>650000</v>
      </c>
      <c r="I7" s="48"/>
      <c r="J7" s="54"/>
      <c r="K7" s="51"/>
      <c r="L7" s="48"/>
      <c r="M7" s="55"/>
      <c r="N7" s="47"/>
      <c r="O7" s="50"/>
      <c r="P7" s="51"/>
      <c r="Q7" s="48"/>
      <c r="R7" s="55"/>
      <c r="S7" s="47"/>
      <c r="T7" s="50"/>
      <c r="U7" s="50"/>
      <c r="V7" s="51"/>
      <c r="W7" s="48"/>
      <c r="X7" s="52"/>
      <c r="Y7" s="52"/>
      <c r="Z7" s="52"/>
    </row>
    <row r="8" spans="2:46" s="30" customFormat="1" ht="24.75" customHeight="1" x14ac:dyDescent="0.25">
      <c r="B8" s="60"/>
      <c r="C8" s="46"/>
      <c r="D8" s="49"/>
      <c r="E8" s="47"/>
      <c r="F8" s="219" t="s">
        <v>42</v>
      </c>
      <c r="G8" s="219"/>
      <c r="H8" s="34">
        <f>(I17+I18)*500</f>
        <v>1725000</v>
      </c>
      <c r="I8" s="48"/>
      <c r="J8" s="54"/>
      <c r="K8" s="51"/>
      <c r="L8" s="48"/>
      <c r="M8" s="55"/>
      <c r="N8" s="47"/>
      <c r="O8" s="50"/>
      <c r="P8" s="51"/>
      <c r="Q8" s="48"/>
      <c r="R8" s="55"/>
      <c r="S8" s="47"/>
      <c r="T8" s="50"/>
      <c r="U8" s="50"/>
      <c r="V8" s="51"/>
      <c r="W8" s="48"/>
      <c r="X8" s="52"/>
      <c r="Y8" s="52"/>
      <c r="Z8" s="52"/>
    </row>
    <row r="9" spans="2:46" s="30" customFormat="1" ht="24.75" customHeight="1" x14ac:dyDescent="0.25">
      <c r="B9" s="60"/>
      <c r="C9" s="46"/>
      <c r="D9" s="49"/>
      <c r="E9" s="47"/>
      <c r="F9" s="219" t="s">
        <v>43</v>
      </c>
      <c r="G9" s="219"/>
      <c r="H9" s="34">
        <f>(J17+J18)*500</f>
        <v>500000</v>
      </c>
      <c r="I9" s="48"/>
      <c r="J9" s="54"/>
      <c r="K9" s="51"/>
      <c r="L9" s="48"/>
      <c r="M9" s="55"/>
      <c r="N9" s="47"/>
      <c r="O9" s="50"/>
      <c r="P9" s="51"/>
      <c r="Q9" s="48"/>
      <c r="R9" s="55"/>
      <c r="S9" s="47"/>
      <c r="T9" s="50"/>
      <c r="U9" s="50"/>
      <c r="V9" s="51"/>
      <c r="W9" s="48"/>
      <c r="X9" s="52"/>
      <c r="Y9" s="52"/>
      <c r="Z9" s="52"/>
    </row>
    <row r="10" spans="2:46" s="30" customFormat="1" ht="24.75" customHeight="1" x14ac:dyDescent="0.25">
      <c r="B10" s="60"/>
      <c r="C10" s="46"/>
      <c r="D10" s="49"/>
      <c r="E10" s="47"/>
      <c r="F10" s="219" t="s">
        <v>44</v>
      </c>
      <c r="G10" s="219"/>
      <c r="H10" s="34">
        <f>(K17+K18)*500</f>
        <v>500000</v>
      </c>
      <c r="I10" s="48"/>
      <c r="J10" s="54"/>
      <c r="K10" s="51"/>
      <c r="L10" s="48"/>
      <c r="M10" s="55"/>
      <c r="N10" s="47"/>
      <c r="O10" s="50"/>
      <c r="P10" s="51"/>
      <c r="Q10" s="48"/>
      <c r="R10" s="55"/>
      <c r="S10" s="47"/>
      <c r="T10" s="50"/>
      <c r="U10" s="50"/>
      <c r="V10" s="51"/>
      <c r="W10" s="48"/>
      <c r="X10" s="52"/>
      <c r="Y10" s="52"/>
      <c r="Z10" s="52"/>
    </row>
    <row r="11" spans="2:46" s="30" customFormat="1" ht="24.75" customHeight="1" x14ac:dyDescent="0.25">
      <c r="B11" s="60"/>
      <c r="C11" s="46"/>
      <c r="D11" s="49"/>
      <c r="E11" s="47"/>
      <c r="F11" s="219" t="s">
        <v>49</v>
      </c>
      <c r="G11" s="219"/>
      <c r="H11" s="34">
        <f>(L17+L18)*300</f>
        <v>600000</v>
      </c>
      <c r="I11" s="48"/>
      <c r="J11" s="54"/>
      <c r="K11" s="51"/>
      <c r="L11" s="48"/>
      <c r="M11" s="62"/>
      <c r="N11" s="47"/>
      <c r="O11" s="50"/>
      <c r="P11" s="51"/>
      <c r="Q11" s="48"/>
      <c r="R11" s="62"/>
      <c r="S11" s="47"/>
      <c r="T11" s="50"/>
      <c r="U11" s="50"/>
      <c r="V11" s="51"/>
      <c r="W11" s="48"/>
      <c r="X11" s="52"/>
      <c r="Y11" s="52"/>
      <c r="Z11" s="52"/>
    </row>
    <row r="12" spans="2:46" s="30" customFormat="1" ht="24.75" customHeight="1" x14ac:dyDescent="0.25">
      <c r="B12" s="60"/>
      <c r="C12" s="46"/>
      <c r="D12" s="49"/>
      <c r="E12" s="47"/>
      <c r="F12" s="219" t="s">
        <v>52</v>
      </c>
      <c r="G12" s="219"/>
      <c r="H12" s="34">
        <f>(M17+M18)*128</f>
        <v>512000</v>
      </c>
      <c r="I12" s="48"/>
      <c r="J12" s="54"/>
      <c r="K12" s="51"/>
      <c r="L12" s="48"/>
      <c r="M12" s="62"/>
      <c r="N12" s="47"/>
      <c r="O12" s="50"/>
      <c r="P12" s="51"/>
      <c r="Q12" s="48"/>
      <c r="R12" s="62"/>
      <c r="S12" s="47"/>
      <c r="T12" s="50"/>
      <c r="U12" s="50"/>
      <c r="V12" s="51"/>
      <c r="W12" s="48"/>
      <c r="X12" s="52"/>
      <c r="Y12" s="52"/>
      <c r="Z12" s="52"/>
    </row>
    <row r="13" spans="2:46" s="30" customFormat="1" ht="24.75" customHeight="1" x14ac:dyDescent="0.25">
      <c r="B13" s="60"/>
      <c r="C13" s="46"/>
      <c r="D13" s="49"/>
      <c r="E13" s="47"/>
      <c r="F13" s="219" t="s">
        <v>55</v>
      </c>
      <c r="G13" s="219"/>
      <c r="H13" s="34">
        <f>(N17+N18)*1000</f>
        <v>1325000</v>
      </c>
      <c r="I13" s="48"/>
      <c r="J13" s="54"/>
      <c r="K13" s="51"/>
      <c r="L13" s="48"/>
      <c r="M13" s="62"/>
      <c r="N13" s="47"/>
      <c r="O13" s="50"/>
      <c r="P13" s="51"/>
      <c r="Q13" s="48"/>
      <c r="R13" s="62"/>
      <c r="S13" s="47"/>
      <c r="T13" s="50"/>
      <c r="U13" s="50"/>
      <c r="V13" s="51"/>
      <c r="W13" s="48"/>
      <c r="X13" s="52"/>
      <c r="Y13" s="52"/>
      <c r="Z13" s="52"/>
    </row>
    <row r="14" spans="2:46" s="30" customFormat="1" ht="24.75" customHeight="1" x14ac:dyDescent="0.25">
      <c r="B14" s="60"/>
      <c r="C14" s="46"/>
      <c r="D14" s="49"/>
      <c r="E14" s="47"/>
      <c r="F14" s="219" t="s">
        <v>56</v>
      </c>
      <c r="G14" s="219"/>
      <c r="H14" s="34">
        <f>(O17+O18)*500</f>
        <v>875000</v>
      </c>
      <c r="I14" s="48"/>
      <c r="J14" s="54"/>
      <c r="K14" s="51"/>
      <c r="L14" s="48"/>
      <c r="M14" s="62"/>
      <c r="N14" s="47"/>
      <c r="O14" s="50"/>
      <c r="P14" s="51"/>
      <c r="Q14" s="48"/>
      <c r="R14" s="62"/>
      <c r="S14" s="47"/>
      <c r="T14" s="50"/>
      <c r="U14" s="50"/>
      <c r="V14" s="51"/>
      <c r="W14" s="48"/>
      <c r="X14" s="52"/>
      <c r="Y14" s="52"/>
      <c r="Z14" s="52"/>
    </row>
    <row r="15" spans="2:46" ht="274.5" customHeight="1" x14ac:dyDescent="0.3">
      <c r="B15" s="220" t="s">
        <v>10</v>
      </c>
      <c r="C15" s="220"/>
      <c r="D15" s="57" t="s">
        <v>27</v>
      </c>
      <c r="E15" s="57" t="s">
        <v>28</v>
      </c>
      <c r="F15" s="44" t="s">
        <v>29</v>
      </c>
      <c r="G15" s="45" t="s">
        <v>30</v>
      </c>
      <c r="H15" s="45" t="s">
        <v>45</v>
      </c>
      <c r="I15" s="61" t="s">
        <v>31</v>
      </c>
      <c r="J15" s="61" t="s">
        <v>32</v>
      </c>
      <c r="K15" s="61" t="s">
        <v>26</v>
      </c>
      <c r="L15" s="61" t="s">
        <v>50</v>
      </c>
      <c r="M15" s="61" t="s">
        <v>53</v>
      </c>
      <c r="N15" s="61" t="s">
        <v>55</v>
      </c>
      <c r="O15" s="61" t="s">
        <v>56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7"/>
    </row>
    <row r="16" spans="2:46" s="5" customFormat="1" ht="22.5" customHeight="1" x14ac:dyDescent="0.3">
      <c r="B16" s="204" t="s">
        <v>11</v>
      </c>
      <c r="C16" s="204"/>
      <c r="D16" s="12" t="s">
        <v>34</v>
      </c>
      <c r="E16" s="12" t="s">
        <v>35</v>
      </c>
      <c r="F16" s="12" t="s">
        <v>36</v>
      </c>
      <c r="G16" s="12" t="s">
        <v>36</v>
      </c>
      <c r="H16" s="13" t="s">
        <v>33</v>
      </c>
      <c r="I16" s="13" t="s">
        <v>37</v>
      </c>
      <c r="J16" s="12" t="s">
        <v>47</v>
      </c>
      <c r="K16" s="12" t="s">
        <v>47</v>
      </c>
      <c r="L16" s="12" t="s">
        <v>51</v>
      </c>
      <c r="M16" s="12" t="s">
        <v>54</v>
      </c>
      <c r="N16" s="12" t="s">
        <v>57</v>
      </c>
      <c r="O16" s="12" t="s">
        <v>58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  <c r="AB16"/>
      <c r="AC16"/>
      <c r="AD16"/>
      <c r="AE16"/>
      <c r="AF16"/>
      <c r="AG16"/>
      <c r="AH16"/>
      <c r="AI16"/>
      <c r="AJ16"/>
      <c r="AK16"/>
      <c r="AL16" s="4"/>
      <c r="AM16" s="4"/>
      <c r="AN16" s="4"/>
      <c r="AO16" s="4"/>
      <c r="AP16" s="4"/>
      <c r="AQ16" s="4"/>
      <c r="AR16" s="4"/>
      <c r="AS16" s="4"/>
      <c r="AT16" s="4"/>
    </row>
    <row r="17" spans="2:46" s="7" customFormat="1" ht="26.25" customHeight="1" x14ac:dyDescent="0.3">
      <c r="B17" s="209" t="s">
        <v>22</v>
      </c>
      <c r="C17" s="209"/>
      <c r="D17" s="20">
        <v>4550</v>
      </c>
      <c r="E17" s="14">
        <v>2125</v>
      </c>
      <c r="F17" s="14">
        <v>850</v>
      </c>
      <c r="G17" s="14">
        <v>850</v>
      </c>
      <c r="H17" s="14">
        <v>1625</v>
      </c>
      <c r="I17" s="14">
        <v>3450</v>
      </c>
      <c r="J17" s="14">
        <v>0</v>
      </c>
      <c r="K17" s="14">
        <v>0</v>
      </c>
      <c r="L17" s="14">
        <v>0</v>
      </c>
      <c r="M17" s="14">
        <v>4000</v>
      </c>
      <c r="N17" s="14">
        <v>1325</v>
      </c>
      <c r="O17" s="14">
        <v>1750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7"/>
      <c r="AB17"/>
      <c r="AC17"/>
      <c r="AD17"/>
      <c r="AE17"/>
      <c r="AF17"/>
      <c r="AG17"/>
      <c r="AH17"/>
      <c r="AI17"/>
      <c r="AJ17"/>
      <c r="AK17"/>
      <c r="AL17" s="6"/>
      <c r="AM17" s="6"/>
      <c r="AN17" s="6"/>
      <c r="AO17" s="6"/>
      <c r="AP17" s="6"/>
      <c r="AQ17" s="6"/>
      <c r="AR17" s="6"/>
      <c r="AS17" s="6"/>
      <c r="AT17" s="6"/>
    </row>
    <row r="18" spans="2:46" s="7" customFormat="1" ht="26.25" customHeight="1" x14ac:dyDescent="0.3">
      <c r="B18" s="209" t="s">
        <v>48</v>
      </c>
      <c r="C18" s="209"/>
      <c r="D18" s="20"/>
      <c r="E18" s="14">
        <v>2000</v>
      </c>
      <c r="F18" s="14">
        <v>2000</v>
      </c>
      <c r="G18" s="14"/>
      <c r="H18" s="14"/>
      <c r="I18" s="14"/>
      <c r="J18" s="14">
        <v>1000</v>
      </c>
      <c r="K18" s="14">
        <v>1000</v>
      </c>
      <c r="L18" s="65">
        <v>2000</v>
      </c>
      <c r="M18" s="14">
        <v>0</v>
      </c>
      <c r="N18" s="14">
        <v>0</v>
      </c>
      <c r="O18" s="14">
        <v>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  <c r="AB18"/>
      <c r="AC18"/>
      <c r="AD18"/>
      <c r="AE18"/>
      <c r="AF18"/>
      <c r="AG18"/>
      <c r="AH18"/>
      <c r="AI18"/>
      <c r="AJ18"/>
      <c r="AK18"/>
      <c r="AL18" s="6"/>
      <c r="AM18" s="6"/>
      <c r="AN18" s="6"/>
      <c r="AO18" s="6"/>
      <c r="AP18" s="6"/>
      <c r="AQ18" s="6"/>
      <c r="AR18" s="6"/>
      <c r="AS18" s="6"/>
      <c r="AT18" s="6"/>
    </row>
    <row r="19" spans="2:46" ht="23.25" x14ac:dyDescent="0.3">
      <c r="B19" s="27"/>
      <c r="C19" s="15"/>
      <c r="D19" s="16"/>
      <c r="E19" s="16"/>
      <c r="F19" s="16"/>
      <c r="G19" s="16"/>
      <c r="H19" s="28"/>
      <c r="I19" s="16"/>
      <c r="J19" s="16"/>
      <c r="K19" s="16"/>
      <c r="L19" s="2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7"/>
    </row>
    <row r="20" spans="2:46" ht="23.25" x14ac:dyDescent="0.3">
      <c r="B20" s="206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</row>
    <row r="21" spans="2:46" ht="23.25" x14ac:dyDescent="0.3">
      <c r="B21" s="206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7"/>
    </row>
    <row r="22" spans="2:46" ht="23.25" x14ac:dyDescent="0.3">
      <c r="B22" s="206"/>
      <c r="C22" s="15"/>
      <c r="D22" s="17"/>
      <c r="E22" s="17"/>
      <c r="F22" s="17"/>
      <c r="G22" s="17"/>
      <c r="H22" s="17"/>
      <c r="I22" s="17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</row>
    <row r="23" spans="2:46" ht="23.25" x14ac:dyDescent="0.3">
      <c r="B23" s="206"/>
      <c r="C23" s="15"/>
      <c r="D23" s="17"/>
      <c r="E23" s="17"/>
      <c r="F23" s="17"/>
      <c r="G23" s="17"/>
      <c r="H23" s="17"/>
      <c r="I23" s="17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  <c r="AA23" s="17"/>
    </row>
    <row r="24" spans="2:46" ht="23.25" x14ac:dyDescent="0.3">
      <c r="B24" s="43"/>
      <c r="C24" s="15"/>
      <c r="D24" s="17"/>
      <c r="E24" s="17"/>
      <c r="F24" s="17"/>
      <c r="G24" s="18"/>
      <c r="H24" s="19"/>
      <c r="I24" s="17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7"/>
    </row>
    <row r="25" spans="2:46" ht="23.25" x14ac:dyDescent="0.3">
      <c r="B25" s="206"/>
      <c r="C25" s="15"/>
      <c r="D25" s="17"/>
      <c r="E25" s="17"/>
      <c r="F25" s="17"/>
      <c r="G25" s="18"/>
      <c r="H25" s="19"/>
      <c r="I25" s="17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  <c r="AA25" s="17"/>
    </row>
    <row r="26" spans="2:46" ht="23.25" x14ac:dyDescent="0.3">
      <c r="B26" s="206"/>
      <c r="C26" s="15"/>
      <c r="G2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  <c r="AA26" s="17"/>
    </row>
    <row r="27" spans="2:46" ht="23.25" x14ac:dyDescent="0.3">
      <c r="B27" s="206"/>
      <c r="C27" s="15"/>
      <c r="G2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  <c r="AA27" s="17"/>
    </row>
    <row r="28" spans="2:46" ht="23.25" x14ac:dyDescent="0.3">
      <c r="B28" s="206"/>
      <c r="C28" s="15"/>
      <c r="G2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7"/>
    </row>
    <row r="29" spans="2:46" ht="23.25" x14ac:dyDescent="0.3">
      <c r="B29" s="206"/>
      <c r="C29" s="15"/>
      <c r="G29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7"/>
    </row>
    <row r="30" spans="2:46" ht="23.25" x14ac:dyDescent="0.3">
      <c r="B30" s="206"/>
      <c r="C30" s="15"/>
      <c r="G3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7"/>
    </row>
    <row r="31" spans="2:46" ht="30" x14ac:dyDescent="0.3">
      <c r="B31" s="206"/>
      <c r="C31" s="15"/>
      <c r="G31"/>
      <c r="K31" s="16"/>
      <c r="L31" s="16"/>
      <c r="M31" s="16"/>
      <c r="N31" s="16"/>
      <c r="O31" s="2"/>
      <c r="P31" s="2"/>
      <c r="Q31" s="2"/>
      <c r="R31" s="2"/>
      <c r="S31" s="2"/>
      <c r="T31" s="2"/>
      <c r="U31" s="2"/>
      <c r="V31" s="16"/>
      <c r="W31" s="16"/>
      <c r="X31" s="16"/>
      <c r="Y31" s="16"/>
      <c r="Z31" s="17"/>
      <c r="AA31" s="17"/>
    </row>
    <row r="32" spans="2:46" ht="30" x14ac:dyDescent="0.3">
      <c r="B32" s="206"/>
      <c r="C32" s="15"/>
      <c r="D32" s="17"/>
      <c r="E32" s="17"/>
      <c r="F32" s="17"/>
      <c r="G32" s="18"/>
      <c r="H32" s="19"/>
      <c r="I32" s="17"/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30" x14ac:dyDescent="0.3">
      <c r="B33" s="206"/>
      <c r="C33" s="15"/>
      <c r="D33" s="17"/>
      <c r="E33" s="17"/>
      <c r="F33" s="17"/>
      <c r="G33" s="18"/>
      <c r="H33" s="19"/>
      <c r="I33" s="17"/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30" x14ac:dyDescent="0.3">
      <c r="B34" s="206"/>
      <c r="C34" s="15"/>
      <c r="D34" s="17"/>
      <c r="E34" s="17"/>
      <c r="F34" s="17"/>
      <c r="G34" s="21"/>
      <c r="H34" s="19"/>
      <c r="I34" s="17"/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30" x14ac:dyDescent="0.2">
      <c r="B35" s="10"/>
      <c r="G35" s="9"/>
      <c r="H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30" x14ac:dyDescent="0.2">
      <c r="B36" s="10"/>
      <c r="G36" s="9"/>
      <c r="H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30" x14ac:dyDescent="0.2">
      <c r="B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30" x14ac:dyDescent="0.2">
      <c r="B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30" x14ac:dyDescent="0.2">
      <c r="B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30" x14ac:dyDescent="0.2">
      <c r="B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30" x14ac:dyDescent="0.2">
      <c r="B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30" x14ac:dyDescent="0.2">
      <c r="B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30" x14ac:dyDescent="0.2">
      <c r="B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30" x14ac:dyDescent="0.2">
      <c r="B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30" x14ac:dyDescent="0.2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30" x14ac:dyDescent="0.2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30" x14ac:dyDescent="0.2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30" x14ac:dyDescent="0.2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1:25" ht="30" x14ac:dyDescent="0.2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1:25" ht="30" x14ac:dyDescent="0.2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1:25" ht="30" x14ac:dyDescent="0.2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1:25" ht="30" x14ac:dyDescent="0.2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1:25" ht="30" x14ac:dyDescent="0.2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1:25" ht="30" x14ac:dyDescent="0.2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1:25" ht="30" x14ac:dyDescent="0.2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1:25" ht="30" x14ac:dyDescent="0.2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1:25" ht="30" x14ac:dyDescent="0.2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1:25" ht="30" x14ac:dyDescent="0.2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1:25" ht="30" x14ac:dyDescent="0.2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1:25" ht="30" x14ac:dyDescent="0.2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1:25" ht="30" x14ac:dyDescent="0.2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1:25" ht="30" x14ac:dyDescent="0.2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1:25" ht="30" x14ac:dyDescent="0.2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1:25" ht="30" x14ac:dyDescent="0.2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1:21" ht="30" x14ac:dyDescent="0.2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1:21" ht="30" x14ac:dyDescent="0.2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1:21" ht="30" x14ac:dyDescent="0.2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1:21" ht="30" x14ac:dyDescent="0.2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1:21" ht="30" x14ac:dyDescent="0.2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1:21" ht="30" x14ac:dyDescent="0.2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1:21" ht="30" x14ac:dyDescent="0.2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1:21" ht="30" x14ac:dyDescent="0.2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1:21" ht="30" x14ac:dyDescent="0.2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1:21" ht="30" x14ac:dyDescent="0.2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1:21" ht="30" x14ac:dyDescent="0.2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1:21" ht="30" x14ac:dyDescent="0.2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1:21" ht="30" x14ac:dyDescent="0.2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1:21" ht="30" x14ac:dyDescent="0.2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1:21" ht="30" x14ac:dyDescent="0.2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1:21" ht="30" x14ac:dyDescent="0.2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1:21" ht="30" x14ac:dyDescent="0.2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1:21" ht="30" x14ac:dyDescent="0.2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1:21" ht="30" x14ac:dyDescent="0.2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1:21" ht="30" x14ac:dyDescent="0.2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1:21" ht="30" x14ac:dyDescent="0.2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1:21" ht="30" x14ac:dyDescent="0.2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1:21" ht="30" x14ac:dyDescent="0.2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1:21" ht="30" x14ac:dyDescent="0.2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1:21" ht="30" x14ac:dyDescent="0.2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1:21" ht="30" x14ac:dyDescent="0.2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1:21" ht="30" x14ac:dyDescent="0.2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1:21" ht="30" x14ac:dyDescent="0.2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1:21" ht="30" x14ac:dyDescent="0.2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1:21" ht="30" x14ac:dyDescent="0.2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1:21" ht="30" x14ac:dyDescent="0.2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1:21" ht="30" x14ac:dyDescent="0.2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1:21" ht="30" x14ac:dyDescent="0.2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1:21" ht="30" x14ac:dyDescent="0.2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1:21" ht="30" x14ac:dyDescent="0.2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1:21" ht="30" x14ac:dyDescent="0.2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1:21" ht="30" x14ac:dyDescent="0.2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1:21" ht="30" x14ac:dyDescent="0.2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1:21" ht="30" x14ac:dyDescent="0.2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1:21" ht="30" x14ac:dyDescent="0.2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1:21" ht="30" x14ac:dyDescent="0.2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1:21" ht="30" x14ac:dyDescent="0.2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1:21" ht="30" x14ac:dyDescent="0.2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1:21" ht="30" x14ac:dyDescent="0.2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1:21" ht="30" x14ac:dyDescent="0.2"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1:21" ht="30" x14ac:dyDescent="0.2"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1:21" ht="30" x14ac:dyDescent="0.2"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1:21" ht="30" x14ac:dyDescent="0.2"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1:21" ht="30" x14ac:dyDescent="0.2"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1:21" ht="30" x14ac:dyDescent="0.2"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1:21" ht="30" x14ac:dyDescent="0.2"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1:21" ht="30" x14ac:dyDescent="0.2"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1:21" ht="30" x14ac:dyDescent="0.2"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1:21" ht="30" x14ac:dyDescent="0.2"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1:21" ht="30" x14ac:dyDescent="0.2"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1:21" ht="30" x14ac:dyDescent="0.2"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1:21" ht="30" x14ac:dyDescent="0.2"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1:21" ht="30" x14ac:dyDescent="0.2"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1:21" ht="30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1:21" ht="30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1:21" ht="30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1:21" ht="30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1:21" ht="30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1:21" ht="30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1:21" ht="30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1:21" ht="30" x14ac:dyDescent="0.2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1:21" ht="30" x14ac:dyDescent="0.2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1:21" ht="30" x14ac:dyDescent="0.2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1:21" ht="30" x14ac:dyDescent="0.2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1:21" ht="30" x14ac:dyDescent="0.2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1:21" ht="30" x14ac:dyDescent="0.2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1:21" ht="30" x14ac:dyDescent="0.2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1:21" ht="30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1:21" ht="30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1:21" ht="30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1:21" ht="30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1:21" ht="30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1:21" ht="30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1:21" ht="30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1:21" ht="30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1:21" ht="30" x14ac:dyDescent="0.2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1:21" ht="30" x14ac:dyDescent="0.2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1:21" ht="30" x14ac:dyDescent="0.2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1:21" ht="30" x14ac:dyDescent="0.2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1:21" ht="30" x14ac:dyDescent="0.2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1:21" ht="30" x14ac:dyDescent="0.2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1:21" ht="30" x14ac:dyDescent="0.2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1:21" ht="30" x14ac:dyDescent="0.2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1:21" ht="30" x14ac:dyDescent="0.2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1:21" ht="30" x14ac:dyDescent="0.2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1:21" ht="30" x14ac:dyDescent="0.2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1:21" ht="30" x14ac:dyDescent="0.2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1:21" ht="30" x14ac:dyDescent="0.2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1:21" ht="30" x14ac:dyDescent="0.2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1:21" ht="30" x14ac:dyDescent="0.2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1:21" ht="30" x14ac:dyDescent="0.2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1:21" ht="30" x14ac:dyDescent="0.2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1:21" ht="30" x14ac:dyDescent="0.2"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1:21" ht="30" x14ac:dyDescent="0.2"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1:21" ht="30" x14ac:dyDescent="0.2"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1:21" ht="30" x14ac:dyDescent="0.2"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1:21" ht="30" x14ac:dyDescent="0.2"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1:21" ht="30" x14ac:dyDescent="0.2"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1:21" ht="30" x14ac:dyDescent="0.2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1:21" ht="30" x14ac:dyDescent="0.2"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1:21" ht="30" x14ac:dyDescent="0.2"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1:21" ht="30" x14ac:dyDescent="0.2"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1:21" ht="30" x14ac:dyDescent="0.2"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1:21" ht="30" x14ac:dyDescent="0.2"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1:21" ht="30" x14ac:dyDescent="0.2"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1:21" ht="30" x14ac:dyDescent="0.2"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1:21" ht="30" x14ac:dyDescent="0.2"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1:21" ht="30" x14ac:dyDescent="0.2"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1:21" ht="30" x14ac:dyDescent="0.2"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1:21" ht="30" x14ac:dyDescent="0.2"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1:21" ht="30" x14ac:dyDescent="0.2"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1:21" ht="30" x14ac:dyDescent="0.2"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1:21" ht="30" x14ac:dyDescent="0.2"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1:21" ht="30" x14ac:dyDescent="0.2"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1:21" ht="30" x14ac:dyDescent="0.2"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1:21" ht="30" x14ac:dyDescent="0.2"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1:21" ht="30" x14ac:dyDescent="0.2"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1:21" ht="30" x14ac:dyDescent="0.2"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1:21" ht="30" x14ac:dyDescent="0.2"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1:21" ht="30" x14ac:dyDescent="0.2"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1:21" ht="30" x14ac:dyDescent="0.2"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1:21" ht="30" x14ac:dyDescent="0.2"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1:21" ht="30" x14ac:dyDescent="0.2"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1:21" ht="30" x14ac:dyDescent="0.2"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1:21" ht="30" x14ac:dyDescent="0.2"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1:21" ht="30" x14ac:dyDescent="0.2"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1:21" ht="30" x14ac:dyDescent="0.2"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1:21" ht="30" x14ac:dyDescent="0.2"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1:21" ht="30" x14ac:dyDescent="0.2"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1:21" ht="30" x14ac:dyDescent="0.2"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1:21" ht="30" x14ac:dyDescent="0.2"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1:21" ht="30" x14ac:dyDescent="0.2"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1:21" ht="30" x14ac:dyDescent="0.2"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1:21" ht="30" x14ac:dyDescent="0.2"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1:21" ht="30" x14ac:dyDescent="0.2"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1:21" ht="30" x14ac:dyDescent="0.2"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1:21" ht="30" x14ac:dyDescent="0.2"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1:21" ht="30" x14ac:dyDescent="0.2"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1:21" ht="30" x14ac:dyDescent="0.2"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1:21" ht="30" x14ac:dyDescent="0.2"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1:21" ht="30" x14ac:dyDescent="0.2"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1:21" ht="30" x14ac:dyDescent="0.2"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1:21" ht="30" x14ac:dyDescent="0.2"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1:21" ht="30" x14ac:dyDescent="0.2"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1:21" ht="30" x14ac:dyDescent="0.2"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1:21" ht="30" x14ac:dyDescent="0.2"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1:21" ht="30" x14ac:dyDescent="0.2"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1:21" ht="30" x14ac:dyDescent="0.2"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1:21" ht="30" x14ac:dyDescent="0.2"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1:21" ht="30" x14ac:dyDescent="0.2"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1:21" ht="30" x14ac:dyDescent="0.2"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1:21" ht="30" x14ac:dyDescent="0.2"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1:21" ht="30" x14ac:dyDescent="0.2"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1:21" ht="30" x14ac:dyDescent="0.2"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1:21" ht="30" x14ac:dyDescent="0.2"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1:21" ht="30" x14ac:dyDescent="0.2"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1:21" ht="30" x14ac:dyDescent="0.2"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1:21" ht="30" x14ac:dyDescent="0.2"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1:21" ht="30" x14ac:dyDescent="0.2"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1:21" ht="30" x14ac:dyDescent="0.2"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1:21" ht="30" x14ac:dyDescent="0.2"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1:21" ht="30" x14ac:dyDescent="0.2"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1:21" ht="30" x14ac:dyDescent="0.2"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1:21" ht="30" x14ac:dyDescent="0.2"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1:21" ht="30" x14ac:dyDescent="0.2"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1:21" ht="30" x14ac:dyDescent="0.2"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1:21" ht="30" x14ac:dyDescent="0.2"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1:21" ht="30" x14ac:dyDescent="0.2"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1:21" ht="30" x14ac:dyDescent="0.2"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1:21" ht="30" x14ac:dyDescent="0.2"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1:21" ht="30" x14ac:dyDescent="0.2"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1:21" ht="30" x14ac:dyDescent="0.2"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1:21" ht="30" x14ac:dyDescent="0.2"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1:21" ht="30" x14ac:dyDescent="0.2"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1:21" ht="30" x14ac:dyDescent="0.2"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1:21" ht="30" x14ac:dyDescent="0.2"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1:21" ht="30" x14ac:dyDescent="0.2"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1:21" ht="30" x14ac:dyDescent="0.2"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1:21" ht="30" x14ac:dyDescent="0.2"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1:21" ht="30" x14ac:dyDescent="0.2"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1:21" ht="30" x14ac:dyDescent="0.2"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1:21" ht="30" x14ac:dyDescent="0.2"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1:21" ht="30" x14ac:dyDescent="0.2"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1:21" ht="30" x14ac:dyDescent="0.2"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1:21" ht="30" x14ac:dyDescent="0.2"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1:21" ht="30" x14ac:dyDescent="0.2"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1:21" ht="30" x14ac:dyDescent="0.2"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1:21" ht="30" x14ac:dyDescent="0.2"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1:21" ht="30" x14ac:dyDescent="0.2"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1:21" ht="30" x14ac:dyDescent="0.2"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1:21" ht="30" x14ac:dyDescent="0.2"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1:21" ht="30" x14ac:dyDescent="0.2"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1:21" ht="30" x14ac:dyDescent="0.2"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1:21" ht="30" x14ac:dyDescent="0.2"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1:21" ht="30" x14ac:dyDescent="0.2"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1:21" ht="30" x14ac:dyDescent="0.2"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1:21" ht="30" x14ac:dyDescent="0.2"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1:21" ht="30" x14ac:dyDescent="0.2"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1:21" ht="30" x14ac:dyDescent="0.2"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1:21" ht="30" x14ac:dyDescent="0.2"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1:21" ht="30" x14ac:dyDescent="0.2"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1:21" ht="30" x14ac:dyDescent="0.2"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1:21" ht="30" x14ac:dyDescent="0.2"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1:21" ht="30" x14ac:dyDescent="0.2"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1:21" ht="30" x14ac:dyDescent="0.2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1:21" ht="30" x14ac:dyDescent="0.2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1:21" ht="30" x14ac:dyDescent="0.2"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1:21" ht="30" x14ac:dyDescent="0.2"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1:21" ht="30" x14ac:dyDescent="0.2"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1:21" ht="30" x14ac:dyDescent="0.2"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1:21" ht="30" x14ac:dyDescent="0.2"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1:21" ht="30" x14ac:dyDescent="0.2"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1:21" ht="30" x14ac:dyDescent="0.2"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1:21" ht="30" x14ac:dyDescent="0.2"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1:21" ht="30" x14ac:dyDescent="0.2"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1:21" ht="30" x14ac:dyDescent="0.2"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1:21" ht="30" x14ac:dyDescent="0.2"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1:21" ht="30" x14ac:dyDescent="0.2"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1:21" ht="30" x14ac:dyDescent="0.2"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1:21" ht="30" x14ac:dyDescent="0.2"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1:21" ht="30" x14ac:dyDescent="0.2"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1:21" ht="30" x14ac:dyDescent="0.2"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1:21" ht="30" x14ac:dyDescent="0.2"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1:21" ht="30" x14ac:dyDescent="0.2"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1:21" ht="30" x14ac:dyDescent="0.2"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1:21" ht="30" x14ac:dyDescent="0.2"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1:21" ht="30" x14ac:dyDescent="0.2"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1:21" ht="30" x14ac:dyDescent="0.2"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1:21" ht="30" x14ac:dyDescent="0.2"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1:21" ht="30" x14ac:dyDescent="0.2"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1:21" ht="30" x14ac:dyDescent="0.2"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1:21" ht="30" x14ac:dyDescent="0.2"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1:21" ht="30" x14ac:dyDescent="0.2"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1:21" ht="30" x14ac:dyDescent="0.2"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1:21" ht="30" x14ac:dyDescent="0.2"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1:21" ht="30" x14ac:dyDescent="0.2"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1:21" ht="30" x14ac:dyDescent="0.2"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1:21" ht="30" x14ac:dyDescent="0.2"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1:21" ht="30" x14ac:dyDescent="0.2"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1:21" ht="30" x14ac:dyDescent="0.2"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1:21" ht="30" x14ac:dyDescent="0.2"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1:21" ht="30" x14ac:dyDescent="0.2"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1:21" ht="30" x14ac:dyDescent="0.2"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1:21" ht="30" x14ac:dyDescent="0.2"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1:21" ht="30" x14ac:dyDescent="0.2"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1:21" ht="30" x14ac:dyDescent="0.2"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1:21" ht="30" x14ac:dyDescent="0.2"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1:21" ht="30" x14ac:dyDescent="0.2"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1:21" ht="30" x14ac:dyDescent="0.2"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1:21" ht="30" x14ac:dyDescent="0.2"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1:21" ht="30" x14ac:dyDescent="0.2"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1:21" ht="30" x14ac:dyDescent="0.2"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1:21" ht="30" x14ac:dyDescent="0.2"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1:21" ht="30" x14ac:dyDescent="0.2"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1:21" ht="30" x14ac:dyDescent="0.2"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1:21" ht="30" x14ac:dyDescent="0.2"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1:21" ht="30" x14ac:dyDescent="0.2"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1:21" ht="30" x14ac:dyDescent="0.2"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1:21" ht="30" x14ac:dyDescent="0.2"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1:21" ht="30" x14ac:dyDescent="0.2"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1:21" ht="30" x14ac:dyDescent="0.2"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1:21" ht="30" x14ac:dyDescent="0.2"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1:21" ht="30" x14ac:dyDescent="0.2"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1:21" ht="30" x14ac:dyDescent="0.2"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1:21" ht="30" x14ac:dyDescent="0.2"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1:21" ht="30" x14ac:dyDescent="0.2"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1:21" ht="30" x14ac:dyDescent="0.2"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1:21" ht="30" x14ac:dyDescent="0.2"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1:21" ht="30" x14ac:dyDescent="0.2"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1:21" ht="30" x14ac:dyDescent="0.2"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1:21" ht="30" x14ac:dyDescent="0.2"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1:21" ht="30" x14ac:dyDescent="0.2"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1:21" ht="30" x14ac:dyDescent="0.2"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1:21" ht="30" x14ac:dyDescent="0.2"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1:21" ht="30" x14ac:dyDescent="0.2"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1:21" ht="30" x14ac:dyDescent="0.2"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1:21" ht="30" x14ac:dyDescent="0.2"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1:21" ht="30" x14ac:dyDescent="0.2"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1:21" ht="30" x14ac:dyDescent="0.2"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1:21" ht="30" x14ac:dyDescent="0.2"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1:21" ht="30" x14ac:dyDescent="0.2"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1:21" ht="30" x14ac:dyDescent="0.2"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1:21" ht="30" x14ac:dyDescent="0.2"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1:21" ht="30" x14ac:dyDescent="0.2"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1:21" ht="30" x14ac:dyDescent="0.2"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1:21" ht="30" x14ac:dyDescent="0.2"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1:21" ht="30" x14ac:dyDescent="0.2"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1:21" ht="30" x14ac:dyDescent="0.2"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1:21" ht="30" x14ac:dyDescent="0.2"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1:21" ht="30" x14ac:dyDescent="0.2"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1:21" ht="30" x14ac:dyDescent="0.2"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1:21" ht="30" x14ac:dyDescent="0.2"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1:21" ht="30" x14ac:dyDescent="0.2"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1:21" ht="30" x14ac:dyDescent="0.2"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1:21" ht="30" x14ac:dyDescent="0.2"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1:21" ht="30" x14ac:dyDescent="0.2"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1:21" ht="30" x14ac:dyDescent="0.2"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1:21" ht="30" x14ac:dyDescent="0.2"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1:21" ht="30" x14ac:dyDescent="0.2"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1:21" ht="30" x14ac:dyDescent="0.2"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1:21" ht="30" x14ac:dyDescent="0.2"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1:21" ht="30" x14ac:dyDescent="0.2"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1:21" ht="30" x14ac:dyDescent="0.2"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1:21" ht="30" x14ac:dyDescent="0.2"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1:21" ht="30" x14ac:dyDescent="0.2"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1:21" ht="30" x14ac:dyDescent="0.2"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1:21" ht="30" x14ac:dyDescent="0.2"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1:21" ht="30" x14ac:dyDescent="0.2"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1:21" ht="30" x14ac:dyDescent="0.2"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1:21" ht="30" x14ac:dyDescent="0.2"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1:21" ht="30" x14ac:dyDescent="0.2"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1:21" ht="30" x14ac:dyDescent="0.2"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1:21" ht="30" x14ac:dyDescent="0.2"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1:21" ht="30" x14ac:dyDescent="0.2"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1:21" ht="30" x14ac:dyDescent="0.2"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1:21" ht="30" x14ac:dyDescent="0.2"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1:21" ht="30" x14ac:dyDescent="0.2"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1:21" ht="30" x14ac:dyDescent="0.2"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1:21" ht="30" x14ac:dyDescent="0.2"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1:21" ht="30" x14ac:dyDescent="0.2"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1:21" ht="30" x14ac:dyDescent="0.2"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1:21" ht="30" x14ac:dyDescent="0.2"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1:21" ht="30" x14ac:dyDescent="0.2"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1:21" ht="30" x14ac:dyDescent="0.2"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1:21" ht="30" x14ac:dyDescent="0.2"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1:21" ht="30" x14ac:dyDescent="0.2"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1:21" ht="30" x14ac:dyDescent="0.2"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1:21" ht="30" x14ac:dyDescent="0.2"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1:21" ht="30" x14ac:dyDescent="0.2"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1:21" ht="30" x14ac:dyDescent="0.2"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1:21" ht="30" x14ac:dyDescent="0.2"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1:21" ht="30" x14ac:dyDescent="0.2"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1:21" ht="30" x14ac:dyDescent="0.2"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1:21" ht="30" x14ac:dyDescent="0.2"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1:21" ht="30" x14ac:dyDescent="0.2"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1:21" ht="30" x14ac:dyDescent="0.2"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1:21" ht="30" x14ac:dyDescent="0.2"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1:21" ht="30" x14ac:dyDescent="0.2"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1:21" ht="30" x14ac:dyDescent="0.2"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1:21" ht="30" x14ac:dyDescent="0.2"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1:21" ht="30" x14ac:dyDescent="0.2"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1:21" ht="30" x14ac:dyDescent="0.2"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1:21" ht="30" x14ac:dyDescent="0.2"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1:21" ht="30" x14ac:dyDescent="0.2"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1:21" ht="30" x14ac:dyDescent="0.2"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1:21" ht="30" x14ac:dyDescent="0.2"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1:21" ht="30" x14ac:dyDescent="0.2"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1:21" ht="30" x14ac:dyDescent="0.2"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1:21" ht="30" x14ac:dyDescent="0.2"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1:21" ht="30" x14ac:dyDescent="0.2"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1:21" ht="30" x14ac:dyDescent="0.2"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1:21" ht="30" x14ac:dyDescent="0.2"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1:21" ht="30" x14ac:dyDescent="0.2"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1:21" ht="30" x14ac:dyDescent="0.2"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1:21" ht="30" x14ac:dyDescent="0.2"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1:21" ht="30" x14ac:dyDescent="0.2"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1:21" ht="30" x14ac:dyDescent="0.2"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1:21" ht="30" x14ac:dyDescent="0.2"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1:21" ht="30" x14ac:dyDescent="0.2"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1:21" ht="30" x14ac:dyDescent="0.2"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1:21" ht="30" x14ac:dyDescent="0.2"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1:21" ht="30" x14ac:dyDescent="0.2"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1:21" ht="30" x14ac:dyDescent="0.2"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1:21" ht="30" x14ac:dyDescent="0.2"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1:21" ht="30" x14ac:dyDescent="0.2"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1:21" ht="30" x14ac:dyDescent="0.2"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1:21" ht="30" x14ac:dyDescent="0.2"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1:21" ht="30" x14ac:dyDescent="0.2"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1:21" ht="30" x14ac:dyDescent="0.2"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1:21" ht="30" x14ac:dyDescent="0.2"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1:21" ht="30" x14ac:dyDescent="0.2"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1:21" ht="30" x14ac:dyDescent="0.2"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1:21" ht="30" x14ac:dyDescent="0.2"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1:21" ht="30" x14ac:dyDescent="0.2"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1:21" ht="30" x14ac:dyDescent="0.2"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1:21" ht="30" x14ac:dyDescent="0.2"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1:21" ht="30" x14ac:dyDescent="0.2"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1:21" ht="30" x14ac:dyDescent="0.2"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1:21" ht="30" x14ac:dyDescent="0.2"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1:21" ht="30" x14ac:dyDescent="0.2"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1:21" ht="30" x14ac:dyDescent="0.2"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1:21" ht="30" x14ac:dyDescent="0.2"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1:21" ht="30" x14ac:dyDescent="0.2"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1:21" ht="30" x14ac:dyDescent="0.2"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1:21" ht="30" x14ac:dyDescent="0.2"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1:21" ht="30" x14ac:dyDescent="0.2"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1:21" ht="30" x14ac:dyDescent="0.2"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1:21" ht="30" x14ac:dyDescent="0.2"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1:21" ht="30" x14ac:dyDescent="0.2"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1:21" ht="30" x14ac:dyDescent="0.2"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1:21" ht="30" x14ac:dyDescent="0.2"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1:21" ht="30" x14ac:dyDescent="0.2"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1:21" ht="30" x14ac:dyDescent="0.2"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1:21" ht="30" x14ac:dyDescent="0.2"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1:21" ht="30" x14ac:dyDescent="0.2"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1:21" ht="30" x14ac:dyDescent="0.2"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1:21" ht="30" x14ac:dyDescent="0.2"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1:21" ht="30" x14ac:dyDescent="0.2"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1:21" ht="30" x14ac:dyDescent="0.2"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1:21" ht="30" x14ac:dyDescent="0.2"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1:21" ht="30" x14ac:dyDescent="0.2"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1:21" ht="30" x14ac:dyDescent="0.2"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1:21" ht="30" x14ac:dyDescent="0.2"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1:21" ht="30" x14ac:dyDescent="0.2"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1:21" ht="30" x14ac:dyDescent="0.2"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1:21" ht="30" x14ac:dyDescent="0.2"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1:21" ht="30" x14ac:dyDescent="0.2"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1:21" ht="30" x14ac:dyDescent="0.2"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1:21" ht="30" x14ac:dyDescent="0.2"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1:21" ht="30" x14ac:dyDescent="0.2"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1:21" ht="30" x14ac:dyDescent="0.2"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1:21" ht="30" x14ac:dyDescent="0.2"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1:21" ht="30" x14ac:dyDescent="0.2"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1:21" ht="30" x14ac:dyDescent="0.2"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1:21" ht="30" x14ac:dyDescent="0.2"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1:21" ht="30" x14ac:dyDescent="0.2"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1:21" ht="30" x14ac:dyDescent="0.2"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1:21" ht="30" x14ac:dyDescent="0.2"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1:21" ht="30" x14ac:dyDescent="0.2"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1:21" ht="30" x14ac:dyDescent="0.2"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1:21" ht="30" x14ac:dyDescent="0.2"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1:21" ht="30" x14ac:dyDescent="0.2"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1:21" ht="30" x14ac:dyDescent="0.2"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1:21" ht="30" x14ac:dyDescent="0.2"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1:21" ht="30" x14ac:dyDescent="0.2"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1:21" ht="30" x14ac:dyDescent="0.2"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1:21" ht="30" x14ac:dyDescent="0.2"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1:21" ht="30" x14ac:dyDescent="0.2"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1:21" ht="30" x14ac:dyDescent="0.2"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1:21" ht="30" x14ac:dyDescent="0.2"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1:21" ht="30" x14ac:dyDescent="0.2"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1:21" ht="30" x14ac:dyDescent="0.2"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1:21" ht="30" x14ac:dyDescent="0.2"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1:21" ht="30" x14ac:dyDescent="0.2"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1:21" ht="30" x14ac:dyDescent="0.2"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1:21" ht="30" x14ac:dyDescent="0.2"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1:21" ht="30" x14ac:dyDescent="0.2"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1:21" ht="30" x14ac:dyDescent="0.2"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1:21" ht="30" x14ac:dyDescent="0.2"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1:21" ht="30" x14ac:dyDescent="0.2"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1:21" ht="30" x14ac:dyDescent="0.2"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1:21" ht="30" x14ac:dyDescent="0.2"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1:21" ht="30" x14ac:dyDescent="0.2"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1:21" ht="30" x14ac:dyDescent="0.2"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1:21" ht="30" x14ac:dyDescent="0.2"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1:21" ht="30" x14ac:dyDescent="0.2"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1:21" ht="30" x14ac:dyDescent="0.2"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1:21" ht="30" x14ac:dyDescent="0.2"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1:21" ht="30" x14ac:dyDescent="0.2"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1:21" ht="30" x14ac:dyDescent="0.2"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1:21" ht="30" x14ac:dyDescent="0.2"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1:21" ht="30" x14ac:dyDescent="0.2"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1:21" ht="30" x14ac:dyDescent="0.2"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1:21" ht="30" x14ac:dyDescent="0.2"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1:21" ht="30" x14ac:dyDescent="0.2"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1:21" ht="30" x14ac:dyDescent="0.2"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1:21" ht="30" x14ac:dyDescent="0.2"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1:21" ht="30" x14ac:dyDescent="0.2"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1:21" ht="30" x14ac:dyDescent="0.2"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1:21" ht="30" x14ac:dyDescent="0.2"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1:21" ht="30" x14ac:dyDescent="0.2"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1:21" ht="30" x14ac:dyDescent="0.2"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1:21" ht="30" x14ac:dyDescent="0.2"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1:21" ht="30" x14ac:dyDescent="0.2"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1:21" ht="30" x14ac:dyDescent="0.2"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1:21" ht="30" x14ac:dyDescent="0.2"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1:21" ht="30" x14ac:dyDescent="0.2"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1:21" ht="30" x14ac:dyDescent="0.2"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1:21" ht="30" x14ac:dyDescent="0.2"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1:21" ht="30" x14ac:dyDescent="0.2"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1:21" ht="30" x14ac:dyDescent="0.2"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1:21" ht="30" x14ac:dyDescent="0.2"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1:21" ht="30" x14ac:dyDescent="0.2"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1:21" ht="30" x14ac:dyDescent="0.2"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1:21" ht="30" x14ac:dyDescent="0.2"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1:21" ht="30" x14ac:dyDescent="0.2"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1:21" ht="30" x14ac:dyDescent="0.2"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1:21" ht="30" x14ac:dyDescent="0.2"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1:21" ht="30" x14ac:dyDescent="0.2"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1:21" ht="30" x14ac:dyDescent="0.2"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1:21" ht="30" x14ac:dyDescent="0.2"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1:21" ht="30" x14ac:dyDescent="0.2"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1:21" ht="30" x14ac:dyDescent="0.2"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1:21" ht="30" x14ac:dyDescent="0.2"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1:21" ht="30" x14ac:dyDescent="0.2"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1:21" ht="30" x14ac:dyDescent="0.2"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1:21" ht="30" x14ac:dyDescent="0.2"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1:21" ht="30" x14ac:dyDescent="0.2"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1:21" ht="30" x14ac:dyDescent="0.2"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1:21" ht="30" x14ac:dyDescent="0.2"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1:21" ht="30" x14ac:dyDescent="0.2"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1:21" ht="30" x14ac:dyDescent="0.2"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1:21" ht="30" x14ac:dyDescent="0.2"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1:21" ht="30" x14ac:dyDescent="0.2"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1:21" ht="30" x14ac:dyDescent="0.2"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1:21" ht="30" x14ac:dyDescent="0.2"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1:21" ht="30" x14ac:dyDescent="0.2"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1:21" ht="30" x14ac:dyDescent="0.2"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1:21" ht="30" x14ac:dyDescent="0.2"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1:21" ht="30" x14ac:dyDescent="0.2"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1:21" ht="30" x14ac:dyDescent="0.2"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1:21" ht="30" x14ac:dyDescent="0.2"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1:21" ht="30" x14ac:dyDescent="0.2"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1:21" ht="30" x14ac:dyDescent="0.2"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1:21" ht="30" x14ac:dyDescent="0.2"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1:21" ht="30" x14ac:dyDescent="0.2"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1:21" ht="30" x14ac:dyDescent="0.2"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1:21" ht="30" x14ac:dyDescent="0.2"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1:21" ht="30" x14ac:dyDescent="0.2"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1:21" ht="30" x14ac:dyDescent="0.2"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1:21" ht="30" x14ac:dyDescent="0.2"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1:21" ht="30" x14ac:dyDescent="0.2"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1:21" ht="30" x14ac:dyDescent="0.2"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1:21" ht="30" x14ac:dyDescent="0.2"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1:21" ht="30" x14ac:dyDescent="0.2"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1:21" ht="30" x14ac:dyDescent="0.2"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1:21" ht="30" x14ac:dyDescent="0.2"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1:21" ht="30" x14ac:dyDescent="0.2"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1:21" ht="30" x14ac:dyDescent="0.2"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1:21" ht="30" x14ac:dyDescent="0.2"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1:21" ht="30" x14ac:dyDescent="0.2"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1:21" ht="30" x14ac:dyDescent="0.2"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1:21" ht="30" x14ac:dyDescent="0.2"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1:21" ht="30" x14ac:dyDescent="0.2"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1:21" ht="30" x14ac:dyDescent="0.2"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1:21" ht="30" x14ac:dyDescent="0.2"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1:21" ht="30" x14ac:dyDescent="0.2"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1:21" ht="30" x14ac:dyDescent="0.2"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1:21" ht="30" x14ac:dyDescent="0.2"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1:21" ht="30" x14ac:dyDescent="0.2"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1:21" ht="30" x14ac:dyDescent="0.2"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1:21" ht="30" x14ac:dyDescent="0.2"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1:21" ht="30" x14ac:dyDescent="0.2"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1:21" ht="30" x14ac:dyDescent="0.2"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1:21" ht="30" x14ac:dyDescent="0.2"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1:21" ht="30" x14ac:dyDescent="0.2"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1:21" ht="30" x14ac:dyDescent="0.2"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1:21" ht="30" x14ac:dyDescent="0.2"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1:21" ht="30" x14ac:dyDescent="0.2"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1:21" ht="30" x14ac:dyDescent="0.2"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1:21" ht="30" x14ac:dyDescent="0.2"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1:21" ht="30" x14ac:dyDescent="0.2"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1:21" ht="30" x14ac:dyDescent="0.2"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1:21" ht="30" x14ac:dyDescent="0.2"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1:21" ht="30" x14ac:dyDescent="0.2"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1:21" ht="30" x14ac:dyDescent="0.2"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1:21" ht="30" x14ac:dyDescent="0.2"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1:21" ht="30" x14ac:dyDescent="0.2"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1:21" ht="30" x14ac:dyDescent="0.2"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1:21" ht="30" x14ac:dyDescent="0.2"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1:21" ht="30" x14ac:dyDescent="0.2"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1:21" ht="30" x14ac:dyDescent="0.2"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1:21" ht="30" x14ac:dyDescent="0.2"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1:21" ht="30" x14ac:dyDescent="0.2"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1:21" ht="30" x14ac:dyDescent="0.2"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1:21" ht="30" x14ac:dyDescent="0.2"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1:21" ht="30" x14ac:dyDescent="0.2"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1:21" ht="30" x14ac:dyDescent="0.2"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1:21" ht="30" x14ac:dyDescent="0.2"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1:21" ht="30" x14ac:dyDescent="0.2"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1:21" ht="30" x14ac:dyDescent="0.2"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1:21" ht="30" x14ac:dyDescent="0.2"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1:21" ht="30" x14ac:dyDescent="0.2"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1:21" ht="30" x14ac:dyDescent="0.2"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1:21" ht="30" x14ac:dyDescent="0.2"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1:21" ht="30" x14ac:dyDescent="0.2"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1:21" ht="30" x14ac:dyDescent="0.2"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1:21" ht="30" x14ac:dyDescent="0.2"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1:21" ht="30" x14ac:dyDescent="0.2"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1:21" ht="30" x14ac:dyDescent="0.2"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1:21" ht="30" x14ac:dyDescent="0.2"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1:21" ht="30" x14ac:dyDescent="0.2"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1:21" ht="30" x14ac:dyDescent="0.2"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1:21" ht="30" x14ac:dyDescent="0.2"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1:21" ht="30" x14ac:dyDescent="0.2"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1:21" ht="30" x14ac:dyDescent="0.2"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1:21" ht="30" x14ac:dyDescent="0.2"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1:21" ht="30" x14ac:dyDescent="0.2"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1:21" ht="30" x14ac:dyDescent="0.2"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1:21" ht="30" x14ac:dyDescent="0.2"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1:21" ht="30" x14ac:dyDescent="0.2"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1:21" ht="30" x14ac:dyDescent="0.2"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1:21" ht="30" x14ac:dyDescent="0.2"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1:21" ht="30" x14ac:dyDescent="0.2"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1:21" ht="30" x14ac:dyDescent="0.2"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1:21" ht="30" x14ac:dyDescent="0.2"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1:21" ht="30" x14ac:dyDescent="0.2"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1:21" ht="30" x14ac:dyDescent="0.2"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1:21" ht="30" x14ac:dyDescent="0.2"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1:21" ht="30" x14ac:dyDescent="0.2"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1:21" ht="30" x14ac:dyDescent="0.2"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1:21" ht="30" x14ac:dyDescent="0.2"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1:21" ht="30" x14ac:dyDescent="0.2"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1:21" ht="30" x14ac:dyDescent="0.2"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1:21" ht="30" x14ac:dyDescent="0.2"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1:21" ht="30" x14ac:dyDescent="0.2"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1:21" ht="30" x14ac:dyDescent="0.2"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1:21" ht="30" x14ac:dyDescent="0.2"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1:21" ht="30" x14ac:dyDescent="0.2"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1:21" ht="30" x14ac:dyDescent="0.2"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1:21" ht="30" x14ac:dyDescent="0.2"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1:21" ht="30" x14ac:dyDescent="0.2"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1:21" ht="30" x14ac:dyDescent="0.2"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1:21" ht="30" x14ac:dyDescent="0.2"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1:21" ht="30" x14ac:dyDescent="0.2"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1:21" ht="30" x14ac:dyDescent="0.2"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1:21" ht="30" x14ac:dyDescent="0.2"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1:21" ht="30" x14ac:dyDescent="0.2"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1:21" ht="30" x14ac:dyDescent="0.2"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1:21" ht="30" x14ac:dyDescent="0.2"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1:21" ht="30" x14ac:dyDescent="0.2"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1:21" ht="30" x14ac:dyDescent="0.2"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1:21" ht="30" x14ac:dyDescent="0.2"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1:21" ht="30" x14ac:dyDescent="0.2"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1:21" ht="30" x14ac:dyDescent="0.2"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1:21" ht="30" x14ac:dyDescent="0.2"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1:21" ht="30" x14ac:dyDescent="0.2"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1:21" ht="30" x14ac:dyDescent="0.2"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1:21" ht="30" x14ac:dyDescent="0.2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1:21" ht="30" x14ac:dyDescent="0.2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1:21" ht="30" x14ac:dyDescent="0.2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1:21" ht="30" x14ac:dyDescent="0.2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1:21" ht="30" x14ac:dyDescent="0.2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1:21" ht="30" x14ac:dyDescent="0.2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1:21" ht="30" x14ac:dyDescent="0.2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1:21" ht="30" x14ac:dyDescent="0.2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1:21" ht="30" x14ac:dyDescent="0.2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1:21" ht="30" x14ac:dyDescent="0.2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1:21" ht="30" x14ac:dyDescent="0.2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1:21" ht="30" x14ac:dyDescent="0.2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1:21" ht="30" x14ac:dyDescent="0.2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1:21" ht="30" x14ac:dyDescent="0.2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1:21" ht="30" x14ac:dyDescent="0.2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1:21" ht="30" x14ac:dyDescent="0.2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1:21" ht="30" x14ac:dyDescent="0.2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1:21" ht="30" x14ac:dyDescent="0.2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1:21" ht="30" x14ac:dyDescent="0.2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1:21" ht="30" x14ac:dyDescent="0.2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1:21" ht="30" x14ac:dyDescent="0.2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1:21" ht="30" x14ac:dyDescent="0.2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1:21" ht="30" x14ac:dyDescent="0.2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1:21" ht="30" x14ac:dyDescent="0.2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1:21" ht="30" x14ac:dyDescent="0.2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1:21" ht="30" x14ac:dyDescent="0.2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1:21" ht="30" x14ac:dyDescent="0.2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1:21" ht="30" x14ac:dyDescent="0.2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1:21" ht="30" x14ac:dyDescent="0.2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1:21" ht="30" x14ac:dyDescent="0.2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1:21" ht="30" x14ac:dyDescent="0.2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1:21" ht="30" x14ac:dyDescent="0.2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1:21" ht="30" x14ac:dyDescent="0.2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1:21" ht="30" x14ac:dyDescent="0.2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1:21" ht="30" x14ac:dyDescent="0.2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1:21" ht="30" x14ac:dyDescent="0.2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1:21" ht="30" x14ac:dyDescent="0.2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1:21" ht="30" x14ac:dyDescent="0.2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1:21" ht="30" x14ac:dyDescent="0.2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1:21" ht="30" x14ac:dyDescent="0.2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1:21" ht="30" x14ac:dyDescent="0.2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1:21" ht="30" x14ac:dyDescent="0.2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1:21" ht="30" x14ac:dyDescent="0.2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1:21" ht="30" x14ac:dyDescent="0.2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1:21" ht="30" x14ac:dyDescent="0.2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1:21" ht="30" x14ac:dyDescent="0.2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1:21" ht="30" x14ac:dyDescent="0.2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1:21" ht="30" x14ac:dyDescent="0.2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1:21" ht="30" x14ac:dyDescent="0.2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1:21" ht="30" x14ac:dyDescent="0.2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1:21" ht="30" x14ac:dyDescent="0.2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1:21" ht="30" x14ac:dyDescent="0.2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1:21" ht="30" x14ac:dyDescent="0.2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1:21" ht="30" x14ac:dyDescent="0.2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1:21" ht="30" x14ac:dyDescent="0.2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1:21" ht="30" x14ac:dyDescent="0.2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1:21" ht="30" x14ac:dyDescent="0.2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1:21" ht="30" x14ac:dyDescent="0.2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1:21" ht="30" x14ac:dyDescent="0.2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1:21" ht="30" x14ac:dyDescent="0.2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1:21" ht="30" x14ac:dyDescent="0.2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1:21" ht="30" x14ac:dyDescent="0.2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1:21" ht="30" x14ac:dyDescent="0.2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1:21" ht="30" x14ac:dyDescent="0.2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1:21" ht="30" x14ac:dyDescent="0.2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1:21" ht="30" x14ac:dyDescent="0.2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1:21" ht="30" x14ac:dyDescent="0.2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1:21" ht="30" x14ac:dyDescent="0.2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1:21" ht="30" x14ac:dyDescent="0.2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1:21" ht="30" x14ac:dyDescent="0.2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1:21" ht="30" x14ac:dyDescent="0.2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1:21" ht="30" x14ac:dyDescent="0.2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1:21" ht="30" x14ac:dyDescent="0.2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1:21" ht="30" x14ac:dyDescent="0.2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1:21" ht="30" x14ac:dyDescent="0.2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1:21" ht="30" x14ac:dyDescent="0.2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1:21" ht="30" x14ac:dyDescent="0.2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1:21" ht="30" x14ac:dyDescent="0.2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1:21" ht="30" x14ac:dyDescent="0.2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1:21" ht="30" x14ac:dyDescent="0.2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1:21" ht="30" x14ac:dyDescent="0.2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1:21" ht="30" x14ac:dyDescent="0.2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1:21" ht="30" x14ac:dyDescent="0.2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1:21" ht="30" x14ac:dyDescent="0.2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1:21" ht="30" x14ac:dyDescent="0.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1:21" ht="30" x14ac:dyDescent="0.2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1:21" ht="30" x14ac:dyDescent="0.2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1:21" ht="30" x14ac:dyDescent="0.2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1:21" ht="30" x14ac:dyDescent="0.2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1:21" ht="30" x14ac:dyDescent="0.2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1:21" ht="30" x14ac:dyDescent="0.2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1:21" ht="30" x14ac:dyDescent="0.2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1:21" ht="30" x14ac:dyDescent="0.2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1:21" ht="30" x14ac:dyDescent="0.2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1:21" ht="30" x14ac:dyDescent="0.2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1:21" ht="30" x14ac:dyDescent="0.2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1:21" ht="30" x14ac:dyDescent="0.2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1:21" ht="30" x14ac:dyDescent="0.2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1:21" ht="30" x14ac:dyDescent="0.2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1:21" ht="30" x14ac:dyDescent="0.2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1:21" ht="30" x14ac:dyDescent="0.2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1:21" ht="30" x14ac:dyDescent="0.2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1:21" ht="30" x14ac:dyDescent="0.2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1:21" ht="30" x14ac:dyDescent="0.2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1:21" ht="30" x14ac:dyDescent="0.2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1:21" ht="30" x14ac:dyDescent="0.2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1:21" ht="30" x14ac:dyDescent="0.2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1:21" ht="30" x14ac:dyDescent="0.2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1:21" ht="30" x14ac:dyDescent="0.2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1:21" ht="30" x14ac:dyDescent="0.2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1:21" ht="30" x14ac:dyDescent="0.2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1:21" ht="30" x14ac:dyDescent="0.2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1:21" ht="30" x14ac:dyDescent="0.2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1:21" ht="30" x14ac:dyDescent="0.2"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1:21" ht="30" x14ac:dyDescent="0.2"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1:21" ht="30" x14ac:dyDescent="0.2"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1:21" ht="30" x14ac:dyDescent="0.2"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1:21" ht="30" x14ac:dyDescent="0.2"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1:21" ht="30" x14ac:dyDescent="0.2"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1:21" ht="30" x14ac:dyDescent="0.2"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1:21" ht="30" x14ac:dyDescent="0.2"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1:21" ht="30" x14ac:dyDescent="0.2"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1:21" ht="30" x14ac:dyDescent="0.2"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1:21" ht="30" x14ac:dyDescent="0.2"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1:21" ht="30" x14ac:dyDescent="0.2"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1:21" ht="30" x14ac:dyDescent="0.2"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1:21" ht="30" x14ac:dyDescent="0.2"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1:21" ht="30" x14ac:dyDescent="0.2"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1:21" ht="30" x14ac:dyDescent="0.2"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1:21" ht="30" x14ac:dyDescent="0.2"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1:21" ht="30" x14ac:dyDescent="0.2"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1:21" ht="30" x14ac:dyDescent="0.2"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1:21" ht="30" x14ac:dyDescent="0.2"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1:21" ht="30" x14ac:dyDescent="0.2"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1:21" ht="30" x14ac:dyDescent="0.2"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1:21" ht="30" x14ac:dyDescent="0.2"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1:21" ht="30" x14ac:dyDescent="0.2"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1:21" ht="30" x14ac:dyDescent="0.2"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1:21" ht="30" x14ac:dyDescent="0.2"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1:21" ht="30" x14ac:dyDescent="0.2"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1:21" ht="30" x14ac:dyDescent="0.2"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1:21" ht="30" x14ac:dyDescent="0.2"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1:21" ht="30" x14ac:dyDescent="0.2"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1:21" ht="30" x14ac:dyDescent="0.2"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1:21" ht="30" x14ac:dyDescent="0.2"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1:21" ht="30" x14ac:dyDescent="0.2"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1:21" ht="30" x14ac:dyDescent="0.2"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1:21" ht="30" x14ac:dyDescent="0.2"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1:21" ht="30" x14ac:dyDescent="0.2"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1:21" ht="30" x14ac:dyDescent="0.2"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1:21" ht="30" x14ac:dyDescent="0.2"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1:21" ht="30" x14ac:dyDescent="0.2"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1:21" ht="30" x14ac:dyDescent="0.2"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1:21" ht="30" x14ac:dyDescent="0.2"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1:21" ht="30" x14ac:dyDescent="0.2"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1:21" ht="30" x14ac:dyDescent="0.2"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1:21" ht="30" x14ac:dyDescent="0.2"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1:21" ht="30" x14ac:dyDescent="0.2"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1:21" ht="30" x14ac:dyDescent="0.2"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1:21" ht="30" x14ac:dyDescent="0.2"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1:21" ht="30" x14ac:dyDescent="0.2"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1:21" ht="30" x14ac:dyDescent="0.2"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1:21" ht="30" x14ac:dyDescent="0.2"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1:21" ht="30" x14ac:dyDescent="0.2"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1:21" ht="30" x14ac:dyDescent="0.2"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1:21" ht="30" x14ac:dyDescent="0.2"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1:21" ht="30" x14ac:dyDescent="0.2"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1:21" ht="30" x14ac:dyDescent="0.2"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1:21" ht="30" x14ac:dyDescent="0.2"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1:21" ht="30" x14ac:dyDescent="0.2"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1:21" ht="30" x14ac:dyDescent="0.2"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1:21" ht="30" x14ac:dyDescent="0.2"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1:21" ht="30" x14ac:dyDescent="0.2"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1:21" ht="30" x14ac:dyDescent="0.2"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1:21" ht="30" x14ac:dyDescent="0.2"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1:21" ht="30" x14ac:dyDescent="0.2"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1:21" ht="30" x14ac:dyDescent="0.2"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1:21" ht="30" x14ac:dyDescent="0.2"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1:21" ht="30" x14ac:dyDescent="0.2"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1:21" ht="30" x14ac:dyDescent="0.2"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1:21" ht="30" x14ac:dyDescent="0.2"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1:21" ht="30" x14ac:dyDescent="0.2"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1:21" ht="30" x14ac:dyDescent="0.2"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1:21" ht="30" x14ac:dyDescent="0.2"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1:21" ht="30" x14ac:dyDescent="0.2"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1:21" ht="30" x14ac:dyDescent="0.2"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1:21" ht="30" x14ac:dyDescent="0.2"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1:21" ht="30" x14ac:dyDescent="0.2"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1:21" ht="30" x14ac:dyDescent="0.2"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1:21" ht="30" x14ac:dyDescent="0.2"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1:21" ht="30" x14ac:dyDescent="0.2"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1:21" ht="30" x14ac:dyDescent="0.2"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1:21" ht="30" x14ac:dyDescent="0.2"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1:21" ht="30" x14ac:dyDescent="0.2"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1:21" ht="30" x14ac:dyDescent="0.2"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1:21" ht="30" x14ac:dyDescent="0.2"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1:21" ht="30" x14ac:dyDescent="0.2"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1:21" ht="30" x14ac:dyDescent="0.2"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1:21" ht="30" x14ac:dyDescent="0.2"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1:21" ht="30" x14ac:dyDescent="0.2"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1:21" ht="30" x14ac:dyDescent="0.2"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1:21" ht="30" x14ac:dyDescent="0.2"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1:21" ht="30" x14ac:dyDescent="0.2"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1:21" ht="30" x14ac:dyDescent="0.2"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1:21" ht="30" x14ac:dyDescent="0.2"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1:21" ht="30" x14ac:dyDescent="0.2"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1:21" ht="30" x14ac:dyDescent="0.2"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1:21" ht="30" x14ac:dyDescent="0.2"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1:21" ht="30" x14ac:dyDescent="0.2"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1:21" ht="30" x14ac:dyDescent="0.2"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1:21" ht="30" x14ac:dyDescent="0.2"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1:21" ht="30" x14ac:dyDescent="0.2"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1:21" ht="30" x14ac:dyDescent="0.2"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1:21" ht="30" x14ac:dyDescent="0.2"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1:21" ht="30" x14ac:dyDescent="0.2"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1:21" ht="30" x14ac:dyDescent="0.2"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1:21" ht="30" x14ac:dyDescent="0.2"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1:21" ht="30" x14ac:dyDescent="0.2"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1:21" ht="30" x14ac:dyDescent="0.2"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1:21" ht="30" x14ac:dyDescent="0.2"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1:21" ht="30" x14ac:dyDescent="0.2"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1:21" ht="30" x14ac:dyDescent="0.2"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1:21" ht="30" x14ac:dyDescent="0.2"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1:21" ht="30" x14ac:dyDescent="0.2"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1:21" ht="30" x14ac:dyDescent="0.2"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1:21" ht="30" x14ac:dyDescent="0.2"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1:21" ht="30" x14ac:dyDescent="0.2"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1:21" ht="30" x14ac:dyDescent="0.2"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1:21" ht="30" x14ac:dyDescent="0.2"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1:21" ht="30" x14ac:dyDescent="0.2"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1:21" ht="30" x14ac:dyDescent="0.2"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1:21" ht="30" x14ac:dyDescent="0.2"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1:21" ht="30" x14ac:dyDescent="0.2"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1:21" ht="30" x14ac:dyDescent="0.2"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1:21" ht="30" x14ac:dyDescent="0.2"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1:21" ht="30" x14ac:dyDescent="0.2"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1:21" ht="30" x14ac:dyDescent="0.2"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1:21" ht="30" x14ac:dyDescent="0.2"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1:21" ht="30" x14ac:dyDescent="0.2"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1:21" ht="30" x14ac:dyDescent="0.2"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1:21" ht="30" x14ac:dyDescent="0.2"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1:21" ht="30" x14ac:dyDescent="0.2"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1:21" ht="30" x14ac:dyDescent="0.2"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1:21" ht="30" x14ac:dyDescent="0.2"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1:21" ht="30" x14ac:dyDescent="0.2"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1:21" ht="30" x14ac:dyDescent="0.2"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1:21" ht="30" x14ac:dyDescent="0.2"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1:21" ht="30" x14ac:dyDescent="0.2"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1:21" ht="30" x14ac:dyDescent="0.2"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1:21" ht="30" x14ac:dyDescent="0.2"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1:21" ht="30" x14ac:dyDescent="0.2"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1:21" ht="30" x14ac:dyDescent="0.2"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1:21" ht="30" x14ac:dyDescent="0.2"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1:21" ht="30" x14ac:dyDescent="0.2"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1:21" ht="30" x14ac:dyDescent="0.2"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1:21" ht="30" x14ac:dyDescent="0.2"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1:21" ht="30" x14ac:dyDescent="0.2"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1:21" ht="30" x14ac:dyDescent="0.2"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1:21" ht="30" x14ac:dyDescent="0.2"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1:21" ht="30" x14ac:dyDescent="0.2"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1:21" ht="30" x14ac:dyDescent="0.2"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1:21" ht="30" x14ac:dyDescent="0.2"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1:21" ht="30" x14ac:dyDescent="0.2"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1:21" ht="30" x14ac:dyDescent="0.2"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1:21" ht="30" x14ac:dyDescent="0.2"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1:21" ht="30" x14ac:dyDescent="0.2"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1:21" ht="30" x14ac:dyDescent="0.2"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1:21" ht="30" x14ac:dyDescent="0.2"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1:21" ht="30" x14ac:dyDescent="0.2"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1:21" ht="30" x14ac:dyDescent="0.2"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1:21" ht="30" x14ac:dyDescent="0.2"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1:21" ht="30" x14ac:dyDescent="0.2"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1:21" ht="30" x14ac:dyDescent="0.2"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1:21" ht="30" x14ac:dyDescent="0.2"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1:21" ht="30" x14ac:dyDescent="0.2"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1:21" ht="30" x14ac:dyDescent="0.2"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1:21" ht="30" x14ac:dyDescent="0.2"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1:21" ht="30" x14ac:dyDescent="0.2"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1:21" ht="30" x14ac:dyDescent="0.2"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1:21" ht="30" x14ac:dyDescent="0.2"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1:21" ht="30" x14ac:dyDescent="0.2"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1:21" ht="30" x14ac:dyDescent="0.2"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1:21" ht="30" x14ac:dyDescent="0.2"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1:21" ht="30" x14ac:dyDescent="0.2"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1:21" ht="30" x14ac:dyDescent="0.2"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1:21" ht="30" x14ac:dyDescent="0.2"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1:21" ht="30" x14ac:dyDescent="0.2"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1:21" ht="30" x14ac:dyDescent="0.2"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1:21" ht="30" x14ac:dyDescent="0.2"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1:21" ht="30" x14ac:dyDescent="0.2"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1:21" ht="30" x14ac:dyDescent="0.2"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1:21" ht="30" x14ac:dyDescent="0.2"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1:21" ht="30" x14ac:dyDescent="0.2"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1:21" ht="30" x14ac:dyDescent="0.2"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1:21" ht="30" x14ac:dyDescent="0.2"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1:21" ht="30" x14ac:dyDescent="0.2"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1:21" ht="30" x14ac:dyDescent="0.2"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1:21" ht="30" x14ac:dyDescent="0.2"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1:21" ht="30" x14ac:dyDescent="0.2"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1:21" ht="30" x14ac:dyDescent="0.2"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1:21" ht="30" x14ac:dyDescent="0.2"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1:21" ht="30" x14ac:dyDescent="0.2"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1:21" ht="30" x14ac:dyDescent="0.2"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1:21" ht="30" x14ac:dyDescent="0.2"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1:21" ht="30" x14ac:dyDescent="0.2"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1:21" ht="30" x14ac:dyDescent="0.2"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1:21" ht="30" x14ac:dyDescent="0.2"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1:21" ht="30" x14ac:dyDescent="0.2"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1:21" ht="30" x14ac:dyDescent="0.2"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1:21" ht="30" x14ac:dyDescent="0.2"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1:21" ht="30" x14ac:dyDescent="0.2"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1:21" ht="30" x14ac:dyDescent="0.2"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1:21" ht="30" x14ac:dyDescent="0.2"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1:21" ht="30" x14ac:dyDescent="0.2"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1:21" ht="30" x14ac:dyDescent="0.2"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1:21" ht="30" x14ac:dyDescent="0.2"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spans="11:21" ht="30" x14ac:dyDescent="0.2"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spans="11:21" ht="30" x14ac:dyDescent="0.2"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spans="11:21" ht="30" x14ac:dyDescent="0.2"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spans="11:21" ht="30" x14ac:dyDescent="0.2"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spans="11:21" ht="30" x14ac:dyDescent="0.2"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spans="11:21" ht="30" x14ac:dyDescent="0.2"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spans="11:21" ht="30" x14ac:dyDescent="0.2"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spans="11:21" ht="30" x14ac:dyDescent="0.2"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spans="11:21" ht="30" x14ac:dyDescent="0.2"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spans="11:21" ht="30" x14ac:dyDescent="0.2"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 spans="11:21" ht="30" x14ac:dyDescent="0.2"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spans="11:21" ht="30" x14ac:dyDescent="0.2"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spans="11:21" ht="30" x14ac:dyDescent="0.2"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spans="11:21" ht="30" x14ac:dyDescent="0.2"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 spans="11:21" ht="30" x14ac:dyDescent="0.2"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 spans="11:21" ht="30" x14ac:dyDescent="0.2"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 spans="11:21" ht="30" x14ac:dyDescent="0.2"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 spans="11:21" ht="30" x14ac:dyDescent="0.2"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 spans="11:21" ht="30" x14ac:dyDescent="0.2"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 spans="11:21" ht="30" x14ac:dyDescent="0.2"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 spans="11:21" ht="30" x14ac:dyDescent="0.2"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 spans="11:21" ht="30" x14ac:dyDescent="0.2"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 spans="11:21" ht="30" x14ac:dyDescent="0.2"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 spans="11:21" ht="30" x14ac:dyDescent="0.2"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 spans="11:21" ht="30" x14ac:dyDescent="0.2"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 spans="11:21" ht="30" x14ac:dyDescent="0.2"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 spans="11:21" ht="30" x14ac:dyDescent="0.2"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 spans="11:21" ht="30" x14ac:dyDescent="0.2"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 spans="11:21" ht="30" x14ac:dyDescent="0.2"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 spans="11:21" ht="30" x14ac:dyDescent="0.2"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 spans="11:21" ht="30" x14ac:dyDescent="0.2"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 spans="11:21" ht="30" x14ac:dyDescent="0.2"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 spans="11:21" ht="30" x14ac:dyDescent="0.2"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 spans="11:21" ht="30" x14ac:dyDescent="0.2"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 spans="11:21" ht="30" x14ac:dyDescent="0.2"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 spans="11:21" ht="30" x14ac:dyDescent="0.2"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 spans="11:21" ht="30" x14ac:dyDescent="0.2"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 spans="11:21" ht="30" x14ac:dyDescent="0.2"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 spans="11:21" ht="30" x14ac:dyDescent="0.2"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 spans="11:21" ht="30" x14ac:dyDescent="0.2"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 spans="11:21" ht="30" x14ac:dyDescent="0.2"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 spans="11:21" ht="30" x14ac:dyDescent="0.2"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 spans="11:21" ht="30" x14ac:dyDescent="0.2"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 spans="11:21" ht="30" x14ac:dyDescent="0.2"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 spans="11:21" ht="30" x14ac:dyDescent="0.2"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 spans="11:21" ht="30" x14ac:dyDescent="0.2"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 spans="11:21" ht="30" x14ac:dyDescent="0.2"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 spans="11:21" ht="30" x14ac:dyDescent="0.2"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 spans="11:21" ht="30" x14ac:dyDescent="0.2"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 spans="11:21" ht="30" x14ac:dyDescent="0.2"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 spans="11:21" ht="30" x14ac:dyDescent="0.2"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 spans="11:21" ht="30" x14ac:dyDescent="0.2"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 spans="11:21" ht="30" x14ac:dyDescent="0.2"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 spans="11:21" ht="30" x14ac:dyDescent="0.2"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 spans="11:21" ht="30" x14ac:dyDescent="0.2"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 spans="11:21" ht="30" x14ac:dyDescent="0.2"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 spans="11:21" ht="30" x14ac:dyDescent="0.2"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 spans="11:21" ht="30" x14ac:dyDescent="0.2"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 spans="11:21" ht="30" x14ac:dyDescent="0.2"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 spans="11:21" ht="30" x14ac:dyDescent="0.2"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</row>
    <row r="1064" spans="11:21" ht="30" x14ac:dyDescent="0.2"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</row>
    <row r="1065" spans="11:21" ht="30" x14ac:dyDescent="0.2"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 spans="11:21" ht="30" x14ac:dyDescent="0.2"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 spans="11:21" ht="30" x14ac:dyDescent="0.2"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</row>
    <row r="1068" spans="11:21" ht="30" x14ac:dyDescent="0.2"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 spans="11:21" ht="30" x14ac:dyDescent="0.2"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</row>
    <row r="1070" spans="11:21" ht="30" x14ac:dyDescent="0.2"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 spans="11:21" ht="30" x14ac:dyDescent="0.2"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 spans="11:21" ht="30" x14ac:dyDescent="0.2"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 spans="11:21" ht="30" x14ac:dyDescent="0.2"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</row>
    <row r="1074" spans="11:21" ht="30" x14ac:dyDescent="0.2"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 spans="11:21" ht="30" x14ac:dyDescent="0.2"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 spans="11:21" ht="30" x14ac:dyDescent="0.2"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</row>
    <row r="1077" spans="11:21" ht="30" x14ac:dyDescent="0.2"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 spans="11:21" ht="30" x14ac:dyDescent="0.2"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 spans="11:21" ht="30" x14ac:dyDescent="0.2"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</row>
    <row r="1080" spans="11:21" ht="30" x14ac:dyDescent="0.2"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 spans="11:21" ht="30" x14ac:dyDescent="0.2"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</row>
    <row r="1082" spans="11:21" ht="30" x14ac:dyDescent="0.2"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 spans="11:21" ht="30" x14ac:dyDescent="0.2"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 spans="11:21" ht="30" x14ac:dyDescent="0.2"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</row>
    <row r="1085" spans="11:21" ht="30" x14ac:dyDescent="0.2"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 spans="11:21" ht="30" x14ac:dyDescent="0.2"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 spans="11:21" ht="30" x14ac:dyDescent="0.2"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</row>
    <row r="1088" spans="11:21" ht="30" x14ac:dyDescent="0.2"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</row>
    <row r="1089" spans="11:21" ht="30" x14ac:dyDescent="0.2"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 spans="11:21" ht="30" x14ac:dyDescent="0.2"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 spans="11:21" ht="30" x14ac:dyDescent="0.2"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 spans="11:21" ht="30" x14ac:dyDescent="0.2"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 spans="11:21" ht="30" x14ac:dyDescent="0.2"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 spans="11:21" ht="30" x14ac:dyDescent="0.2"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</row>
    <row r="1095" spans="11:21" ht="30" x14ac:dyDescent="0.2"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 spans="11:21" ht="30" x14ac:dyDescent="0.2"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</row>
    <row r="1097" spans="11:21" ht="30" x14ac:dyDescent="0.2"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 spans="11:21" ht="30" x14ac:dyDescent="0.2"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 spans="11:21" ht="30" x14ac:dyDescent="0.2"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 spans="11:21" ht="30" x14ac:dyDescent="0.2"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 spans="11:21" ht="30" x14ac:dyDescent="0.2"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 spans="11:21" ht="30" x14ac:dyDescent="0.2"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 spans="11:21" ht="30" x14ac:dyDescent="0.2"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</row>
    <row r="1104" spans="11:21" ht="30" x14ac:dyDescent="0.2"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 spans="11:21" ht="30" x14ac:dyDescent="0.2"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</row>
    <row r="1106" spans="11:21" ht="30" x14ac:dyDescent="0.2"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 spans="11:21" ht="30" x14ac:dyDescent="0.2"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 spans="11:21" ht="30" x14ac:dyDescent="0.2"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</row>
    <row r="1109" spans="11:21" ht="30" x14ac:dyDescent="0.2"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 spans="11:21" ht="30" x14ac:dyDescent="0.2"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 spans="11:21" ht="30" x14ac:dyDescent="0.2"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</row>
    <row r="1112" spans="11:21" ht="30" x14ac:dyDescent="0.2"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 spans="11:21" ht="30" x14ac:dyDescent="0.2"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 spans="11:21" ht="30" x14ac:dyDescent="0.2"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</row>
    <row r="1115" spans="11:21" ht="30" x14ac:dyDescent="0.2"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 spans="11:21" ht="30" x14ac:dyDescent="0.2"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 spans="11:21" ht="30" x14ac:dyDescent="0.2"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</row>
    <row r="1118" spans="11:21" ht="30" x14ac:dyDescent="0.2"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 spans="11:21" ht="30" x14ac:dyDescent="0.2"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 spans="11:21" ht="30" x14ac:dyDescent="0.2"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 spans="11:21" ht="30" x14ac:dyDescent="0.2"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</row>
    <row r="1122" spans="11:21" ht="30" x14ac:dyDescent="0.2"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 spans="11:21" ht="30" x14ac:dyDescent="0.2"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</row>
    <row r="1124" spans="11:21" ht="30" x14ac:dyDescent="0.2"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 spans="11:21" ht="30" x14ac:dyDescent="0.2"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 spans="11:21" ht="30" x14ac:dyDescent="0.2"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 spans="11:21" ht="30" x14ac:dyDescent="0.2"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 spans="11:21" ht="30" x14ac:dyDescent="0.2"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 spans="11:21" ht="30" x14ac:dyDescent="0.2"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 spans="11:21" ht="30" x14ac:dyDescent="0.2"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 spans="11:21" ht="30" x14ac:dyDescent="0.2"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 spans="11:21" ht="30" x14ac:dyDescent="0.2"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 spans="11:21" ht="30" x14ac:dyDescent="0.2"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</row>
    <row r="1134" spans="11:21" ht="30" x14ac:dyDescent="0.2"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 spans="11:21" ht="30" x14ac:dyDescent="0.2"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 spans="11:21" ht="30" x14ac:dyDescent="0.2"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</row>
    <row r="1137" spans="11:21" ht="30" x14ac:dyDescent="0.2"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 spans="11:21" ht="30" x14ac:dyDescent="0.2"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 spans="11:21" ht="30" x14ac:dyDescent="0.2"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 spans="11:21" ht="30" x14ac:dyDescent="0.2"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 spans="11:21" ht="30" x14ac:dyDescent="0.2"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</row>
    <row r="1142" spans="11:21" ht="30" x14ac:dyDescent="0.2"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 spans="11:21" ht="30" x14ac:dyDescent="0.2"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 spans="11:21" ht="30" x14ac:dyDescent="0.2"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</row>
    <row r="1145" spans="11:21" ht="30" x14ac:dyDescent="0.2"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 spans="11:21" ht="30" x14ac:dyDescent="0.2"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 spans="11:21" ht="30" x14ac:dyDescent="0.2"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 spans="11:21" ht="30" x14ac:dyDescent="0.2"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</row>
    <row r="1149" spans="11:21" ht="30" x14ac:dyDescent="0.2"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 spans="11:21" ht="30" x14ac:dyDescent="0.2"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</row>
    <row r="1151" spans="11:21" ht="30" x14ac:dyDescent="0.2"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</row>
    <row r="1152" spans="11:21" ht="30" x14ac:dyDescent="0.2"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 spans="11:21" ht="30" x14ac:dyDescent="0.2"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</row>
    <row r="1154" spans="11:21" ht="30" x14ac:dyDescent="0.2"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</row>
    <row r="1155" spans="11:21" ht="30" x14ac:dyDescent="0.2"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 spans="11:21" ht="30" x14ac:dyDescent="0.2"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</row>
    <row r="1157" spans="11:21" ht="30" x14ac:dyDescent="0.2"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</row>
    <row r="1158" spans="11:21" ht="30" x14ac:dyDescent="0.2"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 spans="11:21" ht="30" x14ac:dyDescent="0.2"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 spans="11:21" ht="30" x14ac:dyDescent="0.2"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 spans="11:21" ht="30" x14ac:dyDescent="0.2"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 spans="11:21" ht="30" x14ac:dyDescent="0.2"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 spans="11:21" ht="30" x14ac:dyDescent="0.2"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 spans="11:21" ht="30" x14ac:dyDescent="0.2"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 spans="11:21" ht="30" x14ac:dyDescent="0.2"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 spans="11:21" ht="30" x14ac:dyDescent="0.2"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</row>
    <row r="1167" spans="11:21" ht="30" x14ac:dyDescent="0.2"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 spans="11:21" ht="30" x14ac:dyDescent="0.2"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 spans="11:21" ht="30" x14ac:dyDescent="0.2"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 spans="11:21" ht="30" x14ac:dyDescent="0.2"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 spans="11:21" ht="30" x14ac:dyDescent="0.2"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</row>
    <row r="1172" spans="11:21" ht="30" x14ac:dyDescent="0.2"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 spans="11:21" ht="30" x14ac:dyDescent="0.2"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 spans="11:21" ht="30" x14ac:dyDescent="0.2"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</row>
    <row r="1175" spans="11:21" ht="30" x14ac:dyDescent="0.2"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</row>
    <row r="1176" spans="11:21" ht="30" x14ac:dyDescent="0.2"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 spans="11:21" ht="30" x14ac:dyDescent="0.2"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 spans="11:21" ht="30" x14ac:dyDescent="0.2"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</row>
    <row r="1179" spans="11:21" ht="30" x14ac:dyDescent="0.2"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 spans="11:21" ht="30" x14ac:dyDescent="0.2"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</row>
    <row r="1181" spans="11:21" ht="30" x14ac:dyDescent="0.2"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</row>
    <row r="1182" spans="11:21" ht="30" x14ac:dyDescent="0.2"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 spans="11:21" ht="30" x14ac:dyDescent="0.2"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</row>
    <row r="1184" spans="11:21" ht="30" x14ac:dyDescent="0.2"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</row>
    <row r="1185" spans="11:21" ht="30" x14ac:dyDescent="0.2"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 spans="11:21" ht="30" x14ac:dyDescent="0.2"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 spans="11:21" ht="30" x14ac:dyDescent="0.2"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</row>
    <row r="1188" spans="11:21" ht="30" x14ac:dyDescent="0.2"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 spans="11:21" ht="30" x14ac:dyDescent="0.2"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</row>
    <row r="1190" spans="11:21" ht="30" x14ac:dyDescent="0.2"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 spans="11:21" ht="30" x14ac:dyDescent="0.2"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 spans="11:21" ht="30" x14ac:dyDescent="0.2"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</row>
    <row r="1193" spans="11:21" ht="30" x14ac:dyDescent="0.2"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 spans="11:21" ht="30" x14ac:dyDescent="0.2"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 spans="11:21" ht="30" x14ac:dyDescent="0.2"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 spans="11:21" ht="30" x14ac:dyDescent="0.2"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 spans="11:21" ht="30" x14ac:dyDescent="0.2"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 spans="11:21" ht="30" x14ac:dyDescent="0.2"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</row>
    <row r="1199" spans="11:21" ht="30" x14ac:dyDescent="0.2"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</row>
    <row r="1200" spans="11:21" ht="30" x14ac:dyDescent="0.2"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 spans="11:21" ht="30" x14ac:dyDescent="0.2"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</row>
    <row r="1202" spans="11:21" ht="30" x14ac:dyDescent="0.2"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</row>
    <row r="1203" spans="11:21" ht="30" x14ac:dyDescent="0.2"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 spans="11:21" ht="30" x14ac:dyDescent="0.2"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</row>
    <row r="1205" spans="11:21" ht="30" x14ac:dyDescent="0.2"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</row>
    <row r="1206" spans="11:21" ht="30" x14ac:dyDescent="0.2"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 spans="11:21" ht="30" x14ac:dyDescent="0.2"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</row>
    <row r="1208" spans="11:21" ht="30" x14ac:dyDescent="0.2"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</row>
    <row r="1209" spans="11:21" ht="30" x14ac:dyDescent="0.2"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 spans="11:21" ht="30" x14ac:dyDescent="0.2"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</row>
    <row r="1211" spans="11:21" ht="30" x14ac:dyDescent="0.2"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</row>
    <row r="1212" spans="11:21" ht="30" x14ac:dyDescent="0.2"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 spans="11:21" ht="30" x14ac:dyDescent="0.2"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</row>
    <row r="1214" spans="11:21" ht="30" x14ac:dyDescent="0.2"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</row>
    <row r="1215" spans="11:21" ht="30" x14ac:dyDescent="0.2"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 spans="11:21" ht="30" x14ac:dyDescent="0.2"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 spans="11:21" ht="30" x14ac:dyDescent="0.2"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</row>
    <row r="1218" spans="11:21" ht="30" x14ac:dyDescent="0.2"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 spans="11:21" ht="30" x14ac:dyDescent="0.2"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</row>
    <row r="1220" spans="11:21" ht="30" x14ac:dyDescent="0.2"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</row>
    <row r="1221" spans="11:21" ht="30" x14ac:dyDescent="0.2"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 spans="11:21" ht="30" x14ac:dyDescent="0.2"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</row>
    <row r="1223" spans="11:21" ht="30" x14ac:dyDescent="0.2"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</row>
    <row r="1224" spans="11:21" ht="30" x14ac:dyDescent="0.2"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 spans="11:21" ht="30" x14ac:dyDescent="0.2"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 spans="11:21" ht="30" x14ac:dyDescent="0.2"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 spans="11:21" ht="30" x14ac:dyDescent="0.2"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 spans="11:21" ht="30" x14ac:dyDescent="0.2"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</row>
    <row r="1229" spans="11:21" ht="30" x14ac:dyDescent="0.2"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</row>
    <row r="1230" spans="11:21" ht="30" x14ac:dyDescent="0.2"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 spans="11:21" ht="30" x14ac:dyDescent="0.2"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 spans="11:21" ht="30" x14ac:dyDescent="0.2"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 spans="11:21" ht="30" x14ac:dyDescent="0.2"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 spans="11:21" ht="30" x14ac:dyDescent="0.2"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</row>
    <row r="1235" spans="11:21" ht="30" x14ac:dyDescent="0.2"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</row>
    <row r="1236" spans="11:21" ht="30" x14ac:dyDescent="0.2"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 spans="11:21" ht="30" x14ac:dyDescent="0.2"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</row>
    <row r="1238" spans="11:21" ht="30" x14ac:dyDescent="0.2"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 spans="11:21" ht="30" x14ac:dyDescent="0.2"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 spans="11:21" thickBot="1" x14ac:dyDescent="0.25"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</row>
    <row r="1241" spans="11:21" thickBot="1" x14ac:dyDescent="0.25">
      <c r="K1241" s="2"/>
      <c r="L1241" s="2"/>
      <c r="M1241" s="2"/>
      <c r="N1241" s="2"/>
    </row>
    <row r="1242" spans="11:21" thickBot="1" x14ac:dyDescent="0.25">
      <c r="K1242" s="2"/>
    </row>
    <row r="1243" spans="11:21" thickBot="1" x14ac:dyDescent="0.25">
      <c r="K1243" s="2"/>
    </row>
    <row r="1244" spans="11:21" thickBot="1" x14ac:dyDescent="0.25">
      <c r="K1244" s="2"/>
    </row>
  </sheetData>
  <mergeCells count="26">
    <mergeCell ref="B31:B32"/>
    <mergeCell ref="B33:B34"/>
    <mergeCell ref="F4:G4"/>
    <mergeCell ref="F5:G5"/>
    <mergeCell ref="F10:G10"/>
    <mergeCell ref="F8:G8"/>
    <mergeCell ref="F9:G9"/>
    <mergeCell ref="B20:B21"/>
    <mergeCell ref="B22:B23"/>
    <mergeCell ref="B25:B26"/>
    <mergeCell ref="B27:B28"/>
    <mergeCell ref="B29:B30"/>
    <mergeCell ref="F7:G7"/>
    <mergeCell ref="B15:C15"/>
    <mergeCell ref="B16:C16"/>
    <mergeCell ref="B17:C17"/>
    <mergeCell ref="F2:H2"/>
    <mergeCell ref="B18:C18"/>
    <mergeCell ref="F3:G3"/>
    <mergeCell ref="M3:M4"/>
    <mergeCell ref="F6:G6"/>
    <mergeCell ref="M5:M6"/>
    <mergeCell ref="F11:G11"/>
    <mergeCell ref="F12:G12"/>
    <mergeCell ref="F14:G14"/>
    <mergeCell ref="F13:G13"/>
  </mergeCells>
  <phoneticPr fontId="26" type="noConversion"/>
  <pageMargins left="0.25" right="0.25" top="0.75" bottom="0.75" header="0.3" footer="0.3"/>
  <pageSetup paperSize="9" scale="21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CAC5-17CD-48C5-8E82-C73A9787D056}">
  <sheetPr>
    <tabColor theme="9" tint="0.59999389629810485"/>
  </sheetPr>
  <dimension ref="B1:AT1244"/>
  <sheetViews>
    <sheetView showGridLines="0" topLeftCell="A12" zoomScale="50" zoomScaleNormal="50" zoomScaleSheetLayoutView="50" workbookViewId="0">
      <selection activeCell="L18" sqref="L18"/>
    </sheetView>
  </sheetViews>
  <sheetFormatPr defaultRowHeight="30.75" thickBottom="1" x14ac:dyDescent="0.25"/>
  <cols>
    <col min="1" max="1" width="2.15234375" customWidth="1"/>
    <col min="2" max="2" width="16.41015625" style="1" customWidth="1"/>
    <col min="3" max="3" width="16.94921875" customWidth="1"/>
    <col min="4" max="4" width="29.45703125" customWidth="1"/>
    <col min="5" max="6" width="26.23046875" customWidth="1"/>
    <col min="7" max="7" width="26.36328125" style="1" customWidth="1"/>
    <col min="8" max="9" width="26.23046875" customWidth="1"/>
    <col min="10" max="10" width="29.19140625" customWidth="1"/>
    <col min="11" max="11" width="26.23046875" style="3" customWidth="1"/>
    <col min="12" max="12" width="28.25" style="3" customWidth="1"/>
    <col min="13" max="14" width="26.23046875" style="3" customWidth="1"/>
    <col min="15" max="15" width="27.44140625" style="3" customWidth="1"/>
    <col min="16" max="20" width="26.23046875" style="3" customWidth="1"/>
    <col min="21" max="21" width="31.4765625" style="3" customWidth="1"/>
    <col min="22" max="28" width="26.23046875" customWidth="1"/>
    <col min="29" max="29" width="21.25390625" bestFit="1" customWidth="1"/>
    <col min="30" max="32" width="18.5625" customWidth="1"/>
    <col min="33" max="33" width="19.1015625" customWidth="1"/>
    <col min="34" max="34" width="18.16015625" customWidth="1"/>
    <col min="35" max="35" width="31.34375" customWidth="1"/>
    <col min="36" max="36" width="26.6328125" customWidth="1"/>
  </cols>
  <sheetData>
    <row r="1" spans="2:46" ht="10.5" customHeight="1" thickBot="1" x14ac:dyDescent="0.35">
      <c r="B1" s="59"/>
      <c r="C1" s="58"/>
      <c r="D1" s="58"/>
      <c r="K1"/>
      <c r="L1"/>
      <c r="M1"/>
      <c r="N1"/>
      <c r="O1"/>
      <c r="P1"/>
      <c r="Q1"/>
      <c r="R1"/>
      <c r="S1"/>
      <c r="T1"/>
      <c r="U1"/>
      <c r="AB1" s="11"/>
      <c r="AC1" s="11"/>
      <c r="AD1" s="11"/>
    </row>
    <row r="2" spans="2:46" ht="40.5" customHeight="1" thickBot="1" x14ac:dyDescent="0.35">
      <c r="B2" s="59"/>
      <c r="C2" s="58"/>
      <c r="D2" s="58"/>
      <c r="F2" s="214" t="s">
        <v>59</v>
      </c>
      <c r="G2" s="215"/>
      <c r="H2" s="216"/>
      <c r="J2" s="214" t="s">
        <v>60</v>
      </c>
      <c r="K2" s="215"/>
      <c r="L2" s="216"/>
      <c r="M2"/>
      <c r="N2"/>
      <c r="O2"/>
      <c r="P2"/>
      <c r="Q2"/>
      <c r="R2"/>
      <c r="S2"/>
      <c r="T2"/>
      <c r="U2"/>
      <c r="AB2" s="11"/>
      <c r="AC2" s="11"/>
      <c r="AD2" s="11"/>
    </row>
    <row r="3" spans="2:46" s="30" customFormat="1" ht="24.75" customHeight="1" x14ac:dyDescent="0.25">
      <c r="B3" s="60"/>
      <c r="C3" s="46"/>
      <c r="D3" s="49"/>
      <c r="E3" s="56"/>
      <c r="F3" s="217" t="s">
        <v>38</v>
      </c>
      <c r="G3" s="217"/>
      <c r="H3" s="32">
        <f>(D17+D18)*200</f>
        <v>910000</v>
      </c>
      <c r="I3" s="48"/>
      <c r="J3" s="217" t="s">
        <v>38</v>
      </c>
      <c r="K3" s="217"/>
      <c r="L3" s="32">
        <f>(H17+H18)*200</f>
        <v>325000</v>
      </c>
      <c r="M3" s="50"/>
      <c r="N3" s="51"/>
      <c r="O3" s="48"/>
      <c r="P3" s="218"/>
      <c r="Q3" s="47"/>
      <c r="R3" s="50"/>
      <c r="S3" s="51"/>
      <c r="T3" s="48"/>
      <c r="U3" s="49"/>
      <c r="V3" s="47"/>
      <c r="W3" s="50"/>
      <c r="X3" s="50"/>
      <c r="Y3" s="51"/>
      <c r="Z3" s="48"/>
      <c r="AA3" s="52"/>
      <c r="AB3" s="53"/>
      <c r="AC3" s="53"/>
      <c r="AD3" s="35"/>
    </row>
    <row r="4" spans="2:46" s="30" customFormat="1" ht="24.75" customHeight="1" x14ac:dyDescent="0.25">
      <c r="B4" s="60"/>
      <c r="C4" s="46"/>
      <c r="D4" s="49"/>
      <c r="E4" s="47"/>
      <c r="F4" s="219" t="s">
        <v>39</v>
      </c>
      <c r="G4" s="219"/>
      <c r="H4" s="34">
        <f>(E17+E18)*100</f>
        <v>412500</v>
      </c>
      <c r="I4" s="48"/>
      <c r="J4" s="219" t="s">
        <v>39</v>
      </c>
      <c r="K4" s="219"/>
      <c r="L4" s="34">
        <f>(I17+I18)*100</f>
        <v>345000</v>
      </c>
      <c r="M4" s="54"/>
      <c r="N4" s="51"/>
      <c r="O4" s="48"/>
      <c r="P4" s="218"/>
      <c r="Q4" s="47"/>
      <c r="R4" s="50"/>
      <c r="S4" s="51"/>
      <c r="T4" s="48"/>
      <c r="U4" s="64"/>
      <c r="V4" s="47"/>
      <c r="W4" s="50"/>
      <c r="X4" s="50"/>
      <c r="Y4" s="51"/>
      <c r="Z4" s="48"/>
      <c r="AA4" s="52"/>
      <c r="AB4" s="53"/>
      <c r="AC4" s="53"/>
      <c r="AD4" s="35"/>
    </row>
    <row r="5" spans="2:46" s="30" customFormat="1" ht="24.75" customHeight="1" x14ac:dyDescent="0.25">
      <c r="B5" s="60"/>
      <c r="C5" s="46"/>
      <c r="D5" s="49"/>
      <c r="E5" s="47"/>
      <c r="F5" s="219" t="s">
        <v>40</v>
      </c>
      <c r="G5" s="219"/>
      <c r="H5" s="34">
        <f>(F17+F18)*160</f>
        <v>456000</v>
      </c>
      <c r="I5" s="48"/>
      <c r="J5" s="219" t="s">
        <v>40</v>
      </c>
      <c r="K5" s="219"/>
      <c r="L5" s="34">
        <f>(J17+J18)*160</f>
        <v>160000</v>
      </c>
      <c r="M5" s="54"/>
      <c r="N5" s="51"/>
      <c r="O5" s="48"/>
      <c r="P5" s="218"/>
      <c r="Q5" s="47"/>
      <c r="R5" s="50"/>
      <c r="S5" s="51"/>
      <c r="T5" s="48"/>
      <c r="U5" s="64"/>
      <c r="V5" s="47"/>
      <c r="W5" s="50"/>
      <c r="X5" s="50"/>
      <c r="Y5" s="51"/>
      <c r="Z5" s="48"/>
      <c r="AA5" s="52"/>
      <c r="AB5" s="52"/>
      <c r="AC5" s="52"/>
    </row>
    <row r="6" spans="2:46" s="30" customFormat="1" ht="24.75" customHeight="1" x14ac:dyDescent="0.25">
      <c r="B6" s="60"/>
      <c r="C6" s="46"/>
      <c r="D6" s="49"/>
      <c r="E6" s="47"/>
      <c r="F6" s="219" t="s">
        <v>41</v>
      </c>
      <c r="G6" s="219"/>
      <c r="H6" s="34">
        <f>(G17+G18)*200</f>
        <v>170000</v>
      </c>
      <c r="I6" s="48"/>
      <c r="J6" s="219" t="s">
        <v>41</v>
      </c>
      <c r="K6" s="219"/>
      <c r="L6" s="34">
        <f>(K17+K18)*200</f>
        <v>200000</v>
      </c>
      <c r="M6" s="54"/>
      <c r="N6" s="51"/>
      <c r="O6" s="48"/>
      <c r="P6" s="218"/>
      <c r="Q6" s="47"/>
      <c r="R6" s="50"/>
      <c r="S6" s="51"/>
      <c r="T6" s="48"/>
      <c r="U6" s="64"/>
      <c r="V6" s="47"/>
      <c r="W6" s="50"/>
      <c r="X6" s="50"/>
      <c r="Y6" s="51"/>
      <c r="Z6" s="48"/>
      <c r="AA6" s="52"/>
      <c r="AB6" s="52"/>
      <c r="AC6" s="52"/>
    </row>
    <row r="7" spans="2:46" s="30" customFormat="1" ht="24.75" customHeight="1" x14ac:dyDescent="0.25">
      <c r="B7" s="60"/>
      <c r="C7" s="46"/>
      <c r="D7" s="49"/>
      <c r="E7" s="47"/>
      <c r="F7" s="219" t="s">
        <v>46</v>
      </c>
      <c r="G7" s="219"/>
      <c r="H7" s="34">
        <f>(H17+H18)*400</f>
        <v>650000</v>
      </c>
      <c r="I7" s="48"/>
      <c r="J7" s="219" t="s">
        <v>46</v>
      </c>
      <c r="K7" s="219"/>
      <c r="L7" s="34">
        <f>(L17+L18)*400</f>
        <v>800000</v>
      </c>
      <c r="M7" s="54"/>
      <c r="N7" s="51"/>
      <c r="O7" s="48"/>
      <c r="P7" s="64"/>
      <c r="Q7" s="47"/>
      <c r="R7" s="50"/>
      <c r="S7" s="51"/>
      <c r="T7" s="48"/>
      <c r="U7" s="64"/>
      <c r="V7" s="47"/>
      <c r="W7" s="50"/>
      <c r="X7" s="50"/>
      <c r="Y7" s="51"/>
      <c r="Z7" s="48"/>
      <c r="AA7" s="52"/>
      <c r="AB7" s="52"/>
      <c r="AC7" s="52"/>
    </row>
    <row r="8" spans="2:46" s="30" customFormat="1" ht="24.75" customHeight="1" x14ac:dyDescent="0.25">
      <c r="B8" s="60"/>
      <c r="C8" s="46"/>
      <c r="D8" s="49"/>
      <c r="E8" s="47"/>
      <c r="F8" s="219" t="s">
        <v>42</v>
      </c>
      <c r="G8" s="219"/>
      <c r="H8" s="34">
        <f>(I17+I18)*500</f>
        <v>1725000</v>
      </c>
      <c r="I8" s="48"/>
      <c r="J8" s="219" t="s">
        <v>42</v>
      </c>
      <c r="K8" s="219"/>
      <c r="L8" s="34">
        <f>(M17+M18)*500</f>
        <v>2000000</v>
      </c>
      <c r="M8" s="54"/>
      <c r="N8" s="51"/>
      <c r="O8" s="48"/>
      <c r="P8" s="64"/>
      <c r="Q8" s="47"/>
      <c r="R8" s="50"/>
      <c r="S8" s="51"/>
      <c r="T8" s="48"/>
      <c r="U8" s="64"/>
      <c r="V8" s="47"/>
      <c r="W8" s="50"/>
      <c r="X8" s="50"/>
      <c r="Y8" s="51"/>
      <c r="Z8" s="48"/>
      <c r="AA8" s="52"/>
      <c r="AB8" s="52"/>
      <c r="AC8" s="52"/>
    </row>
    <row r="9" spans="2:46" s="30" customFormat="1" ht="24.75" customHeight="1" x14ac:dyDescent="0.25">
      <c r="B9" s="60"/>
      <c r="C9" s="46"/>
      <c r="D9" s="49"/>
      <c r="E9" s="47"/>
      <c r="F9" s="219" t="s">
        <v>43</v>
      </c>
      <c r="G9" s="219"/>
      <c r="H9" s="34">
        <f>(J17+J18)*500</f>
        <v>500000</v>
      </c>
      <c r="I9" s="48"/>
      <c r="J9" s="219" t="s">
        <v>43</v>
      </c>
      <c r="K9" s="219"/>
      <c r="L9" s="34">
        <f>(N17+N18)*500</f>
        <v>662500</v>
      </c>
      <c r="M9" s="54"/>
      <c r="N9" s="51"/>
      <c r="O9" s="48"/>
      <c r="P9" s="64"/>
      <c r="Q9" s="47"/>
      <c r="R9" s="50"/>
      <c r="S9" s="51"/>
      <c r="T9" s="48"/>
      <c r="U9" s="64"/>
      <c r="V9" s="47"/>
      <c r="W9" s="50"/>
      <c r="X9" s="50"/>
      <c r="Y9" s="51"/>
      <c r="Z9" s="48"/>
      <c r="AA9" s="52"/>
      <c r="AB9" s="52"/>
      <c r="AC9" s="52"/>
    </row>
    <row r="10" spans="2:46" s="30" customFormat="1" ht="24.75" customHeight="1" x14ac:dyDescent="0.25">
      <c r="B10" s="60"/>
      <c r="C10" s="46"/>
      <c r="D10" s="49"/>
      <c r="E10" s="47"/>
      <c r="F10" s="219" t="s">
        <v>44</v>
      </c>
      <c r="G10" s="219"/>
      <c r="H10" s="34">
        <f>(K17+K18)*500</f>
        <v>500000</v>
      </c>
      <c r="I10" s="48"/>
      <c r="J10" s="219" t="s">
        <v>44</v>
      </c>
      <c r="K10" s="219"/>
      <c r="L10" s="34">
        <f>(O17+O18)*500</f>
        <v>875000</v>
      </c>
      <c r="M10" s="54"/>
      <c r="N10" s="51"/>
      <c r="O10" s="48"/>
      <c r="P10" s="64"/>
      <c r="Q10" s="47"/>
      <c r="R10" s="50"/>
      <c r="S10" s="51"/>
      <c r="T10" s="48"/>
      <c r="U10" s="64"/>
      <c r="V10" s="47"/>
      <c r="W10" s="50"/>
      <c r="X10" s="50"/>
      <c r="Y10" s="51"/>
      <c r="Z10" s="48"/>
      <c r="AA10" s="52"/>
      <c r="AB10" s="52"/>
      <c r="AC10" s="52"/>
    </row>
    <row r="11" spans="2:46" s="30" customFormat="1" ht="24.75" customHeight="1" x14ac:dyDescent="0.25">
      <c r="B11" s="60"/>
      <c r="C11" s="46"/>
      <c r="D11" s="49"/>
      <c r="E11" s="47"/>
      <c r="F11" s="219" t="s">
        <v>49</v>
      </c>
      <c r="G11" s="219"/>
      <c r="H11" s="34">
        <f>(L17+L18)*300</f>
        <v>600000</v>
      </c>
      <c r="I11" s="48"/>
      <c r="J11" s="219" t="s">
        <v>49</v>
      </c>
      <c r="K11" s="219"/>
      <c r="L11" s="34">
        <f>(P17+P18)*300</f>
        <v>0</v>
      </c>
      <c r="M11" s="54"/>
      <c r="N11" s="51"/>
      <c r="O11" s="48"/>
      <c r="P11" s="64"/>
      <c r="Q11" s="47"/>
      <c r="R11" s="50"/>
      <c r="S11" s="51"/>
      <c r="T11" s="48"/>
      <c r="U11" s="64"/>
      <c r="V11" s="47"/>
      <c r="W11" s="50"/>
      <c r="X11" s="50"/>
      <c r="Y11" s="51"/>
      <c r="Z11" s="48"/>
      <c r="AA11" s="52"/>
      <c r="AB11" s="52"/>
      <c r="AC11" s="52"/>
    </row>
    <row r="12" spans="2:46" s="30" customFormat="1" ht="24.75" customHeight="1" x14ac:dyDescent="0.25">
      <c r="B12" s="60"/>
      <c r="C12" s="46"/>
      <c r="D12" s="49"/>
      <c r="E12" s="47"/>
      <c r="F12" s="219" t="s">
        <v>52</v>
      </c>
      <c r="G12" s="219"/>
      <c r="H12" s="34">
        <f>(M17+M18)*128</f>
        <v>512000</v>
      </c>
      <c r="I12" s="48"/>
      <c r="J12" s="219" t="s">
        <v>52</v>
      </c>
      <c r="K12" s="219"/>
      <c r="L12" s="34">
        <f>(Q17+Q18)*128</f>
        <v>0</v>
      </c>
      <c r="M12" s="54"/>
      <c r="N12" s="51"/>
      <c r="O12" s="48"/>
      <c r="P12" s="64"/>
      <c r="Q12" s="47"/>
      <c r="R12" s="50"/>
      <c r="S12" s="51"/>
      <c r="T12" s="48"/>
      <c r="U12" s="64"/>
      <c r="V12" s="47"/>
      <c r="W12" s="50"/>
      <c r="X12" s="50"/>
      <c r="Y12" s="51"/>
      <c r="Z12" s="48"/>
      <c r="AA12" s="52"/>
      <c r="AB12" s="52"/>
      <c r="AC12" s="52"/>
    </row>
    <row r="13" spans="2:46" s="30" customFormat="1" ht="24.75" customHeight="1" x14ac:dyDescent="0.25">
      <c r="B13" s="60"/>
      <c r="C13" s="46"/>
      <c r="D13" s="49"/>
      <c r="E13" s="47"/>
      <c r="F13" s="219" t="s">
        <v>55</v>
      </c>
      <c r="G13" s="219"/>
      <c r="H13" s="34">
        <f>(N17+N18)*1000</f>
        <v>1325000</v>
      </c>
      <c r="I13" s="48"/>
      <c r="J13" s="219" t="s">
        <v>55</v>
      </c>
      <c r="K13" s="219"/>
      <c r="L13" s="34">
        <f>(R17+R18)*1000</f>
        <v>0</v>
      </c>
      <c r="M13" s="54"/>
      <c r="N13" s="51"/>
      <c r="O13" s="48"/>
      <c r="P13" s="64"/>
      <c r="Q13" s="47"/>
      <c r="R13" s="50"/>
      <c r="S13" s="51"/>
      <c r="T13" s="48"/>
      <c r="U13" s="64"/>
      <c r="V13" s="47"/>
      <c r="W13" s="50"/>
      <c r="X13" s="50"/>
      <c r="Y13" s="51"/>
      <c r="Z13" s="48"/>
      <c r="AA13" s="52"/>
      <c r="AB13" s="52"/>
      <c r="AC13" s="52"/>
    </row>
    <row r="14" spans="2:46" s="30" customFormat="1" ht="24.75" customHeight="1" x14ac:dyDescent="0.25">
      <c r="B14" s="60"/>
      <c r="C14" s="46"/>
      <c r="D14" s="49"/>
      <c r="E14" s="47"/>
      <c r="F14" s="219" t="s">
        <v>56</v>
      </c>
      <c r="G14" s="219"/>
      <c r="H14" s="34">
        <f>(O17+O18)*500</f>
        <v>875000</v>
      </c>
      <c r="I14" s="48"/>
      <c r="J14" s="219" t="s">
        <v>56</v>
      </c>
      <c r="K14" s="219"/>
      <c r="L14" s="34">
        <f>(S17+S18)*500</f>
        <v>0</v>
      </c>
      <c r="M14" s="54"/>
      <c r="N14" s="51"/>
      <c r="O14" s="48"/>
      <c r="P14" s="64"/>
      <c r="Q14" s="47"/>
      <c r="R14" s="50"/>
      <c r="S14" s="51"/>
      <c r="T14" s="48"/>
      <c r="U14" s="64"/>
      <c r="V14" s="47"/>
      <c r="W14" s="50"/>
      <c r="X14" s="50"/>
      <c r="Y14" s="51"/>
      <c r="Z14" s="48"/>
      <c r="AA14" s="52"/>
      <c r="AB14" s="52"/>
      <c r="AC14" s="52"/>
    </row>
    <row r="15" spans="2:46" ht="274.5" customHeight="1" x14ac:dyDescent="0.3">
      <c r="B15" s="220" t="s">
        <v>10</v>
      </c>
      <c r="C15" s="220"/>
      <c r="D15" s="57" t="s">
        <v>27</v>
      </c>
      <c r="E15" s="57" t="s">
        <v>28</v>
      </c>
      <c r="F15" s="44" t="s">
        <v>29</v>
      </c>
      <c r="G15" s="45" t="s">
        <v>30</v>
      </c>
      <c r="H15" s="45" t="s">
        <v>45</v>
      </c>
      <c r="I15" s="61" t="s">
        <v>31</v>
      </c>
      <c r="J15" s="61" t="s">
        <v>32</v>
      </c>
      <c r="K15" s="61" t="s">
        <v>26</v>
      </c>
      <c r="L15" s="61" t="s">
        <v>50</v>
      </c>
      <c r="M15" s="61" t="s">
        <v>53</v>
      </c>
      <c r="N15" s="61" t="s">
        <v>55</v>
      </c>
      <c r="O15" s="61" t="s">
        <v>56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7"/>
    </row>
    <row r="16" spans="2:46" s="5" customFormat="1" ht="22.5" customHeight="1" x14ac:dyDescent="0.3">
      <c r="B16" s="204" t="s">
        <v>11</v>
      </c>
      <c r="C16" s="204"/>
      <c r="D16" s="12" t="s">
        <v>34</v>
      </c>
      <c r="E16" s="12" t="s">
        <v>35</v>
      </c>
      <c r="F16" s="12" t="s">
        <v>36</v>
      </c>
      <c r="G16" s="12" t="s">
        <v>36</v>
      </c>
      <c r="H16" s="13" t="s">
        <v>33</v>
      </c>
      <c r="I16" s="13" t="s">
        <v>37</v>
      </c>
      <c r="J16" s="12" t="s">
        <v>47</v>
      </c>
      <c r="K16" s="12" t="s">
        <v>47</v>
      </c>
      <c r="L16" s="12" t="s">
        <v>51</v>
      </c>
      <c r="M16" s="12" t="s">
        <v>54</v>
      </c>
      <c r="N16" s="12" t="s">
        <v>57</v>
      </c>
      <c r="O16" s="12" t="s">
        <v>58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  <c r="AB16"/>
      <c r="AC16"/>
      <c r="AD16"/>
      <c r="AE16"/>
      <c r="AF16"/>
      <c r="AG16"/>
      <c r="AH16"/>
      <c r="AI16"/>
      <c r="AJ16"/>
      <c r="AK16"/>
      <c r="AL16" s="4"/>
      <c r="AM16" s="4"/>
      <c r="AN16" s="4"/>
      <c r="AO16" s="4"/>
      <c r="AP16" s="4"/>
      <c r="AQ16" s="4"/>
      <c r="AR16" s="4"/>
      <c r="AS16" s="4"/>
      <c r="AT16" s="4"/>
    </row>
    <row r="17" spans="2:46" s="7" customFormat="1" ht="26.25" customHeight="1" x14ac:dyDescent="0.3">
      <c r="B17" s="209" t="s">
        <v>22</v>
      </c>
      <c r="C17" s="209"/>
      <c r="D17" s="20">
        <v>4550</v>
      </c>
      <c r="E17" s="14">
        <v>2125</v>
      </c>
      <c r="F17" s="14">
        <v>850</v>
      </c>
      <c r="G17" s="14">
        <v>850</v>
      </c>
      <c r="H17" s="14">
        <v>1625</v>
      </c>
      <c r="I17" s="14">
        <v>3450</v>
      </c>
      <c r="J17" s="14">
        <v>0</v>
      </c>
      <c r="K17" s="14">
        <v>0</v>
      </c>
      <c r="L17" s="14">
        <v>0</v>
      </c>
      <c r="M17" s="14">
        <v>4000</v>
      </c>
      <c r="N17" s="14">
        <v>1325</v>
      </c>
      <c r="O17" s="14">
        <v>1750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7"/>
      <c r="AB17"/>
      <c r="AC17"/>
      <c r="AD17"/>
      <c r="AE17"/>
      <c r="AF17"/>
      <c r="AG17"/>
      <c r="AH17"/>
      <c r="AI17"/>
      <c r="AJ17"/>
      <c r="AK17"/>
      <c r="AL17" s="6"/>
      <c r="AM17" s="6"/>
      <c r="AN17" s="6"/>
      <c r="AO17" s="6"/>
      <c r="AP17" s="6"/>
      <c r="AQ17" s="6"/>
      <c r="AR17" s="6"/>
      <c r="AS17" s="6"/>
      <c r="AT17" s="6"/>
    </row>
    <row r="18" spans="2:46" s="7" customFormat="1" ht="26.25" customHeight="1" x14ac:dyDescent="0.3">
      <c r="B18" s="209" t="s">
        <v>48</v>
      </c>
      <c r="C18" s="209"/>
      <c r="D18" s="20"/>
      <c r="E18" s="14">
        <v>2000</v>
      </c>
      <c r="F18" s="14">
        <v>2000</v>
      </c>
      <c r="G18" s="14"/>
      <c r="H18" s="14"/>
      <c r="I18" s="14"/>
      <c r="J18" s="14">
        <v>1000</v>
      </c>
      <c r="K18" s="14">
        <v>1000</v>
      </c>
      <c r="L18" s="65">
        <v>2000</v>
      </c>
      <c r="M18" s="14">
        <v>0</v>
      </c>
      <c r="N18" s="14">
        <v>0</v>
      </c>
      <c r="O18" s="14">
        <v>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  <c r="AB18"/>
      <c r="AC18"/>
      <c r="AD18"/>
      <c r="AE18"/>
      <c r="AF18"/>
      <c r="AG18"/>
      <c r="AH18"/>
      <c r="AI18"/>
      <c r="AJ18"/>
      <c r="AK18"/>
      <c r="AL18" s="6"/>
      <c r="AM18" s="6"/>
      <c r="AN18" s="6"/>
      <c r="AO18" s="6"/>
      <c r="AP18" s="6"/>
      <c r="AQ18" s="6"/>
      <c r="AR18" s="6"/>
      <c r="AS18" s="6"/>
      <c r="AT18" s="6"/>
    </row>
    <row r="19" spans="2:46" ht="23.25" x14ac:dyDescent="0.3">
      <c r="B19" s="27"/>
      <c r="C19" s="15"/>
      <c r="D19" s="16"/>
      <c r="E19" s="16"/>
      <c r="F19" s="16"/>
      <c r="G19" s="16"/>
      <c r="H19" s="28"/>
      <c r="I19" s="16"/>
      <c r="J19" s="16"/>
      <c r="K19" s="16"/>
      <c r="L19" s="2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7"/>
    </row>
    <row r="20" spans="2:46" ht="23.25" x14ac:dyDescent="0.3">
      <c r="B20" s="206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</row>
    <row r="21" spans="2:46" ht="23.25" x14ac:dyDescent="0.3">
      <c r="B21" s="206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7"/>
    </row>
    <row r="22" spans="2:46" ht="23.25" x14ac:dyDescent="0.3">
      <c r="B22" s="206"/>
      <c r="C22" s="15"/>
      <c r="D22" s="17"/>
      <c r="E22" s="17"/>
      <c r="F22" s="17"/>
      <c r="G22" s="17"/>
      <c r="H22" s="17"/>
      <c r="I22" s="17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</row>
    <row r="23" spans="2:46" ht="23.25" x14ac:dyDescent="0.3">
      <c r="B23" s="206"/>
      <c r="C23" s="15"/>
      <c r="D23" s="17"/>
      <c r="E23" s="17"/>
      <c r="F23" s="17"/>
      <c r="G23" s="17"/>
      <c r="H23" s="17"/>
      <c r="I23" s="17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  <c r="AA23" s="17"/>
    </row>
    <row r="24" spans="2:46" ht="23.25" x14ac:dyDescent="0.3">
      <c r="B24" s="63"/>
      <c r="C24" s="15"/>
      <c r="D24" s="17"/>
      <c r="E24" s="17"/>
      <c r="F24" s="17"/>
      <c r="G24" s="18"/>
      <c r="H24" s="19"/>
      <c r="I24" s="17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7"/>
    </row>
    <row r="25" spans="2:46" ht="23.25" x14ac:dyDescent="0.3">
      <c r="B25" s="206"/>
      <c r="C25" s="15"/>
      <c r="D25" s="17"/>
      <c r="E25" s="17"/>
      <c r="F25" s="17"/>
      <c r="G25" s="18"/>
      <c r="H25" s="19"/>
      <c r="I25" s="17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  <c r="AA25" s="17"/>
    </row>
    <row r="26" spans="2:46" ht="23.25" x14ac:dyDescent="0.3">
      <c r="B26" s="206"/>
      <c r="C26" s="15"/>
      <c r="G2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  <c r="AA26" s="17"/>
    </row>
    <row r="27" spans="2:46" ht="23.25" x14ac:dyDescent="0.3">
      <c r="B27" s="206"/>
      <c r="C27" s="15"/>
      <c r="G2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  <c r="AA27" s="17"/>
    </row>
    <row r="28" spans="2:46" ht="23.25" x14ac:dyDescent="0.3">
      <c r="B28" s="206"/>
      <c r="C28" s="15"/>
      <c r="G2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7"/>
    </row>
    <row r="29" spans="2:46" ht="23.25" x14ac:dyDescent="0.3">
      <c r="B29" s="206"/>
      <c r="C29" s="15"/>
      <c r="G29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7"/>
    </row>
    <row r="30" spans="2:46" ht="23.25" x14ac:dyDescent="0.3">
      <c r="B30" s="206"/>
      <c r="C30" s="15"/>
      <c r="G3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7"/>
    </row>
    <row r="31" spans="2:46" ht="30" x14ac:dyDescent="0.3">
      <c r="B31" s="206"/>
      <c r="C31" s="15"/>
      <c r="G31"/>
      <c r="K31" s="16"/>
      <c r="L31" s="16"/>
      <c r="M31" s="16"/>
      <c r="N31" s="16"/>
      <c r="O31" s="2"/>
      <c r="P31" s="2"/>
      <c r="Q31" s="2"/>
      <c r="R31" s="2"/>
      <c r="S31" s="2"/>
      <c r="T31" s="2"/>
      <c r="U31" s="2"/>
      <c r="V31" s="16"/>
      <c r="W31" s="16"/>
      <c r="X31" s="16"/>
      <c r="Y31" s="16"/>
      <c r="Z31" s="17"/>
      <c r="AA31" s="17"/>
    </row>
    <row r="32" spans="2:46" ht="30" x14ac:dyDescent="0.3">
      <c r="B32" s="206"/>
      <c r="C32" s="15"/>
      <c r="D32" s="17"/>
      <c r="E32" s="17"/>
      <c r="F32" s="17"/>
      <c r="G32" s="18"/>
      <c r="H32" s="19"/>
      <c r="I32" s="17"/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30" x14ac:dyDescent="0.3">
      <c r="B33" s="206"/>
      <c r="C33" s="15"/>
      <c r="D33" s="17"/>
      <c r="E33" s="17"/>
      <c r="F33" s="17"/>
      <c r="G33" s="18"/>
      <c r="H33" s="19"/>
      <c r="I33" s="17"/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30" x14ac:dyDescent="0.3">
      <c r="B34" s="206"/>
      <c r="C34" s="15"/>
      <c r="D34" s="17"/>
      <c r="E34" s="17"/>
      <c r="F34" s="17"/>
      <c r="G34" s="21"/>
      <c r="H34" s="19"/>
      <c r="I34" s="17"/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30" x14ac:dyDescent="0.2">
      <c r="B35" s="10"/>
      <c r="G35" s="9"/>
      <c r="H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30" x14ac:dyDescent="0.2">
      <c r="B36" s="10"/>
      <c r="G36" s="9"/>
      <c r="H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30" x14ac:dyDescent="0.2">
      <c r="B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30" x14ac:dyDescent="0.2">
      <c r="B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30" x14ac:dyDescent="0.2">
      <c r="B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30" x14ac:dyDescent="0.2">
      <c r="B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30" x14ac:dyDescent="0.2">
      <c r="B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30" x14ac:dyDescent="0.2">
      <c r="B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30" x14ac:dyDescent="0.2">
      <c r="B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30" x14ac:dyDescent="0.2">
      <c r="B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30" x14ac:dyDescent="0.2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30" x14ac:dyDescent="0.2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30" x14ac:dyDescent="0.2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30" x14ac:dyDescent="0.2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1:25" ht="30" x14ac:dyDescent="0.2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1:25" ht="30" x14ac:dyDescent="0.2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1:25" ht="30" x14ac:dyDescent="0.2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1:25" ht="30" x14ac:dyDescent="0.2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1:25" ht="30" x14ac:dyDescent="0.2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1:25" ht="30" x14ac:dyDescent="0.2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1:25" ht="30" x14ac:dyDescent="0.2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1:25" ht="30" x14ac:dyDescent="0.2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1:25" ht="30" x14ac:dyDescent="0.2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1:25" ht="30" x14ac:dyDescent="0.2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1:25" ht="30" x14ac:dyDescent="0.2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1:25" ht="30" x14ac:dyDescent="0.2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1:25" ht="30" x14ac:dyDescent="0.2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1:25" ht="30" x14ac:dyDescent="0.2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1:25" ht="30" x14ac:dyDescent="0.2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1:25" ht="30" x14ac:dyDescent="0.2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1:21" ht="30" x14ac:dyDescent="0.2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1:21" ht="30" x14ac:dyDescent="0.2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1:21" ht="30" x14ac:dyDescent="0.2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1:21" ht="30" x14ac:dyDescent="0.2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1:21" ht="30" x14ac:dyDescent="0.2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1:21" ht="30" x14ac:dyDescent="0.2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1:21" ht="30" x14ac:dyDescent="0.2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1:21" ht="30" x14ac:dyDescent="0.2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1:21" ht="30" x14ac:dyDescent="0.2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1:21" ht="30" x14ac:dyDescent="0.2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1:21" ht="30" x14ac:dyDescent="0.2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1:21" ht="30" x14ac:dyDescent="0.2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1:21" ht="30" x14ac:dyDescent="0.2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1:21" ht="30" x14ac:dyDescent="0.2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1:21" ht="30" x14ac:dyDescent="0.2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1:21" ht="30" x14ac:dyDescent="0.2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1:21" ht="30" x14ac:dyDescent="0.2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1:21" ht="30" x14ac:dyDescent="0.2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1:21" ht="30" x14ac:dyDescent="0.2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1:21" ht="30" x14ac:dyDescent="0.2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1:21" ht="30" x14ac:dyDescent="0.2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1:21" ht="30" x14ac:dyDescent="0.2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1:21" ht="30" x14ac:dyDescent="0.2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1:21" ht="30" x14ac:dyDescent="0.2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1:21" ht="30" x14ac:dyDescent="0.2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1:21" ht="30" x14ac:dyDescent="0.2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1:21" ht="30" x14ac:dyDescent="0.2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1:21" ht="30" x14ac:dyDescent="0.2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1:21" ht="30" x14ac:dyDescent="0.2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1:21" ht="30" x14ac:dyDescent="0.2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1:21" ht="30" x14ac:dyDescent="0.2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1:21" ht="30" x14ac:dyDescent="0.2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1:21" ht="30" x14ac:dyDescent="0.2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1:21" ht="30" x14ac:dyDescent="0.2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1:21" ht="30" x14ac:dyDescent="0.2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1:21" ht="30" x14ac:dyDescent="0.2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1:21" ht="30" x14ac:dyDescent="0.2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1:21" ht="30" x14ac:dyDescent="0.2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1:21" ht="30" x14ac:dyDescent="0.2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1:21" ht="30" x14ac:dyDescent="0.2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1:21" ht="30" x14ac:dyDescent="0.2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1:21" ht="30" x14ac:dyDescent="0.2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1:21" ht="30" x14ac:dyDescent="0.2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1:21" ht="30" x14ac:dyDescent="0.2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1:21" ht="30" x14ac:dyDescent="0.2"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1:21" ht="30" x14ac:dyDescent="0.2"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1:21" ht="30" x14ac:dyDescent="0.2"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1:21" ht="30" x14ac:dyDescent="0.2"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1:21" ht="30" x14ac:dyDescent="0.2"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1:21" ht="30" x14ac:dyDescent="0.2"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1:21" ht="30" x14ac:dyDescent="0.2"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1:21" ht="30" x14ac:dyDescent="0.2"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1:21" ht="30" x14ac:dyDescent="0.2"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1:21" ht="30" x14ac:dyDescent="0.2"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1:21" ht="30" x14ac:dyDescent="0.2"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1:21" ht="30" x14ac:dyDescent="0.2"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1:21" ht="30" x14ac:dyDescent="0.2"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1:21" ht="30" x14ac:dyDescent="0.2"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1:21" ht="30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1:21" ht="30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1:21" ht="30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1:21" ht="30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1:21" ht="30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1:21" ht="30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1:21" ht="30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1:21" ht="30" x14ac:dyDescent="0.2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1:21" ht="30" x14ac:dyDescent="0.2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1:21" ht="30" x14ac:dyDescent="0.2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1:21" ht="30" x14ac:dyDescent="0.2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1:21" ht="30" x14ac:dyDescent="0.2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1:21" ht="30" x14ac:dyDescent="0.2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1:21" ht="30" x14ac:dyDescent="0.2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1:21" ht="30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1:21" ht="30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1:21" ht="30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1:21" ht="30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1:21" ht="30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1:21" ht="30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1:21" ht="30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1:21" ht="30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1:21" ht="30" x14ac:dyDescent="0.2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1:21" ht="30" x14ac:dyDescent="0.2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1:21" ht="30" x14ac:dyDescent="0.2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1:21" ht="30" x14ac:dyDescent="0.2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1:21" ht="30" x14ac:dyDescent="0.2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1:21" ht="30" x14ac:dyDescent="0.2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1:21" ht="30" x14ac:dyDescent="0.2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1:21" ht="30" x14ac:dyDescent="0.2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1:21" ht="30" x14ac:dyDescent="0.2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1:21" ht="30" x14ac:dyDescent="0.2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1:21" ht="30" x14ac:dyDescent="0.2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1:21" ht="30" x14ac:dyDescent="0.2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1:21" ht="30" x14ac:dyDescent="0.2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1:21" ht="30" x14ac:dyDescent="0.2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1:21" ht="30" x14ac:dyDescent="0.2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1:21" ht="30" x14ac:dyDescent="0.2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1:21" ht="30" x14ac:dyDescent="0.2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1:21" ht="30" x14ac:dyDescent="0.2"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1:21" ht="30" x14ac:dyDescent="0.2"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1:21" ht="30" x14ac:dyDescent="0.2"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1:21" ht="30" x14ac:dyDescent="0.2"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1:21" ht="30" x14ac:dyDescent="0.2"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1:21" ht="30" x14ac:dyDescent="0.2"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1:21" ht="30" x14ac:dyDescent="0.2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1:21" ht="30" x14ac:dyDescent="0.2"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1:21" ht="30" x14ac:dyDescent="0.2"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1:21" ht="30" x14ac:dyDescent="0.2"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1:21" ht="30" x14ac:dyDescent="0.2"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1:21" ht="30" x14ac:dyDescent="0.2"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1:21" ht="30" x14ac:dyDescent="0.2"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1:21" ht="30" x14ac:dyDescent="0.2"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1:21" ht="30" x14ac:dyDescent="0.2"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1:21" ht="30" x14ac:dyDescent="0.2"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1:21" ht="30" x14ac:dyDescent="0.2"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1:21" ht="30" x14ac:dyDescent="0.2"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1:21" ht="30" x14ac:dyDescent="0.2"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1:21" ht="30" x14ac:dyDescent="0.2"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1:21" ht="30" x14ac:dyDescent="0.2"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1:21" ht="30" x14ac:dyDescent="0.2"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1:21" ht="30" x14ac:dyDescent="0.2"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1:21" ht="30" x14ac:dyDescent="0.2"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1:21" ht="30" x14ac:dyDescent="0.2"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1:21" ht="30" x14ac:dyDescent="0.2"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1:21" ht="30" x14ac:dyDescent="0.2"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1:21" ht="30" x14ac:dyDescent="0.2"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1:21" ht="30" x14ac:dyDescent="0.2"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1:21" ht="30" x14ac:dyDescent="0.2"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1:21" ht="30" x14ac:dyDescent="0.2"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1:21" ht="30" x14ac:dyDescent="0.2"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1:21" ht="30" x14ac:dyDescent="0.2"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1:21" ht="30" x14ac:dyDescent="0.2"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1:21" ht="30" x14ac:dyDescent="0.2"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1:21" ht="30" x14ac:dyDescent="0.2"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1:21" ht="30" x14ac:dyDescent="0.2"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1:21" ht="30" x14ac:dyDescent="0.2"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1:21" ht="30" x14ac:dyDescent="0.2"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1:21" ht="30" x14ac:dyDescent="0.2"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1:21" ht="30" x14ac:dyDescent="0.2"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1:21" ht="30" x14ac:dyDescent="0.2"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1:21" ht="30" x14ac:dyDescent="0.2"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1:21" ht="30" x14ac:dyDescent="0.2"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1:21" ht="30" x14ac:dyDescent="0.2"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1:21" ht="30" x14ac:dyDescent="0.2"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1:21" ht="30" x14ac:dyDescent="0.2"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1:21" ht="30" x14ac:dyDescent="0.2"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1:21" ht="30" x14ac:dyDescent="0.2"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1:21" ht="30" x14ac:dyDescent="0.2"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1:21" ht="30" x14ac:dyDescent="0.2"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1:21" ht="30" x14ac:dyDescent="0.2"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1:21" ht="30" x14ac:dyDescent="0.2"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1:21" ht="30" x14ac:dyDescent="0.2"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1:21" ht="30" x14ac:dyDescent="0.2"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1:21" ht="30" x14ac:dyDescent="0.2"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1:21" ht="30" x14ac:dyDescent="0.2"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1:21" ht="30" x14ac:dyDescent="0.2"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1:21" ht="30" x14ac:dyDescent="0.2"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1:21" ht="30" x14ac:dyDescent="0.2"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1:21" ht="30" x14ac:dyDescent="0.2"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1:21" ht="30" x14ac:dyDescent="0.2"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1:21" ht="30" x14ac:dyDescent="0.2"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1:21" ht="30" x14ac:dyDescent="0.2"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1:21" ht="30" x14ac:dyDescent="0.2"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1:21" ht="30" x14ac:dyDescent="0.2"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1:21" ht="30" x14ac:dyDescent="0.2"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1:21" ht="30" x14ac:dyDescent="0.2"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1:21" ht="30" x14ac:dyDescent="0.2"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1:21" ht="30" x14ac:dyDescent="0.2"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1:21" ht="30" x14ac:dyDescent="0.2"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1:21" ht="30" x14ac:dyDescent="0.2"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1:21" ht="30" x14ac:dyDescent="0.2"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1:21" ht="30" x14ac:dyDescent="0.2"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1:21" ht="30" x14ac:dyDescent="0.2"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1:21" ht="30" x14ac:dyDescent="0.2"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1:21" ht="30" x14ac:dyDescent="0.2"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1:21" ht="30" x14ac:dyDescent="0.2"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1:21" ht="30" x14ac:dyDescent="0.2"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1:21" ht="30" x14ac:dyDescent="0.2"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1:21" ht="30" x14ac:dyDescent="0.2"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1:21" ht="30" x14ac:dyDescent="0.2"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1:21" ht="30" x14ac:dyDescent="0.2"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1:21" ht="30" x14ac:dyDescent="0.2"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1:21" ht="30" x14ac:dyDescent="0.2"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1:21" ht="30" x14ac:dyDescent="0.2"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1:21" ht="30" x14ac:dyDescent="0.2"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1:21" ht="30" x14ac:dyDescent="0.2"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1:21" ht="30" x14ac:dyDescent="0.2"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1:21" ht="30" x14ac:dyDescent="0.2"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1:21" ht="30" x14ac:dyDescent="0.2"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1:21" ht="30" x14ac:dyDescent="0.2"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1:21" ht="30" x14ac:dyDescent="0.2"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1:21" ht="30" x14ac:dyDescent="0.2"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1:21" ht="30" x14ac:dyDescent="0.2"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1:21" ht="30" x14ac:dyDescent="0.2"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1:21" ht="30" x14ac:dyDescent="0.2"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1:21" ht="30" x14ac:dyDescent="0.2"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1:21" ht="30" x14ac:dyDescent="0.2"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1:21" ht="30" x14ac:dyDescent="0.2"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1:21" ht="30" x14ac:dyDescent="0.2"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1:21" ht="30" x14ac:dyDescent="0.2"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1:21" ht="30" x14ac:dyDescent="0.2"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1:21" ht="30" x14ac:dyDescent="0.2"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1:21" ht="30" x14ac:dyDescent="0.2"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1:21" ht="30" x14ac:dyDescent="0.2"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1:21" ht="30" x14ac:dyDescent="0.2"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1:21" ht="30" x14ac:dyDescent="0.2"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1:21" ht="30" x14ac:dyDescent="0.2"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1:21" ht="30" x14ac:dyDescent="0.2"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1:21" ht="30" x14ac:dyDescent="0.2"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1:21" ht="30" x14ac:dyDescent="0.2"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1:21" ht="30" x14ac:dyDescent="0.2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1:21" ht="30" x14ac:dyDescent="0.2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1:21" ht="30" x14ac:dyDescent="0.2"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1:21" ht="30" x14ac:dyDescent="0.2"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1:21" ht="30" x14ac:dyDescent="0.2"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1:21" ht="30" x14ac:dyDescent="0.2"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1:21" ht="30" x14ac:dyDescent="0.2"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1:21" ht="30" x14ac:dyDescent="0.2"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1:21" ht="30" x14ac:dyDescent="0.2"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1:21" ht="30" x14ac:dyDescent="0.2"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1:21" ht="30" x14ac:dyDescent="0.2"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1:21" ht="30" x14ac:dyDescent="0.2"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1:21" ht="30" x14ac:dyDescent="0.2"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1:21" ht="30" x14ac:dyDescent="0.2"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1:21" ht="30" x14ac:dyDescent="0.2"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1:21" ht="30" x14ac:dyDescent="0.2"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1:21" ht="30" x14ac:dyDescent="0.2"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1:21" ht="30" x14ac:dyDescent="0.2"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1:21" ht="30" x14ac:dyDescent="0.2"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1:21" ht="30" x14ac:dyDescent="0.2"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1:21" ht="30" x14ac:dyDescent="0.2"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1:21" ht="30" x14ac:dyDescent="0.2"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1:21" ht="30" x14ac:dyDescent="0.2"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1:21" ht="30" x14ac:dyDescent="0.2"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1:21" ht="30" x14ac:dyDescent="0.2"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1:21" ht="30" x14ac:dyDescent="0.2"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1:21" ht="30" x14ac:dyDescent="0.2"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1:21" ht="30" x14ac:dyDescent="0.2"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1:21" ht="30" x14ac:dyDescent="0.2"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1:21" ht="30" x14ac:dyDescent="0.2"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1:21" ht="30" x14ac:dyDescent="0.2"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1:21" ht="30" x14ac:dyDescent="0.2"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1:21" ht="30" x14ac:dyDescent="0.2"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1:21" ht="30" x14ac:dyDescent="0.2"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1:21" ht="30" x14ac:dyDescent="0.2"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1:21" ht="30" x14ac:dyDescent="0.2"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1:21" ht="30" x14ac:dyDescent="0.2"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1:21" ht="30" x14ac:dyDescent="0.2"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1:21" ht="30" x14ac:dyDescent="0.2"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1:21" ht="30" x14ac:dyDescent="0.2"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1:21" ht="30" x14ac:dyDescent="0.2"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1:21" ht="30" x14ac:dyDescent="0.2"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1:21" ht="30" x14ac:dyDescent="0.2"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1:21" ht="30" x14ac:dyDescent="0.2"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1:21" ht="30" x14ac:dyDescent="0.2"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1:21" ht="30" x14ac:dyDescent="0.2"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1:21" ht="30" x14ac:dyDescent="0.2"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1:21" ht="30" x14ac:dyDescent="0.2"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1:21" ht="30" x14ac:dyDescent="0.2"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1:21" ht="30" x14ac:dyDescent="0.2"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1:21" ht="30" x14ac:dyDescent="0.2"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1:21" ht="30" x14ac:dyDescent="0.2"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1:21" ht="30" x14ac:dyDescent="0.2"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1:21" ht="30" x14ac:dyDescent="0.2"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1:21" ht="30" x14ac:dyDescent="0.2"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1:21" ht="30" x14ac:dyDescent="0.2"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1:21" ht="30" x14ac:dyDescent="0.2"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1:21" ht="30" x14ac:dyDescent="0.2"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1:21" ht="30" x14ac:dyDescent="0.2"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1:21" ht="30" x14ac:dyDescent="0.2"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1:21" ht="30" x14ac:dyDescent="0.2"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1:21" ht="30" x14ac:dyDescent="0.2"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1:21" ht="30" x14ac:dyDescent="0.2"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1:21" ht="30" x14ac:dyDescent="0.2"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1:21" ht="30" x14ac:dyDescent="0.2"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1:21" ht="30" x14ac:dyDescent="0.2"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1:21" ht="30" x14ac:dyDescent="0.2"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1:21" ht="30" x14ac:dyDescent="0.2"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1:21" ht="30" x14ac:dyDescent="0.2"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1:21" ht="30" x14ac:dyDescent="0.2"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1:21" ht="30" x14ac:dyDescent="0.2"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1:21" ht="30" x14ac:dyDescent="0.2"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1:21" ht="30" x14ac:dyDescent="0.2"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1:21" ht="30" x14ac:dyDescent="0.2"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1:21" ht="30" x14ac:dyDescent="0.2"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1:21" ht="30" x14ac:dyDescent="0.2"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1:21" ht="30" x14ac:dyDescent="0.2"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1:21" ht="30" x14ac:dyDescent="0.2"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1:21" ht="30" x14ac:dyDescent="0.2"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1:21" ht="30" x14ac:dyDescent="0.2"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1:21" ht="30" x14ac:dyDescent="0.2"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1:21" ht="30" x14ac:dyDescent="0.2"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1:21" ht="30" x14ac:dyDescent="0.2"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1:21" ht="30" x14ac:dyDescent="0.2"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1:21" ht="30" x14ac:dyDescent="0.2"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1:21" ht="30" x14ac:dyDescent="0.2"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1:21" ht="30" x14ac:dyDescent="0.2"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1:21" ht="30" x14ac:dyDescent="0.2"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1:21" ht="30" x14ac:dyDescent="0.2"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1:21" ht="30" x14ac:dyDescent="0.2"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1:21" ht="30" x14ac:dyDescent="0.2"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1:21" ht="30" x14ac:dyDescent="0.2"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1:21" ht="30" x14ac:dyDescent="0.2"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1:21" ht="30" x14ac:dyDescent="0.2"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1:21" ht="30" x14ac:dyDescent="0.2"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1:21" ht="30" x14ac:dyDescent="0.2"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1:21" ht="30" x14ac:dyDescent="0.2"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1:21" ht="30" x14ac:dyDescent="0.2"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1:21" ht="30" x14ac:dyDescent="0.2"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1:21" ht="30" x14ac:dyDescent="0.2"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1:21" ht="30" x14ac:dyDescent="0.2"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1:21" ht="30" x14ac:dyDescent="0.2"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1:21" ht="30" x14ac:dyDescent="0.2"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1:21" ht="30" x14ac:dyDescent="0.2"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1:21" ht="30" x14ac:dyDescent="0.2"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1:21" ht="30" x14ac:dyDescent="0.2"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1:21" ht="30" x14ac:dyDescent="0.2"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1:21" ht="30" x14ac:dyDescent="0.2"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1:21" ht="30" x14ac:dyDescent="0.2"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1:21" ht="30" x14ac:dyDescent="0.2"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1:21" ht="30" x14ac:dyDescent="0.2"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1:21" ht="30" x14ac:dyDescent="0.2"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1:21" ht="30" x14ac:dyDescent="0.2"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1:21" ht="30" x14ac:dyDescent="0.2"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1:21" ht="30" x14ac:dyDescent="0.2"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1:21" ht="30" x14ac:dyDescent="0.2"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1:21" ht="30" x14ac:dyDescent="0.2"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1:21" ht="30" x14ac:dyDescent="0.2"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1:21" ht="30" x14ac:dyDescent="0.2"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1:21" ht="30" x14ac:dyDescent="0.2"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1:21" ht="30" x14ac:dyDescent="0.2"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1:21" ht="30" x14ac:dyDescent="0.2"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1:21" ht="30" x14ac:dyDescent="0.2"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1:21" ht="30" x14ac:dyDescent="0.2"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1:21" ht="30" x14ac:dyDescent="0.2"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1:21" ht="30" x14ac:dyDescent="0.2"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1:21" ht="30" x14ac:dyDescent="0.2"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1:21" ht="30" x14ac:dyDescent="0.2"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1:21" ht="30" x14ac:dyDescent="0.2"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1:21" ht="30" x14ac:dyDescent="0.2"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1:21" ht="30" x14ac:dyDescent="0.2"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1:21" ht="30" x14ac:dyDescent="0.2"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1:21" ht="30" x14ac:dyDescent="0.2"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1:21" ht="30" x14ac:dyDescent="0.2"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1:21" ht="30" x14ac:dyDescent="0.2"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1:21" ht="30" x14ac:dyDescent="0.2"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1:21" ht="30" x14ac:dyDescent="0.2"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1:21" ht="30" x14ac:dyDescent="0.2"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1:21" ht="30" x14ac:dyDescent="0.2"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1:21" ht="30" x14ac:dyDescent="0.2"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1:21" ht="30" x14ac:dyDescent="0.2"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1:21" ht="30" x14ac:dyDescent="0.2"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1:21" ht="30" x14ac:dyDescent="0.2"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1:21" ht="30" x14ac:dyDescent="0.2"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1:21" ht="30" x14ac:dyDescent="0.2"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1:21" ht="30" x14ac:dyDescent="0.2"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1:21" ht="30" x14ac:dyDescent="0.2"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1:21" ht="30" x14ac:dyDescent="0.2"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1:21" ht="30" x14ac:dyDescent="0.2"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1:21" ht="30" x14ac:dyDescent="0.2"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1:21" ht="30" x14ac:dyDescent="0.2"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1:21" ht="30" x14ac:dyDescent="0.2"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1:21" ht="30" x14ac:dyDescent="0.2"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1:21" ht="30" x14ac:dyDescent="0.2"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1:21" ht="30" x14ac:dyDescent="0.2"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1:21" ht="30" x14ac:dyDescent="0.2"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1:21" ht="30" x14ac:dyDescent="0.2"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1:21" ht="30" x14ac:dyDescent="0.2"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1:21" ht="30" x14ac:dyDescent="0.2"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1:21" ht="30" x14ac:dyDescent="0.2"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1:21" ht="30" x14ac:dyDescent="0.2"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1:21" ht="30" x14ac:dyDescent="0.2"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1:21" ht="30" x14ac:dyDescent="0.2"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1:21" ht="30" x14ac:dyDescent="0.2"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1:21" ht="30" x14ac:dyDescent="0.2"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1:21" ht="30" x14ac:dyDescent="0.2"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1:21" ht="30" x14ac:dyDescent="0.2"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1:21" ht="30" x14ac:dyDescent="0.2"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1:21" ht="30" x14ac:dyDescent="0.2"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1:21" ht="30" x14ac:dyDescent="0.2"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1:21" ht="30" x14ac:dyDescent="0.2"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1:21" ht="30" x14ac:dyDescent="0.2"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1:21" ht="30" x14ac:dyDescent="0.2"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1:21" ht="30" x14ac:dyDescent="0.2"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1:21" ht="30" x14ac:dyDescent="0.2"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1:21" ht="30" x14ac:dyDescent="0.2"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1:21" ht="30" x14ac:dyDescent="0.2"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1:21" ht="30" x14ac:dyDescent="0.2"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1:21" ht="30" x14ac:dyDescent="0.2"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1:21" ht="30" x14ac:dyDescent="0.2"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1:21" ht="30" x14ac:dyDescent="0.2"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1:21" ht="30" x14ac:dyDescent="0.2"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1:21" ht="30" x14ac:dyDescent="0.2"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1:21" ht="30" x14ac:dyDescent="0.2"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1:21" ht="30" x14ac:dyDescent="0.2"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1:21" ht="30" x14ac:dyDescent="0.2"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1:21" ht="30" x14ac:dyDescent="0.2"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1:21" ht="30" x14ac:dyDescent="0.2"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1:21" ht="30" x14ac:dyDescent="0.2"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1:21" ht="30" x14ac:dyDescent="0.2"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1:21" ht="30" x14ac:dyDescent="0.2"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1:21" ht="30" x14ac:dyDescent="0.2"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1:21" ht="30" x14ac:dyDescent="0.2"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1:21" ht="30" x14ac:dyDescent="0.2"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1:21" ht="30" x14ac:dyDescent="0.2"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1:21" ht="30" x14ac:dyDescent="0.2"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1:21" ht="30" x14ac:dyDescent="0.2"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1:21" ht="30" x14ac:dyDescent="0.2"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1:21" ht="30" x14ac:dyDescent="0.2"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1:21" ht="30" x14ac:dyDescent="0.2"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1:21" ht="30" x14ac:dyDescent="0.2"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1:21" ht="30" x14ac:dyDescent="0.2"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1:21" ht="30" x14ac:dyDescent="0.2"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1:21" ht="30" x14ac:dyDescent="0.2"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1:21" ht="30" x14ac:dyDescent="0.2"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1:21" ht="30" x14ac:dyDescent="0.2"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1:21" ht="30" x14ac:dyDescent="0.2"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1:21" ht="30" x14ac:dyDescent="0.2"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1:21" ht="30" x14ac:dyDescent="0.2"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1:21" ht="30" x14ac:dyDescent="0.2"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1:21" ht="30" x14ac:dyDescent="0.2"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1:21" ht="30" x14ac:dyDescent="0.2"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1:21" ht="30" x14ac:dyDescent="0.2"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1:21" ht="30" x14ac:dyDescent="0.2"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1:21" ht="30" x14ac:dyDescent="0.2"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1:21" ht="30" x14ac:dyDescent="0.2"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1:21" ht="30" x14ac:dyDescent="0.2"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1:21" ht="30" x14ac:dyDescent="0.2"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1:21" ht="30" x14ac:dyDescent="0.2"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1:21" ht="30" x14ac:dyDescent="0.2"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1:21" ht="30" x14ac:dyDescent="0.2"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1:21" ht="30" x14ac:dyDescent="0.2"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1:21" ht="30" x14ac:dyDescent="0.2"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1:21" ht="30" x14ac:dyDescent="0.2"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1:21" ht="30" x14ac:dyDescent="0.2"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1:21" ht="30" x14ac:dyDescent="0.2"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1:21" ht="30" x14ac:dyDescent="0.2"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1:21" ht="30" x14ac:dyDescent="0.2"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1:21" ht="30" x14ac:dyDescent="0.2"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1:21" ht="30" x14ac:dyDescent="0.2"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1:21" ht="30" x14ac:dyDescent="0.2"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1:21" ht="30" x14ac:dyDescent="0.2"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1:21" ht="30" x14ac:dyDescent="0.2"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1:21" ht="30" x14ac:dyDescent="0.2"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1:21" ht="30" x14ac:dyDescent="0.2"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1:21" ht="30" x14ac:dyDescent="0.2"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1:21" ht="30" x14ac:dyDescent="0.2"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1:21" ht="30" x14ac:dyDescent="0.2"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1:21" ht="30" x14ac:dyDescent="0.2"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1:21" ht="30" x14ac:dyDescent="0.2"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1:21" ht="30" x14ac:dyDescent="0.2"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1:21" ht="30" x14ac:dyDescent="0.2"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1:21" ht="30" x14ac:dyDescent="0.2"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1:21" ht="30" x14ac:dyDescent="0.2"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1:21" ht="30" x14ac:dyDescent="0.2"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1:21" ht="30" x14ac:dyDescent="0.2"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1:21" ht="30" x14ac:dyDescent="0.2"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1:21" ht="30" x14ac:dyDescent="0.2"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1:21" ht="30" x14ac:dyDescent="0.2"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1:21" ht="30" x14ac:dyDescent="0.2"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1:21" ht="30" x14ac:dyDescent="0.2"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1:21" ht="30" x14ac:dyDescent="0.2"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1:21" ht="30" x14ac:dyDescent="0.2"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1:21" ht="30" x14ac:dyDescent="0.2"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1:21" ht="30" x14ac:dyDescent="0.2"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1:21" ht="30" x14ac:dyDescent="0.2"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1:21" ht="30" x14ac:dyDescent="0.2"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1:21" ht="30" x14ac:dyDescent="0.2"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1:21" ht="30" x14ac:dyDescent="0.2"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1:21" ht="30" x14ac:dyDescent="0.2"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1:21" ht="30" x14ac:dyDescent="0.2"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1:21" ht="30" x14ac:dyDescent="0.2"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1:21" ht="30" x14ac:dyDescent="0.2"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1:21" ht="30" x14ac:dyDescent="0.2"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1:21" ht="30" x14ac:dyDescent="0.2"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1:21" ht="30" x14ac:dyDescent="0.2"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1:21" ht="30" x14ac:dyDescent="0.2"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1:21" ht="30" x14ac:dyDescent="0.2"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1:21" ht="30" x14ac:dyDescent="0.2"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1:21" ht="30" x14ac:dyDescent="0.2"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1:21" ht="30" x14ac:dyDescent="0.2"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1:21" ht="30" x14ac:dyDescent="0.2"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1:21" ht="30" x14ac:dyDescent="0.2"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1:21" ht="30" x14ac:dyDescent="0.2"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1:21" ht="30" x14ac:dyDescent="0.2"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1:21" ht="30" x14ac:dyDescent="0.2"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1:21" ht="30" x14ac:dyDescent="0.2"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1:21" ht="30" x14ac:dyDescent="0.2"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1:21" ht="30" x14ac:dyDescent="0.2"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1:21" ht="30" x14ac:dyDescent="0.2"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1:21" ht="30" x14ac:dyDescent="0.2"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1:21" ht="30" x14ac:dyDescent="0.2"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1:21" ht="30" x14ac:dyDescent="0.2"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1:21" ht="30" x14ac:dyDescent="0.2"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1:21" ht="30" x14ac:dyDescent="0.2"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1:21" ht="30" x14ac:dyDescent="0.2"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1:21" ht="30" x14ac:dyDescent="0.2"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1:21" ht="30" x14ac:dyDescent="0.2"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1:21" ht="30" x14ac:dyDescent="0.2"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1:21" ht="30" x14ac:dyDescent="0.2"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1:21" ht="30" x14ac:dyDescent="0.2"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1:21" ht="30" x14ac:dyDescent="0.2"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1:21" ht="30" x14ac:dyDescent="0.2"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1:21" ht="30" x14ac:dyDescent="0.2"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1:21" ht="30" x14ac:dyDescent="0.2"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1:21" ht="30" x14ac:dyDescent="0.2"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1:21" ht="30" x14ac:dyDescent="0.2"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1:21" ht="30" x14ac:dyDescent="0.2"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1:21" ht="30" x14ac:dyDescent="0.2"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1:21" ht="30" x14ac:dyDescent="0.2"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1:21" ht="30" x14ac:dyDescent="0.2"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1:21" ht="30" x14ac:dyDescent="0.2"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1:21" ht="30" x14ac:dyDescent="0.2"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1:21" ht="30" x14ac:dyDescent="0.2"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1:21" ht="30" x14ac:dyDescent="0.2"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1:21" ht="30" x14ac:dyDescent="0.2"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1:21" ht="30" x14ac:dyDescent="0.2"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1:21" ht="30" x14ac:dyDescent="0.2"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1:21" ht="30" x14ac:dyDescent="0.2"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1:21" ht="30" x14ac:dyDescent="0.2"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1:21" ht="30" x14ac:dyDescent="0.2"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1:21" ht="30" x14ac:dyDescent="0.2"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1:21" ht="30" x14ac:dyDescent="0.2"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1:21" ht="30" x14ac:dyDescent="0.2"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1:21" ht="30" x14ac:dyDescent="0.2"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1:21" ht="30" x14ac:dyDescent="0.2"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1:21" ht="30" x14ac:dyDescent="0.2"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1:21" ht="30" x14ac:dyDescent="0.2"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1:21" ht="30" x14ac:dyDescent="0.2"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1:21" ht="30" x14ac:dyDescent="0.2"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1:21" ht="30" x14ac:dyDescent="0.2"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1:21" ht="30" x14ac:dyDescent="0.2"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1:21" ht="30" x14ac:dyDescent="0.2"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1:21" ht="30" x14ac:dyDescent="0.2"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1:21" ht="30" x14ac:dyDescent="0.2"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1:21" ht="30" x14ac:dyDescent="0.2"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1:21" ht="30" x14ac:dyDescent="0.2"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1:21" ht="30" x14ac:dyDescent="0.2"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1:21" ht="30" x14ac:dyDescent="0.2"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1:21" ht="30" x14ac:dyDescent="0.2"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1:21" ht="30" x14ac:dyDescent="0.2"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1:21" ht="30" x14ac:dyDescent="0.2"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1:21" ht="30" x14ac:dyDescent="0.2"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1:21" ht="30" x14ac:dyDescent="0.2"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1:21" ht="30" x14ac:dyDescent="0.2"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1:21" ht="30" x14ac:dyDescent="0.2"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1:21" ht="30" x14ac:dyDescent="0.2"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1:21" ht="30" x14ac:dyDescent="0.2"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1:21" ht="30" x14ac:dyDescent="0.2"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1:21" ht="30" x14ac:dyDescent="0.2"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1:21" ht="30" x14ac:dyDescent="0.2"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1:21" ht="30" x14ac:dyDescent="0.2"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1:21" ht="30" x14ac:dyDescent="0.2"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1:21" ht="30" x14ac:dyDescent="0.2"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1:21" ht="30" x14ac:dyDescent="0.2"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1:21" ht="30" x14ac:dyDescent="0.2"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1:21" ht="30" x14ac:dyDescent="0.2"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1:21" ht="30" x14ac:dyDescent="0.2"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1:21" ht="30" x14ac:dyDescent="0.2"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1:21" ht="30" x14ac:dyDescent="0.2"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1:21" ht="30" x14ac:dyDescent="0.2"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1:21" ht="30" x14ac:dyDescent="0.2"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1:21" ht="30" x14ac:dyDescent="0.2"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1:21" ht="30" x14ac:dyDescent="0.2"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1:21" ht="30" x14ac:dyDescent="0.2"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1:21" ht="30" x14ac:dyDescent="0.2"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1:21" ht="30" x14ac:dyDescent="0.2"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1:21" ht="30" x14ac:dyDescent="0.2"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1:21" ht="30" x14ac:dyDescent="0.2"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1:21" ht="30" x14ac:dyDescent="0.2"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1:21" ht="30" x14ac:dyDescent="0.2"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1:21" ht="30" x14ac:dyDescent="0.2"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1:21" ht="30" x14ac:dyDescent="0.2"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1:21" ht="30" x14ac:dyDescent="0.2"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1:21" ht="30" x14ac:dyDescent="0.2"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1:21" ht="30" x14ac:dyDescent="0.2"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1:21" ht="30" x14ac:dyDescent="0.2"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1:21" ht="30" x14ac:dyDescent="0.2"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1:21" ht="30" x14ac:dyDescent="0.2"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1:21" ht="30" x14ac:dyDescent="0.2"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1:21" ht="30" x14ac:dyDescent="0.2"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1:21" ht="30" x14ac:dyDescent="0.2"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1:21" ht="30" x14ac:dyDescent="0.2"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1:21" ht="30" x14ac:dyDescent="0.2"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1:21" ht="30" x14ac:dyDescent="0.2"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1:21" ht="30" x14ac:dyDescent="0.2"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1:21" ht="30" x14ac:dyDescent="0.2"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1:21" ht="30" x14ac:dyDescent="0.2"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1:21" ht="30" x14ac:dyDescent="0.2"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1:21" ht="30" x14ac:dyDescent="0.2"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1:21" ht="30" x14ac:dyDescent="0.2"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1:21" ht="30" x14ac:dyDescent="0.2"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1:21" ht="30" x14ac:dyDescent="0.2"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1:21" ht="30" x14ac:dyDescent="0.2"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1:21" ht="30" x14ac:dyDescent="0.2"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1:21" ht="30" x14ac:dyDescent="0.2"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1:21" ht="30" x14ac:dyDescent="0.2"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1:21" ht="30" x14ac:dyDescent="0.2"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1:21" ht="30" x14ac:dyDescent="0.2"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1:21" ht="30" x14ac:dyDescent="0.2"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1:21" ht="30" x14ac:dyDescent="0.2"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1:21" ht="30" x14ac:dyDescent="0.2"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1:21" ht="30" x14ac:dyDescent="0.2"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1:21" ht="30" x14ac:dyDescent="0.2"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1:21" ht="30" x14ac:dyDescent="0.2"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1:21" ht="30" x14ac:dyDescent="0.2"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1:21" ht="30" x14ac:dyDescent="0.2"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1:21" ht="30" x14ac:dyDescent="0.2"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1:21" ht="30" x14ac:dyDescent="0.2"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1:21" ht="30" x14ac:dyDescent="0.2"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1:21" ht="30" x14ac:dyDescent="0.2"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1:21" ht="30" x14ac:dyDescent="0.2"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1:21" ht="30" x14ac:dyDescent="0.2"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1:21" ht="30" x14ac:dyDescent="0.2"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1:21" ht="30" x14ac:dyDescent="0.2"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1:21" ht="30" x14ac:dyDescent="0.2"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1:21" ht="30" x14ac:dyDescent="0.2"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1:21" ht="30" x14ac:dyDescent="0.2"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1:21" ht="30" x14ac:dyDescent="0.2"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1:21" ht="30" x14ac:dyDescent="0.2"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1:21" ht="30" x14ac:dyDescent="0.2"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1:21" ht="30" x14ac:dyDescent="0.2"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1:21" ht="30" x14ac:dyDescent="0.2"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1:21" ht="30" x14ac:dyDescent="0.2"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1:21" ht="30" x14ac:dyDescent="0.2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1:21" ht="30" x14ac:dyDescent="0.2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1:21" ht="30" x14ac:dyDescent="0.2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1:21" ht="30" x14ac:dyDescent="0.2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1:21" ht="30" x14ac:dyDescent="0.2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1:21" ht="30" x14ac:dyDescent="0.2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1:21" ht="30" x14ac:dyDescent="0.2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1:21" ht="30" x14ac:dyDescent="0.2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1:21" ht="30" x14ac:dyDescent="0.2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1:21" ht="30" x14ac:dyDescent="0.2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1:21" ht="30" x14ac:dyDescent="0.2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1:21" ht="30" x14ac:dyDescent="0.2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1:21" ht="30" x14ac:dyDescent="0.2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1:21" ht="30" x14ac:dyDescent="0.2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1:21" ht="30" x14ac:dyDescent="0.2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1:21" ht="30" x14ac:dyDescent="0.2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1:21" ht="30" x14ac:dyDescent="0.2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1:21" ht="30" x14ac:dyDescent="0.2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1:21" ht="30" x14ac:dyDescent="0.2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1:21" ht="30" x14ac:dyDescent="0.2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1:21" ht="30" x14ac:dyDescent="0.2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1:21" ht="30" x14ac:dyDescent="0.2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1:21" ht="30" x14ac:dyDescent="0.2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1:21" ht="30" x14ac:dyDescent="0.2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1:21" ht="30" x14ac:dyDescent="0.2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1:21" ht="30" x14ac:dyDescent="0.2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1:21" ht="30" x14ac:dyDescent="0.2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1:21" ht="30" x14ac:dyDescent="0.2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1:21" ht="30" x14ac:dyDescent="0.2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1:21" ht="30" x14ac:dyDescent="0.2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1:21" ht="30" x14ac:dyDescent="0.2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1:21" ht="30" x14ac:dyDescent="0.2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1:21" ht="30" x14ac:dyDescent="0.2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1:21" ht="30" x14ac:dyDescent="0.2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1:21" ht="30" x14ac:dyDescent="0.2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1:21" ht="30" x14ac:dyDescent="0.2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1:21" ht="30" x14ac:dyDescent="0.2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1:21" ht="30" x14ac:dyDescent="0.2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1:21" ht="30" x14ac:dyDescent="0.2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1:21" ht="30" x14ac:dyDescent="0.2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1:21" ht="30" x14ac:dyDescent="0.2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1:21" ht="30" x14ac:dyDescent="0.2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1:21" ht="30" x14ac:dyDescent="0.2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1:21" ht="30" x14ac:dyDescent="0.2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1:21" ht="30" x14ac:dyDescent="0.2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1:21" ht="30" x14ac:dyDescent="0.2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1:21" ht="30" x14ac:dyDescent="0.2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1:21" ht="30" x14ac:dyDescent="0.2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1:21" ht="30" x14ac:dyDescent="0.2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1:21" ht="30" x14ac:dyDescent="0.2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1:21" ht="30" x14ac:dyDescent="0.2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1:21" ht="30" x14ac:dyDescent="0.2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1:21" ht="30" x14ac:dyDescent="0.2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1:21" ht="30" x14ac:dyDescent="0.2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1:21" ht="30" x14ac:dyDescent="0.2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1:21" ht="30" x14ac:dyDescent="0.2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1:21" ht="30" x14ac:dyDescent="0.2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1:21" ht="30" x14ac:dyDescent="0.2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1:21" ht="30" x14ac:dyDescent="0.2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1:21" ht="30" x14ac:dyDescent="0.2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1:21" ht="30" x14ac:dyDescent="0.2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1:21" ht="30" x14ac:dyDescent="0.2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1:21" ht="30" x14ac:dyDescent="0.2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1:21" ht="30" x14ac:dyDescent="0.2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1:21" ht="30" x14ac:dyDescent="0.2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1:21" ht="30" x14ac:dyDescent="0.2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1:21" ht="30" x14ac:dyDescent="0.2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1:21" ht="30" x14ac:dyDescent="0.2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1:21" ht="30" x14ac:dyDescent="0.2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1:21" ht="30" x14ac:dyDescent="0.2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1:21" ht="30" x14ac:dyDescent="0.2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1:21" ht="30" x14ac:dyDescent="0.2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1:21" ht="30" x14ac:dyDescent="0.2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1:21" ht="30" x14ac:dyDescent="0.2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1:21" ht="30" x14ac:dyDescent="0.2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1:21" ht="30" x14ac:dyDescent="0.2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1:21" ht="30" x14ac:dyDescent="0.2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1:21" ht="30" x14ac:dyDescent="0.2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1:21" ht="30" x14ac:dyDescent="0.2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1:21" ht="30" x14ac:dyDescent="0.2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1:21" ht="30" x14ac:dyDescent="0.2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1:21" ht="30" x14ac:dyDescent="0.2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1:21" ht="30" x14ac:dyDescent="0.2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1:21" ht="30" x14ac:dyDescent="0.2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1:21" ht="30" x14ac:dyDescent="0.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1:21" ht="30" x14ac:dyDescent="0.2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1:21" ht="30" x14ac:dyDescent="0.2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1:21" ht="30" x14ac:dyDescent="0.2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1:21" ht="30" x14ac:dyDescent="0.2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1:21" ht="30" x14ac:dyDescent="0.2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1:21" ht="30" x14ac:dyDescent="0.2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1:21" ht="30" x14ac:dyDescent="0.2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1:21" ht="30" x14ac:dyDescent="0.2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1:21" ht="30" x14ac:dyDescent="0.2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1:21" ht="30" x14ac:dyDescent="0.2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1:21" ht="30" x14ac:dyDescent="0.2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1:21" ht="30" x14ac:dyDescent="0.2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1:21" ht="30" x14ac:dyDescent="0.2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1:21" ht="30" x14ac:dyDescent="0.2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1:21" ht="30" x14ac:dyDescent="0.2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1:21" ht="30" x14ac:dyDescent="0.2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1:21" ht="30" x14ac:dyDescent="0.2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1:21" ht="30" x14ac:dyDescent="0.2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1:21" ht="30" x14ac:dyDescent="0.2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1:21" ht="30" x14ac:dyDescent="0.2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1:21" ht="30" x14ac:dyDescent="0.2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1:21" ht="30" x14ac:dyDescent="0.2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1:21" ht="30" x14ac:dyDescent="0.2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1:21" ht="30" x14ac:dyDescent="0.2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1:21" ht="30" x14ac:dyDescent="0.2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1:21" ht="30" x14ac:dyDescent="0.2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1:21" ht="30" x14ac:dyDescent="0.2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1:21" ht="30" x14ac:dyDescent="0.2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1:21" ht="30" x14ac:dyDescent="0.2"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1:21" ht="30" x14ac:dyDescent="0.2"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1:21" ht="30" x14ac:dyDescent="0.2"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1:21" ht="30" x14ac:dyDescent="0.2"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1:21" ht="30" x14ac:dyDescent="0.2"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1:21" ht="30" x14ac:dyDescent="0.2"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1:21" ht="30" x14ac:dyDescent="0.2"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1:21" ht="30" x14ac:dyDescent="0.2"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1:21" ht="30" x14ac:dyDescent="0.2"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1:21" ht="30" x14ac:dyDescent="0.2"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1:21" ht="30" x14ac:dyDescent="0.2"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1:21" ht="30" x14ac:dyDescent="0.2"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1:21" ht="30" x14ac:dyDescent="0.2"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1:21" ht="30" x14ac:dyDescent="0.2"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1:21" ht="30" x14ac:dyDescent="0.2"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1:21" ht="30" x14ac:dyDescent="0.2"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1:21" ht="30" x14ac:dyDescent="0.2"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1:21" ht="30" x14ac:dyDescent="0.2"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1:21" ht="30" x14ac:dyDescent="0.2"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1:21" ht="30" x14ac:dyDescent="0.2"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1:21" ht="30" x14ac:dyDescent="0.2"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1:21" ht="30" x14ac:dyDescent="0.2"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1:21" ht="30" x14ac:dyDescent="0.2"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1:21" ht="30" x14ac:dyDescent="0.2"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1:21" ht="30" x14ac:dyDescent="0.2"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1:21" ht="30" x14ac:dyDescent="0.2"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1:21" ht="30" x14ac:dyDescent="0.2"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1:21" ht="30" x14ac:dyDescent="0.2"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1:21" ht="30" x14ac:dyDescent="0.2"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1:21" ht="30" x14ac:dyDescent="0.2"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1:21" ht="30" x14ac:dyDescent="0.2"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1:21" ht="30" x14ac:dyDescent="0.2"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1:21" ht="30" x14ac:dyDescent="0.2"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1:21" ht="30" x14ac:dyDescent="0.2"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1:21" ht="30" x14ac:dyDescent="0.2"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1:21" ht="30" x14ac:dyDescent="0.2"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1:21" ht="30" x14ac:dyDescent="0.2"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1:21" ht="30" x14ac:dyDescent="0.2"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1:21" ht="30" x14ac:dyDescent="0.2"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1:21" ht="30" x14ac:dyDescent="0.2"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1:21" ht="30" x14ac:dyDescent="0.2"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1:21" ht="30" x14ac:dyDescent="0.2"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1:21" ht="30" x14ac:dyDescent="0.2"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1:21" ht="30" x14ac:dyDescent="0.2"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1:21" ht="30" x14ac:dyDescent="0.2"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1:21" ht="30" x14ac:dyDescent="0.2"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1:21" ht="30" x14ac:dyDescent="0.2"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1:21" ht="30" x14ac:dyDescent="0.2"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1:21" ht="30" x14ac:dyDescent="0.2"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1:21" ht="30" x14ac:dyDescent="0.2"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1:21" ht="30" x14ac:dyDescent="0.2"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1:21" ht="30" x14ac:dyDescent="0.2"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1:21" ht="30" x14ac:dyDescent="0.2"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1:21" ht="30" x14ac:dyDescent="0.2"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1:21" ht="30" x14ac:dyDescent="0.2"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1:21" ht="30" x14ac:dyDescent="0.2"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1:21" ht="30" x14ac:dyDescent="0.2"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1:21" ht="30" x14ac:dyDescent="0.2"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1:21" ht="30" x14ac:dyDescent="0.2"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1:21" ht="30" x14ac:dyDescent="0.2"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1:21" ht="30" x14ac:dyDescent="0.2"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1:21" ht="30" x14ac:dyDescent="0.2"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1:21" ht="30" x14ac:dyDescent="0.2"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1:21" ht="30" x14ac:dyDescent="0.2"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1:21" ht="30" x14ac:dyDescent="0.2"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1:21" ht="30" x14ac:dyDescent="0.2"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1:21" ht="30" x14ac:dyDescent="0.2"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1:21" ht="30" x14ac:dyDescent="0.2"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1:21" ht="30" x14ac:dyDescent="0.2"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1:21" ht="30" x14ac:dyDescent="0.2"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1:21" ht="30" x14ac:dyDescent="0.2"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1:21" ht="30" x14ac:dyDescent="0.2"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1:21" ht="30" x14ac:dyDescent="0.2"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1:21" ht="30" x14ac:dyDescent="0.2"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1:21" ht="30" x14ac:dyDescent="0.2"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1:21" ht="30" x14ac:dyDescent="0.2"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1:21" ht="30" x14ac:dyDescent="0.2"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1:21" ht="30" x14ac:dyDescent="0.2"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1:21" ht="30" x14ac:dyDescent="0.2"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1:21" ht="30" x14ac:dyDescent="0.2"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1:21" ht="30" x14ac:dyDescent="0.2"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1:21" ht="30" x14ac:dyDescent="0.2"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1:21" ht="30" x14ac:dyDescent="0.2"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1:21" ht="30" x14ac:dyDescent="0.2"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1:21" ht="30" x14ac:dyDescent="0.2"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1:21" ht="30" x14ac:dyDescent="0.2"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1:21" ht="30" x14ac:dyDescent="0.2"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1:21" ht="30" x14ac:dyDescent="0.2"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1:21" ht="30" x14ac:dyDescent="0.2"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1:21" ht="30" x14ac:dyDescent="0.2"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1:21" ht="30" x14ac:dyDescent="0.2"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1:21" ht="30" x14ac:dyDescent="0.2"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1:21" ht="30" x14ac:dyDescent="0.2"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1:21" ht="30" x14ac:dyDescent="0.2"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1:21" ht="30" x14ac:dyDescent="0.2"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1:21" ht="30" x14ac:dyDescent="0.2"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1:21" ht="30" x14ac:dyDescent="0.2"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1:21" ht="30" x14ac:dyDescent="0.2"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1:21" ht="30" x14ac:dyDescent="0.2"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1:21" ht="30" x14ac:dyDescent="0.2"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1:21" ht="30" x14ac:dyDescent="0.2"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1:21" ht="30" x14ac:dyDescent="0.2"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1:21" ht="30" x14ac:dyDescent="0.2"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1:21" ht="30" x14ac:dyDescent="0.2"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1:21" ht="30" x14ac:dyDescent="0.2"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1:21" ht="30" x14ac:dyDescent="0.2"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1:21" ht="30" x14ac:dyDescent="0.2"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1:21" ht="30" x14ac:dyDescent="0.2"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1:21" ht="30" x14ac:dyDescent="0.2"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1:21" ht="30" x14ac:dyDescent="0.2"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1:21" ht="30" x14ac:dyDescent="0.2"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1:21" ht="30" x14ac:dyDescent="0.2"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1:21" ht="30" x14ac:dyDescent="0.2"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1:21" ht="30" x14ac:dyDescent="0.2"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1:21" ht="30" x14ac:dyDescent="0.2"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1:21" ht="30" x14ac:dyDescent="0.2"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1:21" ht="30" x14ac:dyDescent="0.2"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1:21" ht="30" x14ac:dyDescent="0.2"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1:21" ht="30" x14ac:dyDescent="0.2"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1:21" ht="30" x14ac:dyDescent="0.2"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1:21" ht="30" x14ac:dyDescent="0.2"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1:21" ht="30" x14ac:dyDescent="0.2"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1:21" ht="30" x14ac:dyDescent="0.2"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1:21" ht="30" x14ac:dyDescent="0.2"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1:21" ht="30" x14ac:dyDescent="0.2"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1:21" ht="30" x14ac:dyDescent="0.2"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1:21" ht="30" x14ac:dyDescent="0.2"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1:21" ht="30" x14ac:dyDescent="0.2"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1:21" ht="30" x14ac:dyDescent="0.2"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1:21" ht="30" x14ac:dyDescent="0.2"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1:21" ht="30" x14ac:dyDescent="0.2"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1:21" ht="30" x14ac:dyDescent="0.2"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1:21" ht="30" x14ac:dyDescent="0.2"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1:21" ht="30" x14ac:dyDescent="0.2"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1:21" ht="30" x14ac:dyDescent="0.2"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1:21" ht="30" x14ac:dyDescent="0.2"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1:21" ht="30" x14ac:dyDescent="0.2"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1:21" ht="30" x14ac:dyDescent="0.2"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1:21" ht="30" x14ac:dyDescent="0.2"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1:21" ht="30" x14ac:dyDescent="0.2"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1:21" ht="30" x14ac:dyDescent="0.2"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1:21" ht="30" x14ac:dyDescent="0.2"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1:21" ht="30" x14ac:dyDescent="0.2"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1:21" ht="30" x14ac:dyDescent="0.2"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1:21" ht="30" x14ac:dyDescent="0.2"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1:21" ht="30" x14ac:dyDescent="0.2"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1:21" ht="30" x14ac:dyDescent="0.2"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1:21" ht="30" x14ac:dyDescent="0.2"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1:21" ht="30" x14ac:dyDescent="0.2"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1:21" ht="30" x14ac:dyDescent="0.2"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1:21" ht="30" x14ac:dyDescent="0.2"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1:21" ht="30" x14ac:dyDescent="0.2"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1:21" ht="30" x14ac:dyDescent="0.2"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1:21" ht="30" x14ac:dyDescent="0.2"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1:21" ht="30" x14ac:dyDescent="0.2"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1:21" ht="30" x14ac:dyDescent="0.2"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1:21" ht="30" x14ac:dyDescent="0.2"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1:21" ht="30" x14ac:dyDescent="0.2"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1:21" ht="30" x14ac:dyDescent="0.2"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1:21" ht="30" x14ac:dyDescent="0.2"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1:21" ht="30" x14ac:dyDescent="0.2"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1:21" ht="30" x14ac:dyDescent="0.2"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1:21" ht="30" x14ac:dyDescent="0.2"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1:21" ht="30" x14ac:dyDescent="0.2"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1:21" ht="30" x14ac:dyDescent="0.2"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1:21" ht="30" x14ac:dyDescent="0.2"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1:21" ht="30" x14ac:dyDescent="0.2"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1:21" ht="30" x14ac:dyDescent="0.2"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1:21" ht="30" x14ac:dyDescent="0.2"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1:21" ht="30" x14ac:dyDescent="0.2"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1:21" ht="30" x14ac:dyDescent="0.2"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1:21" ht="30" x14ac:dyDescent="0.2"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1:21" ht="30" x14ac:dyDescent="0.2"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1:21" ht="30" x14ac:dyDescent="0.2"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1:21" ht="30" x14ac:dyDescent="0.2"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1:21" ht="30" x14ac:dyDescent="0.2"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1:21" ht="30" x14ac:dyDescent="0.2"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1:21" ht="30" x14ac:dyDescent="0.2"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1:21" ht="30" x14ac:dyDescent="0.2"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1:21" ht="30" x14ac:dyDescent="0.2"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1:21" ht="30" x14ac:dyDescent="0.2"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1:21" ht="30" x14ac:dyDescent="0.2"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1:21" ht="30" x14ac:dyDescent="0.2"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1:21" ht="30" x14ac:dyDescent="0.2"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1:21" ht="30" x14ac:dyDescent="0.2"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1:21" ht="30" x14ac:dyDescent="0.2"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1:21" ht="30" x14ac:dyDescent="0.2"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1:21" ht="30" x14ac:dyDescent="0.2"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1:21" ht="30" x14ac:dyDescent="0.2"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1:21" ht="30" x14ac:dyDescent="0.2"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1:21" ht="30" x14ac:dyDescent="0.2"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1:21" ht="30" x14ac:dyDescent="0.2"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1:21" ht="30" x14ac:dyDescent="0.2"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1:21" ht="30" x14ac:dyDescent="0.2"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1:21" ht="30" x14ac:dyDescent="0.2"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1:21" ht="30" x14ac:dyDescent="0.2"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1:21" ht="30" x14ac:dyDescent="0.2"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1:21" ht="30" x14ac:dyDescent="0.2"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1:21" ht="30" x14ac:dyDescent="0.2"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1:21" ht="30" x14ac:dyDescent="0.2"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1:21" ht="30" x14ac:dyDescent="0.2"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1:21" ht="30" x14ac:dyDescent="0.2"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1:21" ht="30" x14ac:dyDescent="0.2"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spans="11:21" ht="30" x14ac:dyDescent="0.2"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spans="11:21" ht="30" x14ac:dyDescent="0.2"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spans="11:21" ht="30" x14ac:dyDescent="0.2"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spans="11:21" ht="30" x14ac:dyDescent="0.2"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spans="11:21" ht="30" x14ac:dyDescent="0.2"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spans="11:21" ht="30" x14ac:dyDescent="0.2"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spans="11:21" ht="30" x14ac:dyDescent="0.2"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spans="11:21" ht="30" x14ac:dyDescent="0.2"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spans="11:21" ht="30" x14ac:dyDescent="0.2"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spans="11:21" ht="30" x14ac:dyDescent="0.2"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 spans="11:21" ht="30" x14ac:dyDescent="0.2"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spans="11:21" ht="30" x14ac:dyDescent="0.2"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spans="11:21" ht="30" x14ac:dyDescent="0.2"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spans="11:21" ht="30" x14ac:dyDescent="0.2"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 spans="11:21" ht="30" x14ac:dyDescent="0.2"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 spans="11:21" ht="30" x14ac:dyDescent="0.2"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 spans="11:21" ht="30" x14ac:dyDescent="0.2"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 spans="11:21" ht="30" x14ac:dyDescent="0.2"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 spans="11:21" ht="30" x14ac:dyDescent="0.2"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 spans="11:21" ht="30" x14ac:dyDescent="0.2"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 spans="11:21" ht="30" x14ac:dyDescent="0.2"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 spans="11:21" ht="30" x14ac:dyDescent="0.2"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 spans="11:21" ht="30" x14ac:dyDescent="0.2"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 spans="11:21" ht="30" x14ac:dyDescent="0.2"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 spans="11:21" ht="30" x14ac:dyDescent="0.2"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 spans="11:21" ht="30" x14ac:dyDescent="0.2"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 spans="11:21" ht="30" x14ac:dyDescent="0.2"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 spans="11:21" ht="30" x14ac:dyDescent="0.2"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 spans="11:21" ht="30" x14ac:dyDescent="0.2"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 spans="11:21" ht="30" x14ac:dyDescent="0.2"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 spans="11:21" ht="30" x14ac:dyDescent="0.2"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 spans="11:21" ht="30" x14ac:dyDescent="0.2"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 spans="11:21" ht="30" x14ac:dyDescent="0.2"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 spans="11:21" ht="30" x14ac:dyDescent="0.2"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 spans="11:21" ht="30" x14ac:dyDescent="0.2"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 spans="11:21" ht="30" x14ac:dyDescent="0.2"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 spans="11:21" ht="30" x14ac:dyDescent="0.2"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 spans="11:21" ht="30" x14ac:dyDescent="0.2"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 spans="11:21" ht="30" x14ac:dyDescent="0.2"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 spans="11:21" ht="30" x14ac:dyDescent="0.2"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 spans="11:21" ht="30" x14ac:dyDescent="0.2"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 spans="11:21" ht="30" x14ac:dyDescent="0.2"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 spans="11:21" ht="30" x14ac:dyDescent="0.2"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 spans="11:21" ht="30" x14ac:dyDescent="0.2"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 spans="11:21" ht="30" x14ac:dyDescent="0.2"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 spans="11:21" ht="30" x14ac:dyDescent="0.2"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 spans="11:21" ht="30" x14ac:dyDescent="0.2"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 spans="11:21" ht="30" x14ac:dyDescent="0.2"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 spans="11:21" ht="30" x14ac:dyDescent="0.2"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 spans="11:21" ht="30" x14ac:dyDescent="0.2"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 spans="11:21" ht="30" x14ac:dyDescent="0.2"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 spans="11:21" ht="30" x14ac:dyDescent="0.2"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 spans="11:21" ht="30" x14ac:dyDescent="0.2"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 spans="11:21" ht="30" x14ac:dyDescent="0.2"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 spans="11:21" ht="30" x14ac:dyDescent="0.2"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 spans="11:21" ht="30" x14ac:dyDescent="0.2"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 spans="11:21" ht="30" x14ac:dyDescent="0.2"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 spans="11:21" ht="30" x14ac:dyDescent="0.2"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 spans="11:21" ht="30" x14ac:dyDescent="0.2"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 spans="11:21" ht="30" x14ac:dyDescent="0.2"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</row>
    <row r="1064" spans="11:21" ht="30" x14ac:dyDescent="0.2"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</row>
    <row r="1065" spans="11:21" ht="30" x14ac:dyDescent="0.2"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 spans="11:21" ht="30" x14ac:dyDescent="0.2"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 spans="11:21" ht="30" x14ac:dyDescent="0.2"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</row>
    <row r="1068" spans="11:21" ht="30" x14ac:dyDescent="0.2"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 spans="11:21" ht="30" x14ac:dyDescent="0.2"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</row>
    <row r="1070" spans="11:21" ht="30" x14ac:dyDescent="0.2"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 spans="11:21" ht="30" x14ac:dyDescent="0.2"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 spans="11:21" ht="30" x14ac:dyDescent="0.2"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 spans="11:21" ht="30" x14ac:dyDescent="0.2"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</row>
    <row r="1074" spans="11:21" ht="30" x14ac:dyDescent="0.2"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 spans="11:21" ht="30" x14ac:dyDescent="0.2"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 spans="11:21" ht="30" x14ac:dyDescent="0.2"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</row>
    <row r="1077" spans="11:21" ht="30" x14ac:dyDescent="0.2"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 spans="11:21" ht="30" x14ac:dyDescent="0.2"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 spans="11:21" ht="30" x14ac:dyDescent="0.2"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</row>
    <row r="1080" spans="11:21" ht="30" x14ac:dyDescent="0.2"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 spans="11:21" ht="30" x14ac:dyDescent="0.2"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</row>
    <row r="1082" spans="11:21" ht="30" x14ac:dyDescent="0.2"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 spans="11:21" ht="30" x14ac:dyDescent="0.2"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 spans="11:21" ht="30" x14ac:dyDescent="0.2"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</row>
    <row r="1085" spans="11:21" ht="30" x14ac:dyDescent="0.2"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 spans="11:21" ht="30" x14ac:dyDescent="0.2"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 spans="11:21" ht="30" x14ac:dyDescent="0.2"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</row>
    <row r="1088" spans="11:21" ht="30" x14ac:dyDescent="0.2"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</row>
    <row r="1089" spans="11:21" ht="30" x14ac:dyDescent="0.2"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 spans="11:21" ht="30" x14ac:dyDescent="0.2"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 spans="11:21" ht="30" x14ac:dyDescent="0.2"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 spans="11:21" ht="30" x14ac:dyDescent="0.2"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 spans="11:21" ht="30" x14ac:dyDescent="0.2"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 spans="11:21" ht="30" x14ac:dyDescent="0.2"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</row>
    <row r="1095" spans="11:21" ht="30" x14ac:dyDescent="0.2"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 spans="11:21" ht="30" x14ac:dyDescent="0.2"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</row>
    <row r="1097" spans="11:21" ht="30" x14ac:dyDescent="0.2"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 spans="11:21" ht="30" x14ac:dyDescent="0.2"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 spans="11:21" ht="30" x14ac:dyDescent="0.2"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 spans="11:21" ht="30" x14ac:dyDescent="0.2"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 spans="11:21" ht="30" x14ac:dyDescent="0.2"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 spans="11:21" ht="30" x14ac:dyDescent="0.2"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 spans="11:21" ht="30" x14ac:dyDescent="0.2"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</row>
    <row r="1104" spans="11:21" ht="30" x14ac:dyDescent="0.2"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 spans="11:21" ht="30" x14ac:dyDescent="0.2"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</row>
    <row r="1106" spans="11:21" ht="30" x14ac:dyDescent="0.2"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 spans="11:21" ht="30" x14ac:dyDescent="0.2"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 spans="11:21" ht="30" x14ac:dyDescent="0.2"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</row>
    <row r="1109" spans="11:21" ht="30" x14ac:dyDescent="0.2"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 spans="11:21" ht="30" x14ac:dyDescent="0.2"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 spans="11:21" ht="30" x14ac:dyDescent="0.2"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</row>
    <row r="1112" spans="11:21" ht="30" x14ac:dyDescent="0.2"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 spans="11:21" ht="30" x14ac:dyDescent="0.2"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 spans="11:21" ht="30" x14ac:dyDescent="0.2"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</row>
    <row r="1115" spans="11:21" ht="30" x14ac:dyDescent="0.2"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 spans="11:21" ht="30" x14ac:dyDescent="0.2"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 spans="11:21" ht="30" x14ac:dyDescent="0.2"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</row>
    <row r="1118" spans="11:21" ht="30" x14ac:dyDescent="0.2"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 spans="11:21" ht="30" x14ac:dyDescent="0.2"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 spans="11:21" ht="30" x14ac:dyDescent="0.2"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 spans="11:21" ht="30" x14ac:dyDescent="0.2"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</row>
    <row r="1122" spans="11:21" ht="30" x14ac:dyDescent="0.2"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 spans="11:21" ht="30" x14ac:dyDescent="0.2"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</row>
    <row r="1124" spans="11:21" ht="30" x14ac:dyDescent="0.2"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 spans="11:21" ht="30" x14ac:dyDescent="0.2"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 spans="11:21" ht="30" x14ac:dyDescent="0.2"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 spans="11:21" ht="30" x14ac:dyDescent="0.2"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 spans="11:21" ht="30" x14ac:dyDescent="0.2"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 spans="11:21" ht="30" x14ac:dyDescent="0.2"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 spans="11:21" ht="30" x14ac:dyDescent="0.2"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 spans="11:21" ht="30" x14ac:dyDescent="0.2"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 spans="11:21" ht="30" x14ac:dyDescent="0.2"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 spans="11:21" ht="30" x14ac:dyDescent="0.2"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</row>
    <row r="1134" spans="11:21" ht="30" x14ac:dyDescent="0.2"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 spans="11:21" ht="30" x14ac:dyDescent="0.2"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 spans="11:21" ht="30" x14ac:dyDescent="0.2"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</row>
    <row r="1137" spans="11:21" ht="30" x14ac:dyDescent="0.2"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 spans="11:21" ht="30" x14ac:dyDescent="0.2"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 spans="11:21" ht="30" x14ac:dyDescent="0.2"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 spans="11:21" ht="30" x14ac:dyDescent="0.2"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 spans="11:21" ht="30" x14ac:dyDescent="0.2"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</row>
    <row r="1142" spans="11:21" ht="30" x14ac:dyDescent="0.2"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 spans="11:21" ht="30" x14ac:dyDescent="0.2"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 spans="11:21" ht="30" x14ac:dyDescent="0.2"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</row>
    <row r="1145" spans="11:21" ht="30" x14ac:dyDescent="0.2"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 spans="11:21" ht="30" x14ac:dyDescent="0.2"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 spans="11:21" ht="30" x14ac:dyDescent="0.2"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 spans="11:21" ht="30" x14ac:dyDescent="0.2"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</row>
    <row r="1149" spans="11:21" ht="30" x14ac:dyDescent="0.2"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 spans="11:21" ht="30" x14ac:dyDescent="0.2"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</row>
    <row r="1151" spans="11:21" ht="30" x14ac:dyDescent="0.2"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</row>
    <row r="1152" spans="11:21" ht="30" x14ac:dyDescent="0.2"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 spans="11:21" ht="30" x14ac:dyDescent="0.2"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</row>
    <row r="1154" spans="11:21" ht="30" x14ac:dyDescent="0.2"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</row>
    <row r="1155" spans="11:21" ht="30" x14ac:dyDescent="0.2"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 spans="11:21" ht="30" x14ac:dyDescent="0.2"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</row>
    <row r="1157" spans="11:21" ht="30" x14ac:dyDescent="0.2"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</row>
    <row r="1158" spans="11:21" ht="30" x14ac:dyDescent="0.2"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 spans="11:21" ht="30" x14ac:dyDescent="0.2"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 spans="11:21" ht="30" x14ac:dyDescent="0.2"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 spans="11:21" ht="30" x14ac:dyDescent="0.2"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 spans="11:21" ht="30" x14ac:dyDescent="0.2"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 spans="11:21" ht="30" x14ac:dyDescent="0.2"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 spans="11:21" ht="30" x14ac:dyDescent="0.2"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 spans="11:21" ht="30" x14ac:dyDescent="0.2"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 spans="11:21" ht="30" x14ac:dyDescent="0.2"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</row>
    <row r="1167" spans="11:21" ht="30" x14ac:dyDescent="0.2"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 spans="11:21" ht="30" x14ac:dyDescent="0.2"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 spans="11:21" ht="30" x14ac:dyDescent="0.2"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 spans="11:21" ht="30" x14ac:dyDescent="0.2"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 spans="11:21" ht="30" x14ac:dyDescent="0.2"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</row>
    <row r="1172" spans="11:21" ht="30" x14ac:dyDescent="0.2"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 spans="11:21" ht="30" x14ac:dyDescent="0.2"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 spans="11:21" ht="30" x14ac:dyDescent="0.2"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</row>
    <row r="1175" spans="11:21" ht="30" x14ac:dyDescent="0.2"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</row>
    <row r="1176" spans="11:21" ht="30" x14ac:dyDescent="0.2"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 spans="11:21" ht="30" x14ac:dyDescent="0.2"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 spans="11:21" ht="30" x14ac:dyDescent="0.2"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</row>
    <row r="1179" spans="11:21" ht="30" x14ac:dyDescent="0.2"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 spans="11:21" ht="30" x14ac:dyDescent="0.2"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</row>
    <row r="1181" spans="11:21" ht="30" x14ac:dyDescent="0.2"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</row>
    <row r="1182" spans="11:21" ht="30" x14ac:dyDescent="0.2"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 spans="11:21" ht="30" x14ac:dyDescent="0.2"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</row>
    <row r="1184" spans="11:21" ht="30" x14ac:dyDescent="0.2"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</row>
    <row r="1185" spans="11:21" ht="30" x14ac:dyDescent="0.2"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 spans="11:21" ht="30" x14ac:dyDescent="0.2"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 spans="11:21" ht="30" x14ac:dyDescent="0.2"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</row>
    <row r="1188" spans="11:21" ht="30" x14ac:dyDescent="0.2"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 spans="11:21" ht="30" x14ac:dyDescent="0.2"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</row>
    <row r="1190" spans="11:21" ht="30" x14ac:dyDescent="0.2"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 spans="11:21" ht="30" x14ac:dyDescent="0.2"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 spans="11:21" ht="30" x14ac:dyDescent="0.2"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</row>
    <row r="1193" spans="11:21" ht="30" x14ac:dyDescent="0.2"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 spans="11:21" ht="30" x14ac:dyDescent="0.2"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 spans="11:21" ht="30" x14ac:dyDescent="0.2"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 spans="11:21" ht="30" x14ac:dyDescent="0.2"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 spans="11:21" ht="30" x14ac:dyDescent="0.2"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 spans="11:21" ht="30" x14ac:dyDescent="0.2"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</row>
    <row r="1199" spans="11:21" ht="30" x14ac:dyDescent="0.2"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</row>
    <row r="1200" spans="11:21" ht="30" x14ac:dyDescent="0.2"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 spans="11:21" ht="30" x14ac:dyDescent="0.2"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</row>
    <row r="1202" spans="11:21" ht="30" x14ac:dyDescent="0.2"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</row>
    <row r="1203" spans="11:21" ht="30" x14ac:dyDescent="0.2"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 spans="11:21" ht="30" x14ac:dyDescent="0.2"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</row>
    <row r="1205" spans="11:21" ht="30" x14ac:dyDescent="0.2"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</row>
    <row r="1206" spans="11:21" ht="30" x14ac:dyDescent="0.2"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 spans="11:21" ht="30" x14ac:dyDescent="0.2"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</row>
    <row r="1208" spans="11:21" ht="30" x14ac:dyDescent="0.2"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</row>
    <row r="1209" spans="11:21" ht="30" x14ac:dyDescent="0.2"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 spans="11:21" ht="30" x14ac:dyDescent="0.2"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</row>
    <row r="1211" spans="11:21" ht="30" x14ac:dyDescent="0.2"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</row>
    <row r="1212" spans="11:21" ht="30" x14ac:dyDescent="0.2"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 spans="11:21" ht="30" x14ac:dyDescent="0.2"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</row>
    <row r="1214" spans="11:21" ht="30" x14ac:dyDescent="0.2"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</row>
    <row r="1215" spans="11:21" ht="30" x14ac:dyDescent="0.2"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 spans="11:21" ht="30" x14ac:dyDescent="0.2"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 spans="11:21" ht="30" x14ac:dyDescent="0.2"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</row>
    <row r="1218" spans="11:21" ht="30" x14ac:dyDescent="0.2"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 spans="11:21" ht="30" x14ac:dyDescent="0.2"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</row>
    <row r="1220" spans="11:21" ht="30" x14ac:dyDescent="0.2"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</row>
    <row r="1221" spans="11:21" ht="30" x14ac:dyDescent="0.2"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 spans="11:21" ht="30" x14ac:dyDescent="0.2"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</row>
    <row r="1223" spans="11:21" ht="30" x14ac:dyDescent="0.2"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</row>
    <row r="1224" spans="11:21" ht="30" x14ac:dyDescent="0.2"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 spans="11:21" ht="30" x14ac:dyDescent="0.2"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 spans="11:21" ht="30" x14ac:dyDescent="0.2"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 spans="11:21" ht="30" x14ac:dyDescent="0.2"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 spans="11:21" ht="30" x14ac:dyDescent="0.2"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</row>
    <row r="1229" spans="11:21" ht="30" x14ac:dyDescent="0.2"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</row>
    <row r="1230" spans="11:21" ht="30" x14ac:dyDescent="0.2"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 spans="11:21" ht="30" x14ac:dyDescent="0.2"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 spans="11:21" ht="30" x14ac:dyDescent="0.2"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 spans="11:21" ht="30" x14ac:dyDescent="0.2"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 spans="11:21" ht="30" x14ac:dyDescent="0.2"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</row>
    <row r="1235" spans="11:21" ht="30" x14ac:dyDescent="0.2"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</row>
    <row r="1236" spans="11:21" ht="30" x14ac:dyDescent="0.2"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 spans="11:21" ht="30" x14ac:dyDescent="0.2"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</row>
    <row r="1238" spans="11:21" ht="30" x14ac:dyDescent="0.2"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 spans="11:21" ht="30" x14ac:dyDescent="0.2"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 spans="11:21" thickBot="1" x14ac:dyDescent="0.25"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</row>
    <row r="1241" spans="11:21" thickBot="1" x14ac:dyDescent="0.25">
      <c r="K1241" s="2"/>
      <c r="L1241" s="2"/>
      <c r="M1241" s="2"/>
      <c r="N1241" s="2"/>
    </row>
    <row r="1242" spans="11:21" thickBot="1" x14ac:dyDescent="0.25">
      <c r="K1242" s="2"/>
    </row>
    <row r="1243" spans="11:21" thickBot="1" x14ac:dyDescent="0.25">
      <c r="K1243" s="2"/>
    </row>
    <row r="1244" spans="11:21" thickBot="1" x14ac:dyDescent="0.25">
      <c r="K1244" s="2"/>
    </row>
  </sheetData>
  <mergeCells count="39">
    <mergeCell ref="P3:P4"/>
    <mergeCell ref="F4:G4"/>
    <mergeCell ref="J4:K4"/>
    <mergeCell ref="F7:G7"/>
    <mergeCell ref="J7:K7"/>
    <mergeCell ref="P5:P6"/>
    <mergeCell ref="F6:G6"/>
    <mergeCell ref="J6:K6"/>
    <mergeCell ref="F2:H2"/>
    <mergeCell ref="J2:L2"/>
    <mergeCell ref="F3:G3"/>
    <mergeCell ref="J3:K3"/>
    <mergeCell ref="F5:G5"/>
    <mergeCell ref="J5:K5"/>
    <mergeCell ref="F8:G8"/>
    <mergeCell ref="J8:K8"/>
    <mergeCell ref="F9:G9"/>
    <mergeCell ref="J9:K9"/>
    <mergeCell ref="F10:G10"/>
    <mergeCell ref="J10:K10"/>
    <mergeCell ref="B18:C18"/>
    <mergeCell ref="F11:G11"/>
    <mergeCell ref="J11:K11"/>
    <mergeCell ref="F12:G12"/>
    <mergeCell ref="J12:K12"/>
    <mergeCell ref="F13:G13"/>
    <mergeCell ref="J13:K13"/>
    <mergeCell ref="F14:G14"/>
    <mergeCell ref="J14:K14"/>
    <mergeCell ref="B15:C15"/>
    <mergeCell ref="B16:C16"/>
    <mergeCell ref="B17:C17"/>
    <mergeCell ref="B33:B34"/>
    <mergeCell ref="B20:B21"/>
    <mergeCell ref="B22:B23"/>
    <mergeCell ref="B25:B26"/>
    <mergeCell ref="B27:B28"/>
    <mergeCell ref="B29:B30"/>
    <mergeCell ref="B31:B32"/>
  </mergeCells>
  <pageMargins left="0.25" right="0.25" top="0.75" bottom="0.75" header="0.3" footer="0.3"/>
  <pageSetup paperSize="9" scale="21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8AF9-FF2A-447C-8962-7F45F6A573CD}">
  <sheetPr>
    <tabColor theme="9" tint="0.59999389629810485"/>
  </sheetPr>
  <dimension ref="A1:K31"/>
  <sheetViews>
    <sheetView workbookViewId="0">
      <selection activeCell="M6" sqref="M6"/>
    </sheetView>
  </sheetViews>
  <sheetFormatPr defaultRowHeight="15" x14ac:dyDescent="0.2"/>
  <cols>
    <col min="1" max="1" width="10.76171875" customWidth="1"/>
  </cols>
  <sheetData>
    <row r="1" spans="1:11" ht="18" customHeight="1" x14ac:dyDescent="0.2">
      <c r="A1" s="221" t="s">
        <v>145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x14ac:dyDescent="0.2">
      <c r="A2" s="221" t="s">
        <v>146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x14ac:dyDescent="0.2">
      <c r="A3" s="221" t="s">
        <v>147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x14ac:dyDescent="0.2">
      <c r="A4" s="221" t="s">
        <v>148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x14ac:dyDescent="0.2">
      <c r="A5" s="222" t="s">
        <v>149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</row>
    <row r="6" spans="1:11" x14ac:dyDescent="0.2">
      <c r="A6" s="221" t="s">
        <v>150</v>
      </c>
      <c r="B6" s="221"/>
      <c r="C6" s="221"/>
      <c r="D6" s="221"/>
      <c r="E6" s="221"/>
      <c r="F6" s="221"/>
      <c r="G6" s="221"/>
      <c r="H6" s="221"/>
      <c r="I6" s="221"/>
      <c r="J6" s="221"/>
      <c r="K6" s="221"/>
    </row>
    <row r="7" spans="1:11" x14ac:dyDescent="0.2">
      <c r="A7" s="221" t="s">
        <v>151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</row>
    <row r="8" spans="1:11" x14ac:dyDescent="0.2">
      <c r="A8" s="222" t="s">
        <v>152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</row>
    <row r="9" spans="1:11" x14ac:dyDescent="0.2">
      <c r="A9" s="221" t="s">
        <v>153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</row>
    <row r="10" spans="1:11" x14ac:dyDescent="0.2">
      <c r="A10" s="222" t="s">
        <v>154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</row>
    <row r="11" spans="1:11" x14ac:dyDescent="0.2">
      <c r="A11" s="221" t="s">
        <v>155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</row>
    <row r="12" spans="1:11" x14ac:dyDescent="0.2">
      <c r="A12" s="222" t="s">
        <v>156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</row>
    <row r="13" spans="1:11" x14ac:dyDescent="0.2">
      <c r="A13" s="221" t="s">
        <v>157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1"/>
    </row>
    <row r="14" spans="1:11" x14ac:dyDescent="0.2">
      <c r="A14" s="222" t="s">
        <v>158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</row>
    <row r="15" spans="1:11" x14ac:dyDescent="0.2">
      <c r="A15" s="221" t="s">
        <v>159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1"/>
    </row>
    <row r="16" spans="1:11" x14ac:dyDescent="0.2">
      <c r="A16" s="221" t="s">
        <v>160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</row>
    <row r="17" spans="1:11" x14ac:dyDescent="0.2">
      <c r="A17" s="221" t="s">
        <v>161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</row>
    <row r="18" spans="1:11" x14ac:dyDescent="0.2">
      <c r="A18" s="221" t="s">
        <v>162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</row>
    <row r="19" spans="1:11" x14ac:dyDescent="0.2">
      <c r="A19" s="221" t="s">
        <v>163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</row>
    <row r="20" spans="1:11" x14ac:dyDescent="0.2">
      <c r="A20" s="222" t="s">
        <v>164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</row>
    <row r="21" spans="1:11" x14ac:dyDescent="0.2">
      <c r="A21" s="221" t="s">
        <v>165</v>
      </c>
      <c r="B21" s="221"/>
      <c r="C21" s="221"/>
      <c r="D21" s="221"/>
      <c r="E21" s="221"/>
      <c r="F21" s="221"/>
      <c r="G21" s="221"/>
      <c r="H21" s="221"/>
      <c r="I21" s="221"/>
      <c r="J21" s="221"/>
      <c r="K21" s="221"/>
    </row>
    <row r="22" spans="1:11" x14ac:dyDescent="0.2">
      <c r="A22" s="221" t="s">
        <v>166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</row>
    <row r="23" spans="1:11" x14ac:dyDescent="0.2">
      <c r="A23" s="221" t="s">
        <v>167</v>
      </c>
      <c r="B23" s="221"/>
      <c r="C23" s="221"/>
      <c r="D23" s="221"/>
      <c r="E23" s="221"/>
      <c r="F23" s="221"/>
      <c r="G23" s="221"/>
      <c r="H23" s="221"/>
      <c r="I23" s="221"/>
      <c r="J23" s="221"/>
      <c r="K23" s="221"/>
    </row>
    <row r="24" spans="1:11" x14ac:dyDescent="0.2">
      <c r="A24" s="221" t="s">
        <v>168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</row>
    <row r="25" spans="1:11" x14ac:dyDescent="0.2">
      <c r="A25" s="221" t="s">
        <v>169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</row>
    <row r="26" spans="1:11" x14ac:dyDescent="0.2">
      <c r="A26" t="s">
        <v>170</v>
      </c>
    </row>
    <row r="27" spans="1:11" x14ac:dyDescent="0.2">
      <c r="A27" t="s">
        <v>171</v>
      </c>
    </row>
    <row r="28" spans="1:11" x14ac:dyDescent="0.2">
      <c r="A28" t="s">
        <v>172</v>
      </c>
    </row>
    <row r="29" spans="1:11" x14ac:dyDescent="0.2">
      <c r="A29" t="s">
        <v>173</v>
      </c>
    </row>
    <row r="30" spans="1:11" x14ac:dyDescent="0.2">
      <c r="A30" t="s">
        <v>175</v>
      </c>
    </row>
    <row r="31" spans="1:11" x14ac:dyDescent="0.2">
      <c r="A31" t="s">
        <v>174</v>
      </c>
    </row>
  </sheetData>
  <mergeCells count="25">
    <mergeCell ref="A6:K6"/>
    <mergeCell ref="A1:K1"/>
    <mergeCell ref="A2:K2"/>
    <mergeCell ref="A3:K3"/>
    <mergeCell ref="A4:K4"/>
    <mergeCell ref="A5:K5"/>
    <mergeCell ref="A18:K18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25:K25"/>
    <mergeCell ref="A19:K19"/>
    <mergeCell ref="A20:K20"/>
    <mergeCell ref="A21:K21"/>
    <mergeCell ref="A22:K22"/>
    <mergeCell ref="A23:K23"/>
    <mergeCell ref="A24:K2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AB0E-A613-4D2C-A340-84B57B3B219F}">
  <sheetPr>
    <tabColor theme="9" tint="0.59999389629810485"/>
  </sheetPr>
  <dimension ref="B1:AU1244"/>
  <sheetViews>
    <sheetView showGridLines="0" zoomScale="46" zoomScaleNormal="46" zoomScaleSheetLayoutView="50" workbookViewId="0">
      <selection activeCell="I10" sqref="I10"/>
    </sheetView>
  </sheetViews>
  <sheetFormatPr defaultRowHeight="30.75" thickBottom="1" x14ac:dyDescent="0.25"/>
  <cols>
    <col min="1" max="1" width="2.15234375" customWidth="1"/>
    <col min="2" max="2" width="16.41015625" style="1" customWidth="1"/>
    <col min="3" max="3" width="16.94921875" customWidth="1"/>
    <col min="4" max="4" width="29.45703125" customWidth="1"/>
    <col min="5" max="6" width="26.23046875" customWidth="1"/>
    <col min="7" max="7" width="26.36328125" style="1" customWidth="1"/>
    <col min="8" max="9" width="26.23046875" customWidth="1"/>
    <col min="10" max="10" width="29.19140625" customWidth="1"/>
    <col min="11" max="11" width="26.23046875" style="3" customWidth="1"/>
    <col min="12" max="12" width="28.25" style="3" customWidth="1"/>
    <col min="13" max="15" width="26.23046875" style="3" customWidth="1"/>
    <col min="16" max="16" width="27.44140625" style="3" customWidth="1"/>
    <col min="17" max="21" width="26.23046875" style="3" customWidth="1"/>
    <col min="22" max="22" width="31.4765625" style="3" customWidth="1"/>
    <col min="23" max="29" width="26.23046875" customWidth="1"/>
    <col min="30" max="30" width="21.25390625" bestFit="1" customWidth="1"/>
    <col min="31" max="33" width="18.5625" customWidth="1"/>
    <col min="34" max="34" width="19.1015625" customWidth="1"/>
    <col min="35" max="35" width="18.16015625" customWidth="1"/>
    <col min="36" max="36" width="31.34375" customWidth="1"/>
    <col min="37" max="37" width="26.6328125" customWidth="1"/>
  </cols>
  <sheetData>
    <row r="1" spans="2:47" ht="10.5" customHeight="1" thickBot="1" x14ac:dyDescent="0.35">
      <c r="B1" s="59"/>
      <c r="C1" s="58"/>
      <c r="D1" s="58"/>
      <c r="K1"/>
      <c r="L1"/>
      <c r="M1"/>
      <c r="N1"/>
      <c r="O1"/>
      <c r="P1"/>
      <c r="Q1"/>
      <c r="R1"/>
      <c r="S1"/>
      <c r="T1"/>
      <c r="U1"/>
      <c r="V1"/>
      <c r="AC1" s="11"/>
      <c r="AD1" s="11"/>
      <c r="AE1" s="11"/>
    </row>
    <row r="2" spans="2:47" ht="40.5" customHeight="1" thickBot="1" x14ac:dyDescent="0.35">
      <c r="B2" s="59"/>
      <c r="C2" s="58"/>
      <c r="D2" s="58"/>
      <c r="F2" s="214" t="s">
        <v>60</v>
      </c>
      <c r="G2" s="215"/>
      <c r="H2" s="216"/>
      <c r="K2"/>
      <c r="L2"/>
      <c r="M2"/>
      <c r="N2"/>
      <c r="O2"/>
      <c r="P2"/>
      <c r="Q2"/>
      <c r="R2"/>
      <c r="S2"/>
      <c r="T2"/>
      <c r="U2"/>
      <c r="V2"/>
      <c r="Y2" s="11"/>
      <c r="Z2" s="11"/>
      <c r="AA2" s="11"/>
    </row>
    <row r="3" spans="2:47" s="30" customFormat="1" ht="24.75" customHeight="1" x14ac:dyDescent="0.25">
      <c r="B3" s="60"/>
      <c r="C3" s="46"/>
      <c r="D3" s="49"/>
      <c r="E3" s="56"/>
      <c r="F3" s="217" t="s">
        <v>38</v>
      </c>
      <c r="G3" s="217"/>
      <c r="H3" s="32">
        <f>(H17+H18)*200</f>
        <v>325000</v>
      </c>
      <c r="I3" s="50"/>
      <c r="J3" s="51"/>
      <c r="K3" s="48"/>
      <c r="L3" s="218"/>
      <c r="M3" s="47"/>
      <c r="N3" s="47"/>
      <c r="O3" s="50"/>
      <c r="P3" s="51"/>
      <c r="Q3" s="48"/>
      <c r="R3" s="49"/>
      <c r="S3" s="47"/>
      <c r="T3" s="50"/>
      <c r="U3" s="50"/>
      <c r="V3" s="51"/>
      <c r="W3" s="48"/>
      <c r="X3" s="52"/>
      <c r="Y3" s="53"/>
      <c r="Z3" s="53"/>
      <c r="AA3" s="35"/>
    </row>
    <row r="4" spans="2:47" s="30" customFormat="1" ht="24.75" customHeight="1" x14ac:dyDescent="0.25">
      <c r="B4" s="60"/>
      <c r="C4" s="46"/>
      <c r="D4" s="49"/>
      <c r="E4" s="47"/>
      <c r="F4" s="219" t="s">
        <v>39</v>
      </c>
      <c r="G4" s="219"/>
      <c r="H4" s="34">
        <f>(I17+I18)*100</f>
        <v>345000</v>
      </c>
      <c r="I4" s="54"/>
      <c r="J4" s="51"/>
      <c r="K4" s="48"/>
      <c r="L4" s="218"/>
      <c r="M4" s="47"/>
      <c r="N4" s="47"/>
      <c r="O4" s="50"/>
      <c r="P4" s="51"/>
      <c r="Q4" s="48"/>
      <c r="R4" s="64"/>
      <c r="S4" s="47"/>
      <c r="T4" s="50"/>
      <c r="U4" s="50"/>
      <c r="V4" s="51"/>
      <c r="W4" s="48"/>
      <c r="X4" s="52"/>
      <c r="Y4" s="53"/>
      <c r="Z4" s="53"/>
      <c r="AA4" s="35"/>
    </row>
    <row r="5" spans="2:47" s="30" customFormat="1" ht="24.75" customHeight="1" x14ac:dyDescent="0.25">
      <c r="B5" s="60"/>
      <c r="C5" s="46"/>
      <c r="D5" s="49"/>
      <c r="E5" s="47"/>
      <c r="F5" s="219" t="s">
        <v>40</v>
      </c>
      <c r="G5" s="219"/>
      <c r="H5" s="34">
        <f>(J17+J18)*160</f>
        <v>160000</v>
      </c>
      <c r="I5" s="54"/>
      <c r="J5" s="51"/>
      <c r="K5" s="48"/>
      <c r="L5" s="218"/>
      <c r="M5" s="47"/>
      <c r="N5" s="47"/>
      <c r="O5" s="50"/>
      <c r="P5" s="51"/>
      <c r="Q5" s="48"/>
      <c r="R5" s="64"/>
      <c r="S5" s="47"/>
      <c r="T5" s="50"/>
      <c r="U5" s="50"/>
      <c r="V5" s="51"/>
      <c r="W5" s="48"/>
      <c r="X5" s="52"/>
      <c r="Y5" s="52"/>
      <c r="Z5" s="52"/>
    </row>
    <row r="6" spans="2:47" s="30" customFormat="1" ht="24.75" customHeight="1" x14ac:dyDescent="0.25">
      <c r="B6" s="60"/>
      <c r="C6" s="46"/>
      <c r="D6" s="49"/>
      <c r="E6" s="47"/>
      <c r="F6" s="219" t="s">
        <v>41</v>
      </c>
      <c r="G6" s="219"/>
      <c r="H6" s="34">
        <f>(K17+K18)*200</f>
        <v>200000</v>
      </c>
      <c r="I6" s="54"/>
      <c r="J6" s="51"/>
      <c r="K6" s="48"/>
      <c r="L6" s="218"/>
      <c r="M6" s="47"/>
      <c r="N6" s="47"/>
      <c r="O6" s="50"/>
      <c r="P6" s="51"/>
      <c r="Q6" s="48"/>
      <c r="R6" s="64"/>
      <c r="S6" s="47"/>
      <c r="T6" s="50"/>
      <c r="U6" s="50"/>
      <c r="V6" s="51"/>
      <c r="W6" s="48"/>
      <c r="X6" s="52"/>
      <c r="Y6" s="52"/>
      <c r="Z6" s="52"/>
    </row>
    <row r="7" spans="2:47" s="30" customFormat="1" ht="24.75" customHeight="1" x14ac:dyDescent="0.25">
      <c r="B7" s="60"/>
      <c r="C7" s="46"/>
      <c r="D7" s="49"/>
      <c r="E7" s="47"/>
      <c r="F7" s="219" t="s">
        <v>46</v>
      </c>
      <c r="G7" s="219"/>
      <c r="H7" s="34">
        <f>(L17+L18)*400</f>
        <v>800000</v>
      </c>
      <c r="I7" s="54"/>
      <c r="J7" s="51"/>
      <c r="K7" s="48"/>
      <c r="L7" s="64"/>
      <c r="M7" s="47"/>
      <c r="N7" s="47"/>
      <c r="O7" s="50"/>
      <c r="P7" s="51"/>
      <c r="Q7" s="48"/>
      <c r="R7" s="64"/>
      <c r="S7" s="47"/>
      <c r="T7" s="50"/>
      <c r="U7" s="50"/>
      <c r="V7" s="51"/>
      <c r="W7" s="48"/>
      <c r="X7" s="52"/>
      <c r="Y7" s="52"/>
      <c r="Z7" s="52"/>
    </row>
    <row r="8" spans="2:47" s="30" customFormat="1" ht="24.75" customHeight="1" x14ac:dyDescent="0.25">
      <c r="B8" s="60"/>
      <c r="C8" s="46"/>
      <c r="D8" s="49"/>
      <c r="E8" s="47"/>
      <c r="F8" s="219" t="s">
        <v>42</v>
      </c>
      <c r="G8" s="219"/>
      <c r="H8" s="34">
        <f>(M17+M18)*500</f>
        <v>2000000</v>
      </c>
      <c r="I8" s="54"/>
      <c r="J8" s="51"/>
      <c r="K8" s="48"/>
      <c r="L8" s="64"/>
      <c r="M8" s="47"/>
      <c r="N8" s="47"/>
      <c r="O8" s="50"/>
      <c r="P8" s="51"/>
      <c r="Q8" s="48"/>
      <c r="R8" s="64"/>
      <c r="S8" s="47"/>
      <c r="T8" s="50"/>
      <c r="U8" s="50"/>
      <c r="V8" s="51"/>
      <c r="W8" s="48"/>
      <c r="X8" s="52"/>
      <c r="Y8" s="52"/>
      <c r="Z8" s="52"/>
    </row>
    <row r="9" spans="2:47" s="30" customFormat="1" ht="24.75" customHeight="1" x14ac:dyDescent="0.25">
      <c r="B9" s="60"/>
      <c r="C9" s="46"/>
      <c r="D9" s="49"/>
      <c r="E9" s="47"/>
      <c r="F9" s="219" t="s">
        <v>43</v>
      </c>
      <c r="G9" s="219"/>
      <c r="H9" s="34">
        <f>(O17+O18)*500</f>
        <v>662500</v>
      </c>
      <c r="I9" s="54"/>
      <c r="J9" s="51"/>
      <c r="K9" s="48"/>
      <c r="L9" s="64"/>
      <c r="M9" s="47"/>
      <c r="N9" s="47"/>
      <c r="O9" s="50"/>
      <c r="P9" s="51"/>
      <c r="Q9" s="48"/>
      <c r="R9" s="64"/>
      <c r="S9" s="47"/>
      <c r="T9" s="50"/>
      <c r="U9" s="50"/>
      <c r="V9" s="51"/>
      <c r="W9" s="48"/>
      <c r="X9" s="52"/>
      <c r="Y9" s="52"/>
      <c r="Z9" s="52"/>
    </row>
    <row r="10" spans="2:47" s="30" customFormat="1" ht="24.75" customHeight="1" x14ac:dyDescent="0.25">
      <c r="B10" s="60"/>
      <c r="C10" s="46"/>
      <c r="D10" s="49"/>
      <c r="E10" s="47"/>
      <c r="F10" s="219" t="s">
        <v>44</v>
      </c>
      <c r="G10" s="219"/>
      <c r="H10" s="34">
        <f>(P17+P18)*500</f>
        <v>875000</v>
      </c>
      <c r="I10" s="54"/>
      <c r="J10" s="51"/>
      <c r="K10" s="48"/>
      <c r="L10" s="64"/>
      <c r="M10" s="47"/>
      <c r="N10" s="47"/>
      <c r="O10" s="50"/>
      <c r="P10" s="51"/>
      <c r="Q10" s="48"/>
      <c r="R10" s="64"/>
      <c r="S10" s="47"/>
      <c r="T10" s="50"/>
      <c r="U10" s="50"/>
      <c r="V10" s="51"/>
      <c r="W10" s="48"/>
      <c r="X10" s="52"/>
      <c r="Y10" s="52"/>
      <c r="Z10" s="52"/>
    </row>
    <row r="11" spans="2:47" s="30" customFormat="1" ht="24.75" customHeight="1" x14ac:dyDescent="0.25">
      <c r="B11" s="60"/>
      <c r="C11" s="46"/>
      <c r="D11" s="49"/>
      <c r="E11" s="47"/>
      <c r="F11" s="219" t="s">
        <v>49</v>
      </c>
      <c r="G11" s="219"/>
      <c r="H11" s="34">
        <f>(Q17+Q18)*300</f>
        <v>0</v>
      </c>
      <c r="I11" s="54"/>
      <c r="J11" s="51"/>
      <c r="K11" s="48"/>
      <c r="L11" s="64"/>
      <c r="M11" s="47"/>
      <c r="N11" s="47"/>
      <c r="O11" s="50"/>
      <c r="P11" s="51"/>
      <c r="Q11" s="48"/>
      <c r="R11" s="64"/>
      <c r="S11" s="47"/>
      <c r="T11" s="50"/>
      <c r="U11" s="50"/>
      <c r="V11" s="51"/>
      <c r="W11" s="48"/>
      <c r="X11" s="52"/>
      <c r="Y11" s="52"/>
      <c r="Z11" s="52"/>
    </row>
    <row r="12" spans="2:47" s="30" customFormat="1" ht="24.75" customHeight="1" x14ac:dyDescent="0.25">
      <c r="B12" s="60"/>
      <c r="C12" s="46"/>
      <c r="D12" s="49"/>
      <c r="E12" s="47"/>
      <c r="F12" s="219" t="s">
        <v>52</v>
      </c>
      <c r="G12" s="219"/>
      <c r="H12" s="34">
        <f>(R17+R18)*128</f>
        <v>0</v>
      </c>
      <c r="I12" s="54"/>
      <c r="J12" s="51"/>
      <c r="K12" s="48"/>
      <c r="L12" s="64"/>
      <c r="M12" s="47"/>
      <c r="N12" s="47"/>
      <c r="O12" s="50"/>
      <c r="P12" s="51"/>
      <c r="Q12" s="48"/>
      <c r="R12" s="64"/>
      <c r="S12" s="47"/>
      <c r="T12" s="50"/>
      <c r="U12" s="50"/>
      <c r="V12" s="51"/>
      <c r="W12" s="48"/>
      <c r="X12" s="52"/>
      <c r="Y12" s="52"/>
      <c r="Z12" s="52"/>
    </row>
    <row r="13" spans="2:47" s="30" customFormat="1" ht="24.75" customHeight="1" x14ac:dyDescent="0.25">
      <c r="B13" s="60"/>
      <c r="C13" s="46"/>
      <c r="D13" s="49"/>
      <c r="E13" s="47"/>
      <c r="F13" s="219" t="s">
        <v>55</v>
      </c>
      <c r="G13" s="219"/>
      <c r="H13" s="34">
        <f>(S17+S18)*1000</f>
        <v>0</v>
      </c>
      <c r="I13" s="54"/>
      <c r="J13" s="51"/>
      <c r="K13" s="48"/>
      <c r="L13" s="64"/>
      <c r="M13" s="47"/>
      <c r="N13" s="47"/>
      <c r="O13" s="50"/>
      <c r="P13" s="51"/>
      <c r="Q13" s="48"/>
      <c r="R13" s="64"/>
      <c r="S13" s="47"/>
      <c r="T13" s="50"/>
      <c r="U13" s="50"/>
      <c r="V13" s="51"/>
      <c r="W13" s="48"/>
      <c r="X13" s="52"/>
      <c r="Y13" s="52"/>
      <c r="Z13" s="52"/>
    </row>
    <row r="14" spans="2:47" s="30" customFormat="1" ht="24.75" customHeight="1" x14ac:dyDescent="0.25">
      <c r="B14" s="60"/>
      <c r="C14" s="46"/>
      <c r="D14" s="49"/>
      <c r="E14" s="47"/>
      <c r="F14" s="219" t="s">
        <v>56</v>
      </c>
      <c r="G14" s="219"/>
      <c r="H14" s="34">
        <f>(T17+T18)*500</f>
        <v>0</v>
      </c>
      <c r="I14" s="54"/>
      <c r="J14" s="51"/>
      <c r="K14" s="48"/>
      <c r="L14" s="64"/>
      <c r="M14" s="47"/>
      <c r="N14" s="47"/>
      <c r="O14" s="50"/>
      <c r="P14" s="51"/>
      <c r="Q14" s="48"/>
      <c r="R14" s="64"/>
      <c r="S14" s="47"/>
      <c r="T14" s="50"/>
      <c r="U14" s="50"/>
      <c r="V14" s="51"/>
      <c r="W14" s="48"/>
      <c r="X14" s="52"/>
      <c r="Y14" s="52"/>
      <c r="Z14" s="52"/>
    </row>
    <row r="15" spans="2:47" ht="274.5" customHeight="1" x14ac:dyDescent="0.3">
      <c r="B15" s="220" t="s">
        <v>10</v>
      </c>
      <c r="C15" s="220"/>
      <c r="D15" s="57" t="s">
        <v>71</v>
      </c>
      <c r="E15" s="57" t="s">
        <v>70</v>
      </c>
      <c r="F15" s="44" t="s">
        <v>69</v>
      </c>
      <c r="G15" s="61" t="s">
        <v>68</v>
      </c>
      <c r="H15" s="61" t="s">
        <v>67</v>
      </c>
      <c r="I15" s="61" t="s">
        <v>66</v>
      </c>
      <c r="J15" s="61" t="s">
        <v>65</v>
      </c>
      <c r="K15" s="61" t="s">
        <v>64</v>
      </c>
      <c r="L15" s="61" t="s">
        <v>63</v>
      </c>
      <c r="M15" s="61" t="s">
        <v>62</v>
      </c>
      <c r="N15" s="61" t="s">
        <v>74</v>
      </c>
      <c r="O15" s="61" t="s">
        <v>61</v>
      </c>
      <c r="P15" s="61" t="s">
        <v>72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  <c r="AB15" s="17"/>
    </row>
    <row r="16" spans="2:47" s="5" customFormat="1" ht="22.5" customHeight="1" x14ac:dyDescent="0.3">
      <c r="B16" s="204" t="s">
        <v>11</v>
      </c>
      <c r="C16" s="204"/>
      <c r="D16" s="12" t="s">
        <v>34</v>
      </c>
      <c r="E16" s="12" t="s">
        <v>35</v>
      </c>
      <c r="F16" s="12" t="s">
        <v>36</v>
      </c>
      <c r="G16" s="12" t="s">
        <v>36</v>
      </c>
      <c r="H16" s="13" t="s">
        <v>33</v>
      </c>
      <c r="I16" s="13" t="s">
        <v>37</v>
      </c>
      <c r="J16" s="12" t="s">
        <v>47</v>
      </c>
      <c r="K16" s="12" t="s">
        <v>47</v>
      </c>
      <c r="L16" s="12" t="s">
        <v>51</v>
      </c>
      <c r="M16" s="12" t="s">
        <v>54</v>
      </c>
      <c r="N16" s="12" t="s">
        <v>73</v>
      </c>
      <c r="O16" s="12" t="s">
        <v>57</v>
      </c>
      <c r="P16" s="12" t="s">
        <v>58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  <c r="AB16" s="17"/>
      <c r="AC16"/>
      <c r="AD16"/>
      <c r="AE16"/>
      <c r="AF16"/>
      <c r="AG16"/>
      <c r="AH16"/>
      <c r="AI16"/>
      <c r="AJ16"/>
      <c r="AK16"/>
      <c r="AL16"/>
      <c r="AM16" s="4"/>
      <c r="AN16" s="4"/>
      <c r="AO16" s="4"/>
      <c r="AP16" s="4"/>
      <c r="AQ16" s="4"/>
      <c r="AR16" s="4"/>
      <c r="AS16" s="4"/>
      <c r="AT16" s="4"/>
      <c r="AU16" s="4"/>
    </row>
    <row r="17" spans="2:47" s="7" customFormat="1" ht="26.25" customHeight="1" x14ac:dyDescent="0.3">
      <c r="B17" s="209" t="s">
        <v>22</v>
      </c>
      <c r="C17" s="209"/>
      <c r="D17" s="20">
        <v>4550</v>
      </c>
      <c r="E17" s="14">
        <v>2125</v>
      </c>
      <c r="F17" s="14">
        <v>850</v>
      </c>
      <c r="G17" s="14">
        <v>850</v>
      </c>
      <c r="H17" s="14">
        <v>1625</v>
      </c>
      <c r="I17" s="14">
        <v>3450</v>
      </c>
      <c r="J17" s="14">
        <v>0</v>
      </c>
      <c r="K17" s="14">
        <v>0</v>
      </c>
      <c r="L17" s="14">
        <v>0</v>
      </c>
      <c r="M17" s="14">
        <v>4000</v>
      </c>
      <c r="N17" s="14">
        <v>4000</v>
      </c>
      <c r="O17" s="14">
        <v>1325</v>
      </c>
      <c r="P17" s="14">
        <v>1750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  <c r="AB17" s="17"/>
      <c r="AC17"/>
      <c r="AD17"/>
      <c r="AE17"/>
      <c r="AF17"/>
      <c r="AG17"/>
      <c r="AH17"/>
      <c r="AI17"/>
      <c r="AJ17"/>
      <c r="AK17"/>
      <c r="AL17"/>
      <c r="AM17" s="6"/>
      <c r="AN17" s="6"/>
      <c r="AO17" s="6"/>
      <c r="AP17" s="6"/>
      <c r="AQ17" s="6"/>
      <c r="AR17" s="6"/>
      <c r="AS17" s="6"/>
      <c r="AT17" s="6"/>
      <c r="AU17" s="6"/>
    </row>
    <row r="18" spans="2:47" s="7" customFormat="1" ht="26.25" customHeight="1" x14ac:dyDescent="0.3">
      <c r="B18" s="209" t="s">
        <v>48</v>
      </c>
      <c r="C18" s="209"/>
      <c r="D18" s="20"/>
      <c r="E18" s="14">
        <v>2000</v>
      </c>
      <c r="F18" s="14">
        <v>2000</v>
      </c>
      <c r="G18" s="14"/>
      <c r="H18" s="14"/>
      <c r="I18" s="14"/>
      <c r="J18" s="14">
        <v>1000</v>
      </c>
      <c r="K18" s="14">
        <v>1000</v>
      </c>
      <c r="L18" s="65">
        <v>2000</v>
      </c>
      <c r="M18" s="14">
        <v>0</v>
      </c>
      <c r="N18" s="14">
        <v>0</v>
      </c>
      <c r="O18" s="14">
        <v>0</v>
      </c>
      <c r="P18" s="14">
        <v>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17"/>
      <c r="AC18"/>
      <c r="AD18"/>
      <c r="AE18"/>
      <c r="AF18"/>
      <c r="AG18"/>
      <c r="AH18"/>
      <c r="AI18"/>
      <c r="AJ18"/>
      <c r="AK18"/>
      <c r="AL18"/>
      <c r="AM18" s="6"/>
      <c r="AN18" s="6"/>
      <c r="AO18" s="6"/>
      <c r="AP18" s="6"/>
      <c r="AQ18" s="6"/>
      <c r="AR18" s="6"/>
      <c r="AS18" s="6"/>
      <c r="AT18" s="6"/>
      <c r="AU18" s="6"/>
    </row>
    <row r="19" spans="2:47" ht="23.25" x14ac:dyDescent="0.3">
      <c r="B19" s="27"/>
      <c r="C19" s="15"/>
      <c r="D19" s="16"/>
      <c r="E19" s="16"/>
      <c r="F19" s="16"/>
      <c r="G19" s="16"/>
      <c r="H19" s="28"/>
      <c r="I19" s="16"/>
      <c r="J19" s="16"/>
      <c r="K19" s="16"/>
      <c r="L19" s="2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B19" s="17"/>
    </row>
    <row r="20" spans="2:47" ht="23.25" x14ac:dyDescent="0.3">
      <c r="B20" s="206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  <c r="AB20" s="17"/>
    </row>
    <row r="21" spans="2:47" ht="23.25" x14ac:dyDescent="0.3">
      <c r="B21" s="206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  <c r="AB21" s="17"/>
    </row>
    <row r="22" spans="2:47" ht="23.25" x14ac:dyDescent="0.3">
      <c r="B22" s="206"/>
      <c r="C22" s="15"/>
      <c r="D22" s="17"/>
      <c r="E22" s="17"/>
      <c r="F22" s="17"/>
      <c r="G22" s="17"/>
      <c r="H22" s="17"/>
      <c r="I22" s="17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  <c r="AB22" s="17"/>
    </row>
    <row r="23" spans="2:47" ht="23.25" x14ac:dyDescent="0.3">
      <c r="B23" s="206"/>
      <c r="C23" s="15"/>
      <c r="D23" s="17"/>
      <c r="E23" s="17"/>
      <c r="F23" s="17"/>
      <c r="G23" s="17"/>
      <c r="H23" s="17"/>
      <c r="I23" s="17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  <c r="AB23" s="17"/>
    </row>
    <row r="24" spans="2:47" ht="23.25" x14ac:dyDescent="0.3">
      <c r="B24" s="63"/>
      <c r="C24" s="15"/>
      <c r="D24" s="17"/>
      <c r="E24" s="17"/>
      <c r="F24" s="17"/>
      <c r="G24" s="18"/>
      <c r="H24" s="19"/>
      <c r="I24" s="17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  <c r="AB24" s="17"/>
    </row>
    <row r="25" spans="2:47" ht="23.25" x14ac:dyDescent="0.3">
      <c r="B25" s="206"/>
      <c r="C25" s="15"/>
      <c r="D25" s="17"/>
      <c r="E25" s="17"/>
      <c r="F25" s="17"/>
      <c r="G25" s="18"/>
      <c r="H25" s="19"/>
      <c r="I25" s="17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  <c r="AB25" s="17"/>
    </row>
    <row r="26" spans="2:47" ht="23.25" x14ac:dyDescent="0.3">
      <c r="B26" s="206"/>
      <c r="C26" s="15"/>
      <c r="G2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  <c r="AB26" s="17"/>
    </row>
    <row r="27" spans="2:47" ht="23.25" x14ac:dyDescent="0.3">
      <c r="B27" s="206"/>
      <c r="C27" s="15"/>
      <c r="G2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  <c r="AB27" s="17"/>
    </row>
    <row r="28" spans="2:47" ht="23.25" x14ac:dyDescent="0.3">
      <c r="B28" s="206"/>
      <c r="C28" s="15"/>
      <c r="G2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  <c r="AB28" s="17"/>
    </row>
    <row r="29" spans="2:47" ht="23.25" x14ac:dyDescent="0.3">
      <c r="B29" s="206"/>
      <c r="C29" s="15"/>
      <c r="G29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  <c r="AB29" s="17"/>
    </row>
    <row r="30" spans="2:47" ht="23.25" x14ac:dyDescent="0.3">
      <c r="B30" s="206"/>
      <c r="C30" s="15"/>
      <c r="G3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  <c r="AB30" s="17"/>
    </row>
    <row r="31" spans="2:47" ht="30" x14ac:dyDescent="0.3">
      <c r="B31" s="206"/>
      <c r="C31" s="15"/>
      <c r="G31"/>
      <c r="K31" s="16"/>
      <c r="L31" s="16"/>
      <c r="M31" s="16"/>
      <c r="N31" s="16"/>
      <c r="O31" s="16"/>
      <c r="P31" s="2"/>
      <c r="Q31" s="2"/>
      <c r="R31" s="2"/>
      <c r="S31" s="2"/>
      <c r="T31" s="2"/>
      <c r="U31" s="2"/>
      <c r="V31" s="2"/>
      <c r="W31" s="16"/>
      <c r="X31" s="16"/>
      <c r="Y31" s="16"/>
      <c r="Z31" s="16"/>
      <c r="AA31" s="17"/>
      <c r="AB31" s="17"/>
    </row>
    <row r="32" spans="2:47" ht="30" x14ac:dyDescent="0.3">
      <c r="B32" s="206"/>
      <c r="C32" s="15"/>
      <c r="D32" s="17"/>
      <c r="E32" s="17"/>
      <c r="F32" s="17"/>
      <c r="G32" s="18"/>
      <c r="H32" s="19"/>
      <c r="I32" s="17"/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30" x14ac:dyDescent="0.3">
      <c r="B33" s="206"/>
      <c r="C33" s="15"/>
      <c r="D33" s="17"/>
      <c r="E33" s="17"/>
      <c r="F33" s="17"/>
      <c r="G33" s="18"/>
      <c r="H33" s="19"/>
      <c r="I33" s="17"/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30" x14ac:dyDescent="0.3">
      <c r="B34" s="206"/>
      <c r="C34" s="15"/>
      <c r="D34" s="17"/>
      <c r="E34" s="17"/>
      <c r="F34" s="17"/>
      <c r="G34" s="21"/>
      <c r="H34" s="19"/>
      <c r="I34" s="17"/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30" x14ac:dyDescent="0.2">
      <c r="B35" s="10"/>
      <c r="G35" s="9"/>
      <c r="H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30" x14ac:dyDescent="0.2">
      <c r="B36" s="10"/>
      <c r="G36" s="9"/>
      <c r="H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30" x14ac:dyDescent="0.2">
      <c r="B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30" x14ac:dyDescent="0.2">
      <c r="B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30" x14ac:dyDescent="0.2">
      <c r="B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30" x14ac:dyDescent="0.2">
      <c r="B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30" x14ac:dyDescent="0.2">
      <c r="B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 ht="30" x14ac:dyDescent="0.2">
      <c r="B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 ht="30" x14ac:dyDescent="0.2">
      <c r="B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 ht="30" x14ac:dyDescent="0.2">
      <c r="B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 ht="30" x14ac:dyDescent="0.2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 ht="30" x14ac:dyDescent="0.2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 ht="30" x14ac:dyDescent="0.2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ht="30" x14ac:dyDescent="0.2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1:26" ht="30" x14ac:dyDescent="0.2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1:26" ht="30" x14ac:dyDescent="0.2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1:26" ht="30" x14ac:dyDescent="0.2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1:26" ht="30" x14ac:dyDescent="0.2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1:26" ht="30" x14ac:dyDescent="0.2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1:26" ht="30" x14ac:dyDescent="0.2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1:26" ht="30" x14ac:dyDescent="0.2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1:26" ht="30" x14ac:dyDescent="0.2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1:26" ht="30" x14ac:dyDescent="0.2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1:26" ht="30" x14ac:dyDescent="0.2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1:26" ht="30" x14ac:dyDescent="0.2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1:26" ht="30" x14ac:dyDescent="0.2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1:26" ht="30" x14ac:dyDescent="0.2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1:26" ht="30" x14ac:dyDescent="0.2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1:26" ht="30" x14ac:dyDescent="0.2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1:26" ht="30" x14ac:dyDescent="0.2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1:22" ht="30" x14ac:dyDescent="0.2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1:22" ht="30" x14ac:dyDescent="0.2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1:22" ht="30" x14ac:dyDescent="0.2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1:22" ht="30" x14ac:dyDescent="0.2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1:22" ht="30" x14ac:dyDescent="0.2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1:22" ht="30" x14ac:dyDescent="0.2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1:22" ht="30" x14ac:dyDescent="0.2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1:22" ht="30" x14ac:dyDescent="0.2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1:22" ht="30" x14ac:dyDescent="0.2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1:22" ht="30" x14ac:dyDescent="0.2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1:22" ht="30" x14ac:dyDescent="0.2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1:22" ht="30" x14ac:dyDescent="0.2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1:22" ht="30" x14ac:dyDescent="0.2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1:22" ht="30" x14ac:dyDescent="0.2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1:22" ht="30" x14ac:dyDescent="0.2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1:22" ht="30" x14ac:dyDescent="0.2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1:22" ht="30" x14ac:dyDescent="0.2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1:22" ht="30" x14ac:dyDescent="0.2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1:22" ht="30" x14ac:dyDescent="0.2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1:22" ht="30" x14ac:dyDescent="0.2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1:22" ht="30" x14ac:dyDescent="0.2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1:22" ht="30" x14ac:dyDescent="0.2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1:22" ht="30" x14ac:dyDescent="0.2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1:22" ht="30" x14ac:dyDescent="0.2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1:22" ht="30" x14ac:dyDescent="0.2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1:22" ht="30" x14ac:dyDescent="0.2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1:22" ht="30" x14ac:dyDescent="0.2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1:22" ht="30" x14ac:dyDescent="0.2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1:22" ht="30" x14ac:dyDescent="0.2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1:22" ht="30" x14ac:dyDescent="0.2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1:22" ht="30" x14ac:dyDescent="0.2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1:22" ht="30" x14ac:dyDescent="0.2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1:22" ht="30" x14ac:dyDescent="0.2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1:22" ht="30" x14ac:dyDescent="0.2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1:22" ht="30" x14ac:dyDescent="0.2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1:22" ht="30" x14ac:dyDescent="0.2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1:22" ht="30" x14ac:dyDescent="0.2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1:22" ht="30" x14ac:dyDescent="0.2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1:22" ht="30" x14ac:dyDescent="0.2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1:22" ht="30" x14ac:dyDescent="0.2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1:22" ht="30" x14ac:dyDescent="0.2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1:22" ht="30" x14ac:dyDescent="0.2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1:22" ht="30" x14ac:dyDescent="0.2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1:22" ht="30" x14ac:dyDescent="0.2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1:22" ht="30" x14ac:dyDescent="0.2"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1:22" ht="30" x14ac:dyDescent="0.2"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1:22" ht="30" x14ac:dyDescent="0.2"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1:22" ht="30" x14ac:dyDescent="0.2"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1:22" ht="30" x14ac:dyDescent="0.2"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1:22" ht="30" x14ac:dyDescent="0.2"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1:22" ht="30" x14ac:dyDescent="0.2"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1:22" ht="30" x14ac:dyDescent="0.2"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1:22" ht="30" x14ac:dyDescent="0.2"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1:22" ht="30" x14ac:dyDescent="0.2"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1:22" ht="30" x14ac:dyDescent="0.2"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1:22" ht="30" x14ac:dyDescent="0.2"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1:22" ht="30" x14ac:dyDescent="0.2"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1:22" ht="30" x14ac:dyDescent="0.2"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1:22" ht="30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1:22" ht="30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1:22" ht="30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1:22" ht="30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1:22" ht="30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1:22" ht="30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1:22" ht="30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1:22" ht="30" x14ac:dyDescent="0.2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1:22" ht="30" x14ac:dyDescent="0.2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1:22" ht="30" x14ac:dyDescent="0.2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1:22" ht="30" x14ac:dyDescent="0.2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1:22" ht="30" x14ac:dyDescent="0.2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1:22" ht="30" x14ac:dyDescent="0.2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1:22" ht="30" x14ac:dyDescent="0.2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1:22" ht="30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1:22" ht="30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1:22" ht="30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1:22" ht="30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1:22" ht="30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1:22" ht="30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1:22" ht="30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1:22" ht="30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1:22" ht="30" x14ac:dyDescent="0.2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1:22" ht="30" x14ac:dyDescent="0.2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1:22" ht="30" x14ac:dyDescent="0.2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1:22" ht="30" x14ac:dyDescent="0.2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1:22" ht="30" x14ac:dyDescent="0.2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1:22" ht="30" x14ac:dyDescent="0.2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1:22" ht="30" x14ac:dyDescent="0.2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1:22" ht="30" x14ac:dyDescent="0.2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1:22" ht="30" x14ac:dyDescent="0.2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1:22" ht="30" x14ac:dyDescent="0.2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1:22" ht="30" x14ac:dyDescent="0.2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1:22" ht="30" x14ac:dyDescent="0.2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1:22" ht="30" x14ac:dyDescent="0.2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1:22" ht="30" x14ac:dyDescent="0.2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1:22" ht="30" x14ac:dyDescent="0.2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1:22" ht="30" x14ac:dyDescent="0.2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1:22" ht="30" x14ac:dyDescent="0.2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1:22" ht="30" x14ac:dyDescent="0.2"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1:22" ht="30" x14ac:dyDescent="0.2"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1:22" ht="30" x14ac:dyDescent="0.2"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1:22" ht="30" x14ac:dyDescent="0.2"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1:22" ht="30" x14ac:dyDescent="0.2"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1:22" ht="30" x14ac:dyDescent="0.2"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1:22" ht="30" x14ac:dyDescent="0.2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1:22" ht="30" x14ac:dyDescent="0.2"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1:22" ht="30" x14ac:dyDescent="0.2"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1:22" ht="30" x14ac:dyDescent="0.2"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1:22" ht="30" x14ac:dyDescent="0.2"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1:22" ht="30" x14ac:dyDescent="0.2"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1:22" ht="30" x14ac:dyDescent="0.2"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1:22" ht="30" x14ac:dyDescent="0.2"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1:22" ht="30" x14ac:dyDescent="0.2"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1:22" ht="30" x14ac:dyDescent="0.2"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1:22" ht="30" x14ac:dyDescent="0.2"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1:22" ht="30" x14ac:dyDescent="0.2"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1:22" ht="30" x14ac:dyDescent="0.2"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1:22" ht="30" x14ac:dyDescent="0.2"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1:22" ht="30" x14ac:dyDescent="0.2"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1:22" ht="30" x14ac:dyDescent="0.2"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1:22" ht="30" x14ac:dyDescent="0.2"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1:22" ht="30" x14ac:dyDescent="0.2"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1:22" ht="30" x14ac:dyDescent="0.2"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1:22" ht="30" x14ac:dyDescent="0.2"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1:22" ht="30" x14ac:dyDescent="0.2"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1:22" ht="30" x14ac:dyDescent="0.2"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1:22" ht="30" x14ac:dyDescent="0.2"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1:22" ht="30" x14ac:dyDescent="0.2"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1:22" ht="30" x14ac:dyDescent="0.2"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1:22" ht="30" x14ac:dyDescent="0.2"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1:22" ht="30" x14ac:dyDescent="0.2"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1:22" ht="30" x14ac:dyDescent="0.2"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1:22" ht="30" x14ac:dyDescent="0.2"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1:22" ht="30" x14ac:dyDescent="0.2"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1:22" ht="30" x14ac:dyDescent="0.2"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1:22" ht="30" x14ac:dyDescent="0.2"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1:22" ht="30" x14ac:dyDescent="0.2"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1:22" ht="30" x14ac:dyDescent="0.2"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1:22" ht="30" x14ac:dyDescent="0.2"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1:22" ht="30" x14ac:dyDescent="0.2"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1:22" ht="30" x14ac:dyDescent="0.2"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1:22" ht="30" x14ac:dyDescent="0.2"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1:22" ht="30" x14ac:dyDescent="0.2"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1:22" ht="30" x14ac:dyDescent="0.2"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1:22" ht="30" x14ac:dyDescent="0.2"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1:22" ht="30" x14ac:dyDescent="0.2"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1:22" ht="30" x14ac:dyDescent="0.2"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1:22" ht="30" x14ac:dyDescent="0.2"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1:22" ht="30" x14ac:dyDescent="0.2"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1:22" ht="30" x14ac:dyDescent="0.2"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1:22" ht="30" x14ac:dyDescent="0.2"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1:22" ht="30" x14ac:dyDescent="0.2"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1:22" ht="30" x14ac:dyDescent="0.2"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1:22" ht="30" x14ac:dyDescent="0.2"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1:22" ht="30" x14ac:dyDescent="0.2"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1:22" ht="30" x14ac:dyDescent="0.2"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1:22" ht="30" x14ac:dyDescent="0.2"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1:22" ht="30" x14ac:dyDescent="0.2"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1:22" ht="30" x14ac:dyDescent="0.2"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1:22" ht="30" x14ac:dyDescent="0.2"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1:22" ht="30" x14ac:dyDescent="0.2"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1:22" ht="30" x14ac:dyDescent="0.2"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1:22" ht="30" x14ac:dyDescent="0.2"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1:22" ht="30" x14ac:dyDescent="0.2"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1:22" ht="30" x14ac:dyDescent="0.2"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1:22" ht="30" x14ac:dyDescent="0.2"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1:22" ht="30" x14ac:dyDescent="0.2"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1:22" ht="30" x14ac:dyDescent="0.2"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1:22" ht="30" x14ac:dyDescent="0.2"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1:22" ht="30" x14ac:dyDescent="0.2"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1:22" ht="30" x14ac:dyDescent="0.2"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1:22" ht="30" x14ac:dyDescent="0.2"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1:22" ht="30" x14ac:dyDescent="0.2"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1:22" ht="30" x14ac:dyDescent="0.2"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1:22" ht="30" x14ac:dyDescent="0.2"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1:22" ht="30" x14ac:dyDescent="0.2"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1:22" ht="30" x14ac:dyDescent="0.2"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1:22" ht="30" x14ac:dyDescent="0.2"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1:22" ht="30" x14ac:dyDescent="0.2"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1:22" ht="30" x14ac:dyDescent="0.2"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1:22" ht="30" x14ac:dyDescent="0.2"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1:22" ht="30" x14ac:dyDescent="0.2"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1:22" ht="30" x14ac:dyDescent="0.2"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1:22" ht="30" x14ac:dyDescent="0.2"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1:22" ht="30" x14ac:dyDescent="0.2"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1:22" ht="30" x14ac:dyDescent="0.2"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1:22" ht="30" x14ac:dyDescent="0.2"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1:22" ht="30" x14ac:dyDescent="0.2"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1:22" ht="30" x14ac:dyDescent="0.2"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1:22" ht="30" x14ac:dyDescent="0.2"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1:22" ht="30" x14ac:dyDescent="0.2"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1:22" ht="30" x14ac:dyDescent="0.2"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1:22" ht="30" x14ac:dyDescent="0.2"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1:22" ht="30" x14ac:dyDescent="0.2"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1:22" ht="30" x14ac:dyDescent="0.2"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1:22" ht="30" x14ac:dyDescent="0.2"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1:22" ht="30" x14ac:dyDescent="0.2"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1:22" ht="30" x14ac:dyDescent="0.2"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1:22" ht="30" x14ac:dyDescent="0.2"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1:22" ht="30" x14ac:dyDescent="0.2"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1:22" ht="30" x14ac:dyDescent="0.2"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1:22" ht="30" x14ac:dyDescent="0.2"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1:22" ht="30" x14ac:dyDescent="0.2"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1:22" ht="30" x14ac:dyDescent="0.2"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1:22" ht="30" x14ac:dyDescent="0.2"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1:22" ht="30" x14ac:dyDescent="0.2"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1:22" ht="30" x14ac:dyDescent="0.2"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1:22" ht="30" x14ac:dyDescent="0.2"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1:22" ht="30" x14ac:dyDescent="0.2"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1:22" ht="30" x14ac:dyDescent="0.2"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1:22" ht="30" x14ac:dyDescent="0.2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1:22" ht="30" x14ac:dyDescent="0.2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1:22" ht="30" x14ac:dyDescent="0.2"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1:22" ht="30" x14ac:dyDescent="0.2"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1:22" ht="30" x14ac:dyDescent="0.2"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1:22" ht="30" x14ac:dyDescent="0.2"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1:22" ht="30" x14ac:dyDescent="0.2"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1:22" ht="30" x14ac:dyDescent="0.2"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1:22" ht="30" x14ac:dyDescent="0.2"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1:22" ht="30" x14ac:dyDescent="0.2"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1:22" ht="30" x14ac:dyDescent="0.2"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1:22" ht="30" x14ac:dyDescent="0.2"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1:22" ht="30" x14ac:dyDescent="0.2"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1:22" ht="30" x14ac:dyDescent="0.2"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1:22" ht="30" x14ac:dyDescent="0.2"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1:22" ht="30" x14ac:dyDescent="0.2"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1:22" ht="30" x14ac:dyDescent="0.2"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1:22" ht="30" x14ac:dyDescent="0.2"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1:22" ht="30" x14ac:dyDescent="0.2"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1:22" ht="30" x14ac:dyDescent="0.2"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1:22" ht="30" x14ac:dyDescent="0.2"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1:22" ht="30" x14ac:dyDescent="0.2"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1:22" ht="30" x14ac:dyDescent="0.2"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1:22" ht="30" x14ac:dyDescent="0.2"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1:22" ht="30" x14ac:dyDescent="0.2"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1:22" ht="30" x14ac:dyDescent="0.2"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1:22" ht="30" x14ac:dyDescent="0.2"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1:22" ht="30" x14ac:dyDescent="0.2"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1:22" ht="30" x14ac:dyDescent="0.2"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1:22" ht="30" x14ac:dyDescent="0.2"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1:22" ht="30" x14ac:dyDescent="0.2"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1:22" ht="30" x14ac:dyDescent="0.2"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1:22" ht="30" x14ac:dyDescent="0.2"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1:22" ht="30" x14ac:dyDescent="0.2"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1:22" ht="30" x14ac:dyDescent="0.2"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1:22" ht="30" x14ac:dyDescent="0.2"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1:22" ht="30" x14ac:dyDescent="0.2"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1:22" ht="30" x14ac:dyDescent="0.2"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1:22" ht="30" x14ac:dyDescent="0.2"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1:22" ht="30" x14ac:dyDescent="0.2"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1:22" ht="30" x14ac:dyDescent="0.2"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1:22" ht="30" x14ac:dyDescent="0.2"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1:22" ht="30" x14ac:dyDescent="0.2"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1:22" ht="30" x14ac:dyDescent="0.2"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1:22" ht="30" x14ac:dyDescent="0.2"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1:22" ht="30" x14ac:dyDescent="0.2"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1:22" ht="30" x14ac:dyDescent="0.2"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1:22" ht="30" x14ac:dyDescent="0.2"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1:22" ht="30" x14ac:dyDescent="0.2"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1:22" ht="30" x14ac:dyDescent="0.2"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1:22" ht="30" x14ac:dyDescent="0.2"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1:22" ht="30" x14ac:dyDescent="0.2"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1:22" ht="30" x14ac:dyDescent="0.2"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1:22" ht="30" x14ac:dyDescent="0.2"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1:22" ht="30" x14ac:dyDescent="0.2"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1:22" ht="30" x14ac:dyDescent="0.2"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1:22" ht="30" x14ac:dyDescent="0.2"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1:22" ht="30" x14ac:dyDescent="0.2"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1:22" ht="30" x14ac:dyDescent="0.2"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1:22" ht="30" x14ac:dyDescent="0.2"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1:22" ht="30" x14ac:dyDescent="0.2"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1:22" ht="30" x14ac:dyDescent="0.2"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1:22" ht="30" x14ac:dyDescent="0.2"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1:22" ht="30" x14ac:dyDescent="0.2"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1:22" ht="30" x14ac:dyDescent="0.2"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1:22" ht="30" x14ac:dyDescent="0.2"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1:22" ht="30" x14ac:dyDescent="0.2"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1:22" ht="30" x14ac:dyDescent="0.2"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1:22" ht="30" x14ac:dyDescent="0.2"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1:22" ht="30" x14ac:dyDescent="0.2"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1:22" ht="30" x14ac:dyDescent="0.2"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1:22" ht="30" x14ac:dyDescent="0.2"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1:22" ht="30" x14ac:dyDescent="0.2"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1:22" ht="30" x14ac:dyDescent="0.2"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1:22" ht="30" x14ac:dyDescent="0.2"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1:22" ht="30" x14ac:dyDescent="0.2"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1:22" ht="30" x14ac:dyDescent="0.2"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1:22" ht="30" x14ac:dyDescent="0.2"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1:22" ht="30" x14ac:dyDescent="0.2"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1:22" ht="30" x14ac:dyDescent="0.2"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1:22" ht="30" x14ac:dyDescent="0.2"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1:22" ht="30" x14ac:dyDescent="0.2"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1:22" ht="30" x14ac:dyDescent="0.2"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1:22" ht="30" x14ac:dyDescent="0.2"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1:22" ht="30" x14ac:dyDescent="0.2"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1:22" ht="30" x14ac:dyDescent="0.2"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1:22" ht="30" x14ac:dyDescent="0.2"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1:22" ht="30" x14ac:dyDescent="0.2"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1:22" ht="30" x14ac:dyDescent="0.2"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1:22" ht="30" x14ac:dyDescent="0.2"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1:22" ht="30" x14ac:dyDescent="0.2"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1:22" ht="30" x14ac:dyDescent="0.2"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1:22" ht="30" x14ac:dyDescent="0.2"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1:22" ht="30" x14ac:dyDescent="0.2"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1:22" ht="30" x14ac:dyDescent="0.2"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1:22" ht="30" x14ac:dyDescent="0.2"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1:22" ht="30" x14ac:dyDescent="0.2"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1:22" ht="30" x14ac:dyDescent="0.2"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1:22" ht="30" x14ac:dyDescent="0.2"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1:22" ht="30" x14ac:dyDescent="0.2"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1:22" ht="30" x14ac:dyDescent="0.2"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1:22" ht="30" x14ac:dyDescent="0.2"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1:22" ht="30" x14ac:dyDescent="0.2"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1:22" ht="30" x14ac:dyDescent="0.2"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1:22" ht="30" x14ac:dyDescent="0.2"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1:22" ht="30" x14ac:dyDescent="0.2"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1:22" ht="30" x14ac:dyDescent="0.2"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1:22" ht="30" x14ac:dyDescent="0.2"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1:22" ht="30" x14ac:dyDescent="0.2"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1:22" ht="30" x14ac:dyDescent="0.2"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1:22" ht="30" x14ac:dyDescent="0.2"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1:22" ht="30" x14ac:dyDescent="0.2"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1:22" ht="30" x14ac:dyDescent="0.2"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1:22" ht="30" x14ac:dyDescent="0.2"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1:22" ht="30" x14ac:dyDescent="0.2"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1:22" ht="30" x14ac:dyDescent="0.2"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1:22" ht="30" x14ac:dyDescent="0.2"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1:22" ht="30" x14ac:dyDescent="0.2"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1:22" ht="30" x14ac:dyDescent="0.2"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1:22" ht="30" x14ac:dyDescent="0.2"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1:22" ht="30" x14ac:dyDescent="0.2"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1:22" ht="30" x14ac:dyDescent="0.2"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1:22" ht="30" x14ac:dyDescent="0.2"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1:22" ht="30" x14ac:dyDescent="0.2"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1:22" ht="30" x14ac:dyDescent="0.2"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1:22" ht="30" x14ac:dyDescent="0.2"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1:22" ht="30" x14ac:dyDescent="0.2"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1:22" ht="30" x14ac:dyDescent="0.2"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1:22" ht="30" x14ac:dyDescent="0.2"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1:22" ht="30" x14ac:dyDescent="0.2"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1:22" ht="30" x14ac:dyDescent="0.2"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1:22" ht="30" x14ac:dyDescent="0.2"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1:22" ht="30" x14ac:dyDescent="0.2"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1:22" ht="30" x14ac:dyDescent="0.2"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1:22" ht="30" x14ac:dyDescent="0.2"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1:22" ht="30" x14ac:dyDescent="0.2"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1:22" ht="30" x14ac:dyDescent="0.2"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1:22" ht="30" x14ac:dyDescent="0.2"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1:22" ht="30" x14ac:dyDescent="0.2"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1:22" ht="30" x14ac:dyDescent="0.2"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1:22" ht="30" x14ac:dyDescent="0.2"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1:22" ht="30" x14ac:dyDescent="0.2"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1:22" ht="30" x14ac:dyDescent="0.2"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1:22" ht="30" x14ac:dyDescent="0.2"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1:22" ht="30" x14ac:dyDescent="0.2"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1:22" ht="30" x14ac:dyDescent="0.2"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1:22" ht="30" x14ac:dyDescent="0.2"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1:22" ht="30" x14ac:dyDescent="0.2"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1:22" ht="30" x14ac:dyDescent="0.2"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1:22" ht="30" x14ac:dyDescent="0.2"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1:22" ht="30" x14ac:dyDescent="0.2"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1:22" ht="30" x14ac:dyDescent="0.2"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1:22" ht="30" x14ac:dyDescent="0.2"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1:22" ht="30" x14ac:dyDescent="0.2"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1:22" ht="30" x14ac:dyDescent="0.2"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1:22" ht="30" x14ac:dyDescent="0.2"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1:22" ht="30" x14ac:dyDescent="0.2"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1:22" ht="30" x14ac:dyDescent="0.2"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1:22" ht="30" x14ac:dyDescent="0.2"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1:22" ht="30" x14ac:dyDescent="0.2"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1:22" ht="30" x14ac:dyDescent="0.2"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1:22" ht="30" x14ac:dyDescent="0.2"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1:22" ht="30" x14ac:dyDescent="0.2"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1:22" ht="30" x14ac:dyDescent="0.2"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1:22" ht="30" x14ac:dyDescent="0.2"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1:22" ht="30" x14ac:dyDescent="0.2"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1:22" ht="30" x14ac:dyDescent="0.2"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1:22" ht="30" x14ac:dyDescent="0.2"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1:22" ht="30" x14ac:dyDescent="0.2"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1:22" ht="30" x14ac:dyDescent="0.2"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1:22" ht="30" x14ac:dyDescent="0.2"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1:22" ht="30" x14ac:dyDescent="0.2"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1:22" ht="30" x14ac:dyDescent="0.2"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1:22" ht="30" x14ac:dyDescent="0.2"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1:22" ht="30" x14ac:dyDescent="0.2"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1:22" ht="30" x14ac:dyDescent="0.2"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1:22" ht="30" x14ac:dyDescent="0.2"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1:22" ht="30" x14ac:dyDescent="0.2"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1:22" ht="30" x14ac:dyDescent="0.2"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1:22" ht="30" x14ac:dyDescent="0.2"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1:22" ht="30" x14ac:dyDescent="0.2"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1:22" ht="30" x14ac:dyDescent="0.2"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1:22" ht="30" x14ac:dyDescent="0.2"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1:22" ht="30" x14ac:dyDescent="0.2"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1:22" ht="30" x14ac:dyDescent="0.2"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1:22" ht="30" x14ac:dyDescent="0.2"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1:22" ht="30" x14ac:dyDescent="0.2"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1:22" ht="30" x14ac:dyDescent="0.2"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1:22" ht="30" x14ac:dyDescent="0.2"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1:22" ht="30" x14ac:dyDescent="0.2"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1:22" ht="30" x14ac:dyDescent="0.2"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1:22" ht="30" x14ac:dyDescent="0.2"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1:22" ht="30" x14ac:dyDescent="0.2"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1:22" ht="30" x14ac:dyDescent="0.2"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1:22" ht="30" x14ac:dyDescent="0.2"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1:22" ht="30" x14ac:dyDescent="0.2"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1:22" ht="30" x14ac:dyDescent="0.2"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1:22" ht="30" x14ac:dyDescent="0.2"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1:22" ht="30" x14ac:dyDescent="0.2"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1:22" ht="30" x14ac:dyDescent="0.2"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1:22" ht="30" x14ac:dyDescent="0.2"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1:22" ht="30" x14ac:dyDescent="0.2"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1:22" ht="30" x14ac:dyDescent="0.2"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1:22" ht="30" x14ac:dyDescent="0.2"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1:22" ht="30" x14ac:dyDescent="0.2"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1:22" ht="30" x14ac:dyDescent="0.2"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1:22" ht="30" x14ac:dyDescent="0.2"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1:22" ht="30" x14ac:dyDescent="0.2"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1:22" ht="30" x14ac:dyDescent="0.2"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1:22" ht="30" x14ac:dyDescent="0.2"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1:22" ht="30" x14ac:dyDescent="0.2"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1:22" ht="30" x14ac:dyDescent="0.2"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1:22" ht="30" x14ac:dyDescent="0.2"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1:22" ht="30" x14ac:dyDescent="0.2"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1:22" ht="30" x14ac:dyDescent="0.2"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1:22" ht="30" x14ac:dyDescent="0.2"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1:22" ht="30" x14ac:dyDescent="0.2"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1:22" ht="30" x14ac:dyDescent="0.2"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1:22" ht="30" x14ac:dyDescent="0.2"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1:22" ht="30" x14ac:dyDescent="0.2"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1:22" ht="30" x14ac:dyDescent="0.2"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1:22" ht="30" x14ac:dyDescent="0.2"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1:22" ht="30" x14ac:dyDescent="0.2"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1:22" ht="30" x14ac:dyDescent="0.2"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1:22" ht="30" x14ac:dyDescent="0.2"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1:22" ht="30" x14ac:dyDescent="0.2"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1:22" ht="30" x14ac:dyDescent="0.2"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1:22" ht="30" x14ac:dyDescent="0.2"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1:22" ht="30" x14ac:dyDescent="0.2"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1:22" ht="30" x14ac:dyDescent="0.2"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1:22" ht="30" x14ac:dyDescent="0.2"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1:22" ht="30" x14ac:dyDescent="0.2"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1:22" ht="30" x14ac:dyDescent="0.2"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1:22" ht="30" x14ac:dyDescent="0.2"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1:22" ht="30" x14ac:dyDescent="0.2"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1:22" ht="30" x14ac:dyDescent="0.2"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1:22" ht="30" x14ac:dyDescent="0.2"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1:22" ht="30" x14ac:dyDescent="0.2"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1:22" ht="30" x14ac:dyDescent="0.2"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1:22" ht="30" x14ac:dyDescent="0.2"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1:22" ht="30" x14ac:dyDescent="0.2"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1:22" ht="30" x14ac:dyDescent="0.2"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1:22" ht="30" x14ac:dyDescent="0.2"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1:22" ht="30" x14ac:dyDescent="0.2"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1:22" ht="30" x14ac:dyDescent="0.2"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1:22" ht="30" x14ac:dyDescent="0.2"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1:22" ht="30" x14ac:dyDescent="0.2"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1:22" ht="30" x14ac:dyDescent="0.2"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1:22" ht="30" x14ac:dyDescent="0.2"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1:22" ht="30" x14ac:dyDescent="0.2"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1:22" ht="30" x14ac:dyDescent="0.2"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1:22" ht="30" x14ac:dyDescent="0.2"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1:22" ht="30" x14ac:dyDescent="0.2"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1:22" ht="30" x14ac:dyDescent="0.2"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1:22" ht="30" x14ac:dyDescent="0.2"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1:22" ht="30" x14ac:dyDescent="0.2"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1:22" ht="30" x14ac:dyDescent="0.2"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1:22" ht="30" x14ac:dyDescent="0.2"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1:22" ht="30" x14ac:dyDescent="0.2"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1:22" ht="30" x14ac:dyDescent="0.2"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1:22" ht="30" x14ac:dyDescent="0.2"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1:22" ht="30" x14ac:dyDescent="0.2"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1:22" ht="30" x14ac:dyDescent="0.2"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1:22" ht="30" x14ac:dyDescent="0.2"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1:22" ht="30" x14ac:dyDescent="0.2"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1:22" ht="30" x14ac:dyDescent="0.2"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1:22" ht="30" x14ac:dyDescent="0.2"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1:22" ht="30" x14ac:dyDescent="0.2"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1:22" ht="30" x14ac:dyDescent="0.2"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1:22" ht="30" x14ac:dyDescent="0.2"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1:22" ht="30" x14ac:dyDescent="0.2"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1:22" ht="30" x14ac:dyDescent="0.2"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1:22" ht="30" x14ac:dyDescent="0.2"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1:22" ht="30" x14ac:dyDescent="0.2"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1:22" ht="30" x14ac:dyDescent="0.2"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1:22" ht="30" x14ac:dyDescent="0.2"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1:22" ht="30" x14ac:dyDescent="0.2"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1:22" ht="30" x14ac:dyDescent="0.2"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1:22" ht="30" x14ac:dyDescent="0.2"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1:22" ht="30" x14ac:dyDescent="0.2"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1:22" ht="30" x14ac:dyDescent="0.2"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1:22" ht="30" x14ac:dyDescent="0.2"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1:22" ht="30" x14ac:dyDescent="0.2"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1:22" ht="30" x14ac:dyDescent="0.2"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1:22" ht="30" x14ac:dyDescent="0.2"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1:22" ht="30" x14ac:dyDescent="0.2"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1:22" ht="30" x14ac:dyDescent="0.2"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1:22" ht="30" x14ac:dyDescent="0.2"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1:22" ht="30" x14ac:dyDescent="0.2"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1:22" ht="30" x14ac:dyDescent="0.2"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1:22" ht="30" x14ac:dyDescent="0.2"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1:22" ht="30" x14ac:dyDescent="0.2"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1:22" ht="30" x14ac:dyDescent="0.2"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1:22" ht="30" x14ac:dyDescent="0.2"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1:22" ht="30" x14ac:dyDescent="0.2"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1:22" ht="30" x14ac:dyDescent="0.2"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1:22" ht="30" x14ac:dyDescent="0.2"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1:22" ht="30" x14ac:dyDescent="0.2"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1:22" ht="30" x14ac:dyDescent="0.2"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1:22" ht="30" x14ac:dyDescent="0.2"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1:22" ht="30" x14ac:dyDescent="0.2"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1:22" ht="30" x14ac:dyDescent="0.2"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1:22" ht="30" x14ac:dyDescent="0.2"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1:22" ht="30" x14ac:dyDescent="0.2"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1:22" ht="30" x14ac:dyDescent="0.2"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1:22" ht="30" x14ac:dyDescent="0.2"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1:22" ht="30" x14ac:dyDescent="0.2"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1:22" ht="30" x14ac:dyDescent="0.2"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1:22" ht="30" x14ac:dyDescent="0.2"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1:22" ht="30" x14ac:dyDescent="0.2"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1:22" ht="30" x14ac:dyDescent="0.2"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1:22" ht="30" x14ac:dyDescent="0.2"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1:22" ht="30" x14ac:dyDescent="0.2"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1:22" ht="30" x14ac:dyDescent="0.2"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1:22" ht="30" x14ac:dyDescent="0.2"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1:22" ht="30" x14ac:dyDescent="0.2"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1:22" ht="30" x14ac:dyDescent="0.2"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1:22" ht="30" x14ac:dyDescent="0.2"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1:22" ht="30" x14ac:dyDescent="0.2"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1:22" ht="30" x14ac:dyDescent="0.2"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1:22" ht="30" x14ac:dyDescent="0.2"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1:22" ht="30" x14ac:dyDescent="0.2"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1:22" ht="30" x14ac:dyDescent="0.2"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1:22" ht="30" x14ac:dyDescent="0.2"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1:22" ht="30" x14ac:dyDescent="0.2"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1:22" ht="30" x14ac:dyDescent="0.2"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1:22" ht="30" x14ac:dyDescent="0.2"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1:22" ht="30" x14ac:dyDescent="0.2"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1:22" ht="30" x14ac:dyDescent="0.2"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1:22" ht="30" x14ac:dyDescent="0.2"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1:22" ht="30" x14ac:dyDescent="0.2"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1:22" ht="30" x14ac:dyDescent="0.2"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1:22" ht="30" x14ac:dyDescent="0.2"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1:22" ht="30" x14ac:dyDescent="0.2"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1:22" ht="30" x14ac:dyDescent="0.2"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1:22" ht="30" x14ac:dyDescent="0.2"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1:22" ht="30" x14ac:dyDescent="0.2"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1:22" ht="30" x14ac:dyDescent="0.2"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1:22" ht="30" x14ac:dyDescent="0.2"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1:22" ht="30" x14ac:dyDescent="0.2"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1:22" ht="30" x14ac:dyDescent="0.2"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1:22" ht="30" x14ac:dyDescent="0.2"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1:22" ht="30" x14ac:dyDescent="0.2"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1:22" ht="30" x14ac:dyDescent="0.2"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1:22" ht="30" x14ac:dyDescent="0.2"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1:22" ht="30" x14ac:dyDescent="0.2"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1:22" ht="30" x14ac:dyDescent="0.2"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1:22" ht="30" x14ac:dyDescent="0.2"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1:22" ht="30" x14ac:dyDescent="0.2"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1:22" ht="30" x14ac:dyDescent="0.2"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1:22" ht="30" x14ac:dyDescent="0.2"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1:22" ht="30" x14ac:dyDescent="0.2"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1:22" ht="30" x14ac:dyDescent="0.2"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1:22" ht="30" x14ac:dyDescent="0.2"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1:22" ht="30" x14ac:dyDescent="0.2"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1:22" ht="30" x14ac:dyDescent="0.2"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1:22" ht="30" x14ac:dyDescent="0.2"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1:22" ht="30" x14ac:dyDescent="0.2"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1:22" ht="30" x14ac:dyDescent="0.2"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1:22" ht="30" x14ac:dyDescent="0.2"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1:22" ht="30" x14ac:dyDescent="0.2"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1:22" ht="30" x14ac:dyDescent="0.2"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1:22" ht="30" x14ac:dyDescent="0.2"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1:22" ht="30" x14ac:dyDescent="0.2"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1:22" ht="30" x14ac:dyDescent="0.2"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1:22" ht="30" x14ac:dyDescent="0.2"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1:22" ht="30" x14ac:dyDescent="0.2"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1:22" ht="30" x14ac:dyDescent="0.2"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1:22" ht="30" x14ac:dyDescent="0.2"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1:22" ht="30" x14ac:dyDescent="0.2"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1:22" ht="30" x14ac:dyDescent="0.2"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1:22" ht="30" x14ac:dyDescent="0.2"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1:22" ht="30" x14ac:dyDescent="0.2"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1:22" ht="30" x14ac:dyDescent="0.2"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1:22" ht="30" x14ac:dyDescent="0.2"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1:22" ht="30" x14ac:dyDescent="0.2"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1:22" ht="30" x14ac:dyDescent="0.2"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1:22" ht="30" x14ac:dyDescent="0.2"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1:22" ht="30" x14ac:dyDescent="0.2"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1:22" ht="30" x14ac:dyDescent="0.2"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1:22" ht="30" x14ac:dyDescent="0.2"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1:22" ht="30" x14ac:dyDescent="0.2"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1:22" ht="30" x14ac:dyDescent="0.2"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1:22" ht="30" x14ac:dyDescent="0.2"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1:22" ht="30" x14ac:dyDescent="0.2"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1:22" ht="30" x14ac:dyDescent="0.2"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1:22" ht="30" x14ac:dyDescent="0.2"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1:22" ht="30" x14ac:dyDescent="0.2"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1:22" ht="30" x14ac:dyDescent="0.2"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1:22" ht="30" x14ac:dyDescent="0.2"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1:22" ht="30" x14ac:dyDescent="0.2"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1:22" ht="30" x14ac:dyDescent="0.2"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1:22" ht="30" x14ac:dyDescent="0.2"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1:22" ht="30" x14ac:dyDescent="0.2"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1:22" ht="30" x14ac:dyDescent="0.2"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1:22" ht="30" x14ac:dyDescent="0.2"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1:22" ht="30" x14ac:dyDescent="0.2"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1:22" ht="30" x14ac:dyDescent="0.2"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1:22" ht="30" x14ac:dyDescent="0.2"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1:22" ht="30" x14ac:dyDescent="0.2"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1:22" ht="30" x14ac:dyDescent="0.2"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1:22" ht="30" x14ac:dyDescent="0.2"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1:22" ht="30" x14ac:dyDescent="0.2"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1:22" ht="30" x14ac:dyDescent="0.2"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1:22" ht="30" x14ac:dyDescent="0.2"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1:22" ht="30" x14ac:dyDescent="0.2"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1:22" ht="30" x14ac:dyDescent="0.2"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1:22" ht="30" x14ac:dyDescent="0.2"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1:22" ht="30" x14ac:dyDescent="0.2"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1:22" ht="30" x14ac:dyDescent="0.2"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1:22" ht="30" x14ac:dyDescent="0.2"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1:22" ht="30" x14ac:dyDescent="0.2"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1:22" ht="30" x14ac:dyDescent="0.2"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1:22" ht="30" x14ac:dyDescent="0.2"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1:22" ht="30" x14ac:dyDescent="0.2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1:22" ht="30" x14ac:dyDescent="0.2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1:22" ht="30" x14ac:dyDescent="0.2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1:22" ht="30" x14ac:dyDescent="0.2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1:22" ht="30" x14ac:dyDescent="0.2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1:22" ht="30" x14ac:dyDescent="0.2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1:22" ht="30" x14ac:dyDescent="0.2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1:22" ht="30" x14ac:dyDescent="0.2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1:22" ht="30" x14ac:dyDescent="0.2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1:22" ht="30" x14ac:dyDescent="0.2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1:22" ht="30" x14ac:dyDescent="0.2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1:22" ht="30" x14ac:dyDescent="0.2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1:22" ht="30" x14ac:dyDescent="0.2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1:22" ht="30" x14ac:dyDescent="0.2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1:22" ht="30" x14ac:dyDescent="0.2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1:22" ht="30" x14ac:dyDescent="0.2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1:22" ht="30" x14ac:dyDescent="0.2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1:22" ht="30" x14ac:dyDescent="0.2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1:22" ht="30" x14ac:dyDescent="0.2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1:22" ht="30" x14ac:dyDescent="0.2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1:22" ht="30" x14ac:dyDescent="0.2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1:22" ht="30" x14ac:dyDescent="0.2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1:22" ht="30" x14ac:dyDescent="0.2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1:22" ht="30" x14ac:dyDescent="0.2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1:22" ht="30" x14ac:dyDescent="0.2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1:22" ht="30" x14ac:dyDescent="0.2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1:22" ht="30" x14ac:dyDescent="0.2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1:22" ht="30" x14ac:dyDescent="0.2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1:22" ht="30" x14ac:dyDescent="0.2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1:22" ht="30" x14ac:dyDescent="0.2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1:22" ht="30" x14ac:dyDescent="0.2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1:22" ht="30" x14ac:dyDescent="0.2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1:22" ht="30" x14ac:dyDescent="0.2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1:22" ht="30" x14ac:dyDescent="0.2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1:22" ht="30" x14ac:dyDescent="0.2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1:22" ht="30" x14ac:dyDescent="0.2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1:22" ht="30" x14ac:dyDescent="0.2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1:22" ht="30" x14ac:dyDescent="0.2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1:22" ht="30" x14ac:dyDescent="0.2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1:22" ht="30" x14ac:dyDescent="0.2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1:22" ht="30" x14ac:dyDescent="0.2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1:22" ht="30" x14ac:dyDescent="0.2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1:22" ht="30" x14ac:dyDescent="0.2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1:22" ht="30" x14ac:dyDescent="0.2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1:22" ht="30" x14ac:dyDescent="0.2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1:22" ht="30" x14ac:dyDescent="0.2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1:22" ht="30" x14ac:dyDescent="0.2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1:22" ht="30" x14ac:dyDescent="0.2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1:22" ht="30" x14ac:dyDescent="0.2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1:22" ht="30" x14ac:dyDescent="0.2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1:22" ht="30" x14ac:dyDescent="0.2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1:22" ht="30" x14ac:dyDescent="0.2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1:22" ht="30" x14ac:dyDescent="0.2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1:22" ht="30" x14ac:dyDescent="0.2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1:22" ht="30" x14ac:dyDescent="0.2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1:22" ht="30" x14ac:dyDescent="0.2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1:22" ht="30" x14ac:dyDescent="0.2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1:22" ht="30" x14ac:dyDescent="0.2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1:22" ht="30" x14ac:dyDescent="0.2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1:22" ht="30" x14ac:dyDescent="0.2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1:22" ht="30" x14ac:dyDescent="0.2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1:22" ht="30" x14ac:dyDescent="0.2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1:22" ht="30" x14ac:dyDescent="0.2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1:22" ht="30" x14ac:dyDescent="0.2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1:22" ht="30" x14ac:dyDescent="0.2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1:22" ht="30" x14ac:dyDescent="0.2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1:22" ht="30" x14ac:dyDescent="0.2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1:22" ht="30" x14ac:dyDescent="0.2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1:22" ht="30" x14ac:dyDescent="0.2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1:22" ht="30" x14ac:dyDescent="0.2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1:22" ht="30" x14ac:dyDescent="0.2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1:22" ht="30" x14ac:dyDescent="0.2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1:22" ht="30" x14ac:dyDescent="0.2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1:22" ht="30" x14ac:dyDescent="0.2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1:22" ht="30" x14ac:dyDescent="0.2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1:22" ht="30" x14ac:dyDescent="0.2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1:22" ht="30" x14ac:dyDescent="0.2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1:22" ht="30" x14ac:dyDescent="0.2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1:22" ht="30" x14ac:dyDescent="0.2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1:22" ht="30" x14ac:dyDescent="0.2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1:22" ht="30" x14ac:dyDescent="0.2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1:22" ht="30" x14ac:dyDescent="0.2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1:22" ht="30" x14ac:dyDescent="0.2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1:22" ht="30" x14ac:dyDescent="0.2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1:22" ht="30" x14ac:dyDescent="0.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1:22" ht="30" x14ac:dyDescent="0.2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1:22" ht="30" x14ac:dyDescent="0.2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1:22" ht="30" x14ac:dyDescent="0.2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1:22" ht="30" x14ac:dyDescent="0.2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1:22" ht="30" x14ac:dyDescent="0.2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1:22" ht="30" x14ac:dyDescent="0.2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1:22" ht="30" x14ac:dyDescent="0.2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1:22" ht="30" x14ac:dyDescent="0.2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1:22" ht="30" x14ac:dyDescent="0.2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1:22" ht="30" x14ac:dyDescent="0.2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1:22" ht="30" x14ac:dyDescent="0.2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1:22" ht="30" x14ac:dyDescent="0.2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1:22" ht="30" x14ac:dyDescent="0.2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1:22" ht="30" x14ac:dyDescent="0.2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1:22" ht="30" x14ac:dyDescent="0.2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1:22" ht="30" x14ac:dyDescent="0.2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1:22" ht="30" x14ac:dyDescent="0.2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1:22" ht="30" x14ac:dyDescent="0.2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1:22" ht="30" x14ac:dyDescent="0.2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1:22" ht="30" x14ac:dyDescent="0.2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1:22" ht="30" x14ac:dyDescent="0.2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1:22" ht="30" x14ac:dyDescent="0.2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1:22" ht="30" x14ac:dyDescent="0.2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1:22" ht="30" x14ac:dyDescent="0.2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1:22" ht="30" x14ac:dyDescent="0.2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1:22" ht="30" x14ac:dyDescent="0.2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1:22" ht="30" x14ac:dyDescent="0.2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1:22" ht="30" x14ac:dyDescent="0.2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1:22" ht="30" x14ac:dyDescent="0.2"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1:22" ht="30" x14ac:dyDescent="0.2"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1:22" ht="30" x14ac:dyDescent="0.2"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1:22" ht="30" x14ac:dyDescent="0.2"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1:22" ht="30" x14ac:dyDescent="0.2"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1:22" ht="30" x14ac:dyDescent="0.2"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1:22" ht="30" x14ac:dyDescent="0.2"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1:22" ht="30" x14ac:dyDescent="0.2"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1:22" ht="30" x14ac:dyDescent="0.2"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1:22" ht="30" x14ac:dyDescent="0.2"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1:22" ht="30" x14ac:dyDescent="0.2"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1:22" ht="30" x14ac:dyDescent="0.2"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1:22" ht="30" x14ac:dyDescent="0.2"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1:22" ht="30" x14ac:dyDescent="0.2"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1:22" ht="30" x14ac:dyDescent="0.2"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1:22" ht="30" x14ac:dyDescent="0.2"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1:22" ht="30" x14ac:dyDescent="0.2"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1:22" ht="30" x14ac:dyDescent="0.2"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1:22" ht="30" x14ac:dyDescent="0.2"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1:22" ht="30" x14ac:dyDescent="0.2"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1:22" ht="30" x14ac:dyDescent="0.2"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1:22" ht="30" x14ac:dyDescent="0.2"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1:22" ht="30" x14ac:dyDescent="0.2"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1:22" ht="30" x14ac:dyDescent="0.2"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1:22" ht="30" x14ac:dyDescent="0.2"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1:22" ht="30" x14ac:dyDescent="0.2"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1:22" ht="30" x14ac:dyDescent="0.2"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1:22" ht="30" x14ac:dyDescent="0.2"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1:22" ht="30" x14ac:dyDescent="0.2"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1:22" ht="30" x14ac:dyDescent="0.2"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1:22" ht="30" x14ac:dyDescent="0.2"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1:22" ht="30" x14ac:dyDescent="0.2"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1:22" ht="30" x14ac:dyDescent="0.2"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1:22" ht="30" x14ac:dyDescent="0.2"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1:22" ht="30" x14ac:dyDescent="0.2"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1:22" ht="30" x14ac:dyDescent="0.2"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1:22" ht="30" x14ac:dyDescent="0.2"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1:22" ht="30" x14ac:dyDescent="0.2"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1:22" ht="30" x14ac:dyDescent="0.2"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1:22" ht="30" x14ac:dyDescent="0.2"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1:22" ht="30" x14ac:dyDescent="0.2"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1:22" ht="30" x14ac:dyDescent="0.2"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1:22" ht="30" x14ac:dyDescent="0.2"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1:22" ht="30" x14ac:dyDescent="0.2"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1:22" ht="30" x14ac:dyDescent="0.2"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1:22" ht="30" x14ac:dyDescent="0.2"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1:22" ht="30" x14ac:dyDescent="0.2"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1:22" ht="30" x14ac:dyDescent="0.2"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1:22" ht="30" x14ac:dyDescent="0.2"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1:22" ht="30" x14ac:dyDescent="0.2"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1:22" ht="30" x14ac:dyDescent="0.2"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1:22" ht="30" x14ac:dyDescent="0.2"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1:22" ht="30" x14ac:dyDescent="0.2"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1:22" ht="30" x14ac:dyDescent="0.2"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1:22" ht="30" x14ac:dyDescent="0.2"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1:22" ht="30" x14ac:dyDescent="0.2"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1:22" ht="30" x14ac:dyDescent="0.2"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1:22" ht="30" x14ac:dyDescent="0.2"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1:22" ht="30" x14ac:dyDescent="0.2"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1:22" ht="30" x14ac:dyDescent="0.2"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1:22" ht="30" x14ac:dyDescent="0.2"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1:22" ht="30" x14ac:dyDescent="0.2"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1:22" ht="30" x14ac:dyDescent="0.2"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1:22" ht="30" x14ac:dyDescent="0.2"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1:22" ht="30" x14ac:dyDescent="0.2"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1:22" ht="30" x14ac:dyDescent="0.2"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1:22" ht="30" x14ac:dyDescent="0.2"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1:22" ht="30" x14ac:dyDescent="0.2"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1:22" ht="30" x14ac:dyDescent="0.2"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1:22" ht="30" x14ac:dyDescent="0.2"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1:22" ht="30" x14ac:dyDescent="0.2"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1:22" ht="30" x14ac:dyDescent="0.2"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1:22" ht="30" x14ac:dyDescent="0.2"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1:22" ht="30" x14ac:dyDescent="0.2"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1:22" ht="30" x14ac:dyDescent="0.2"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1:22" ht="30" x14ac:dyDescent="0.2"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1:22" ht="30" x14ac:dyDescent="0.2"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1:22" ht="30" x14ac:dyDescent="0.2"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1:22" ht="30" x14ac:dyDescent="0.2"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1:22" ht="30" x14ac:dyDescent="0.2"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1:22" ht="30" x14ac:dyDescent="0.2"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1:22" ht="30" x14ac:dyDescent="0.2"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1:22" ht="30" x14ac:dyDescent="0.2"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1:22" ht="30" x14ac:dyDescent="0.2"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1:22" ht="30" x14ac:dyDescent="0.2"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1:22" ht="30" x14ac:dyDescent="0.2"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1:22" ht="30" x14ac:dyDescent="0.2"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1:22" ht="30" x14ac:dyDescent="0.2"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1:22" ht="30" x14ac:dyDescent="0.2"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1:22" ht="30" x14ac:dyDescent="0.2"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1:22" ht="30" x14ac:dyDescent="0.2"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1:22" ht="30" x14ac:dyDescent="0.2"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1:22" ht="30" x14ac:dyDescent="0.2"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1:22" ht="30" x14ac:dyDescent="0.2"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1:22" ht="30" x14ac:dyDescent="0.2"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1:22" ht="30" x14ac:dyDescent="0.2"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1:22" ht="30" x14ac:dyDescent="0.2"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1:22" ht="30" x14ac:dyDescent="0.2"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1:22" ht="30" x14ac:dyDescent="0.2"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1:22" ht="30" x14ac:dyDescent="0.2"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1:22" ht="30" x14ac:dyDescent="0.2"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1:22" ht="30" x14ac:dyDescent="0.2"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1:22" ht="30" x14ac:dyDescent="0.2"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1:22" ht="30" x14ac:dyDescent="0.2"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1:22" ht="30" x14ac:dyDescent="0.2"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1:22" ht="30" x14ac:dyDescent="0.2"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1:22" ht="30" x14ac:dyDescent="0.2"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1:22" ht="30" x14ac:dyDescent="0.2"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1:22" ht="30" x14ac:dyDescent="0.2"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1:22" ht="30" x14ac:dyDescent="0.2"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1:22" ht="30" x14ac:dyDescent="0.2"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1:22" ht="30" x14ac:dyDescent="0.2"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1:22" ht="30" x14ac:dyDescent="0.2"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1:22" ht="30" x14ac:dyDescent="0.2"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1:22" ht="30" x14ac:dyDescent="0.2"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1:22" ht="30" x14ac:dyDescent="0.2"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1:22" ht="30" x14ac:dyDescent="0.2"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1:22" ht="30" x14ac:dyDescent="0.2"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1:22" ht="30" x14ac:dyDescent="0.2"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1:22" ht="30" x14ac:dyDescent="0.2"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1:22" ht="30" x14ac:dyDescent="0.2"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1:22" ht="30" x14ac:dyDescent="0.2"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1:22" ht="30" x14ac:dyDescent="0.2"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1:22" ht="30" x14ac:dyDescent="0.2"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1:22" ht="30" x14ac:dyDescent="0.2"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1:22" ht="30" x14ac:dyDescent="0.2"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1:22" ht="30" x14ac:dyDescent="0.2"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1:22" ht="30" x14ac:dyDescent="0.2"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1:22" ht="30" x14ac:dyDescent="0.2"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1:22" ht="30" x14ac:dyDescent="0.2"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1:22" ht="30" x14ac:dyDescent="0.2"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1:22" ht="30" x14ac:dyDescent="0.2"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1:22" ht="30" x14ac:dyDescent="0.2"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1:22" ht="30" x14ac:dyDescent="0.2"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1:22" ht="30" x14ac:dyDescent="0.2"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1:22" ht="30" x14ac:dyDescent="0.2"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1:22" ht="30" x14ac:dyDescent="0.2"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1:22" ht="30" x14ac:dyDescent="0.2"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1:22" ht="30" x14ac:dyDescent="0.2"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1:22" ht="30" x14ac:dyDescent="0.2"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1:22" ht="30" x14ac:dyDescent="0.2"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1:22" ht="30" x14ac:dyDescent="0.2"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1:22" ht="30" x14ac:dyDescent="0.2"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1:22" ht="30" x14ac:dyDescent="0.2"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1:22" ht="30" x14ac:dyDescent="0.2"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1:22" ht="30" x14ac:dyDescent="0.2"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1:22" ht="30" x14ac:dyDescent="0.2"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1:22" ht="30" x14ac:dyDescent="0.2"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1:22" ht="30" x14ac:dyDescent="0.2"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1:22" ht="30" x14ac:dyDescent="0.2"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1:22" ht="30" x14ac:dyDescent="0.2"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1:22" ht="30" x14ac:dyDescent="0.2"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1:22" ht="30" x14ac:dyDescent="0.2"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1:22" ht="30" x14ac:dyDescent="0.2"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1:22" ht="30" x14ac:dyDescent="0.2"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1:22" ht="30" x14ac:dyDescent="0.2"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1:22" ht="30" x14ac:dyDescent="0.2"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1:22" ht="30" x14ac:dyDescent="0.2"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1:22" ht="30" x14ac:dyDescent="0.2"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1:22" ht="30" x14ac:dyDescent="0.2"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1:22" ht="30" x14ac:dyDescent="0.2"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1:22" ht="30" x14ac:dyDescent="0.2"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1:22" ht="30" x14ac:dyDescent="0.2"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1:22" ht="30" x14ac:dyDescent="0.2"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1:22" ht="30" x14ac:dyDescent="0.2"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1:22" ht="30" x14ac:dyDescent="0.2"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1:22" ht="30" x14ac:dyDescent="0.2"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1:22" ht="30" x14ac:dyDescent="0.2"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1:22" ht="30" x14ac:dyDescent="0.2"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1:22" ht="30" x14ac:dyDescent="0.2"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1:22" ht="30" x14ac:dyDescent="0.2"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1:22" ht="30" x14ac:dyDescent="0.2"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1:22" ht="30" x14ac:dyDescent="0.2"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1:22" ht="30" x14ac:dyDescent="0.2"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1:22" ht="30" x14ac:dyDescent="0.2"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1:22" ht="30" x14ac:dyDescent="0.2"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1:22" ht="30" x14ac:dyDescent="0.2"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1:22" ht="30" x14ac:dyDescent="0.2"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1:22" ht="30" x14ac:dyDescent="0.2"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1:22" ht="30" x14ac:dyDescent="0.2"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1:22" ht="30" x14ac:dyDescent="0.2"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1:22" ht="30" x14ac:dyDescent="0.2"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1:22" ht="30" x14ac:dyDescent="0.2"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1:22" ht="30" x14ac:dyDescent="0.2"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1:22" ht="30" x14ac:dyDescent="0.2"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1:22" ht="30" x14ac:dyDescent="0.2"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1:22" ht="30" x14ac:dyDescent="0.2"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1:22" ht="30" x14ac:dyDescent="0.2"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1:22" ht="30" x14ac:dyDescent="0.2"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1:22" ht="30" x14ac:dyDescent="0.2"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1:22" ht="30" x14ac:dyDescent="0.2"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1:22" ht="30" x14ac:dyDescent="0.2"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1:22" ht="30" x14ac:dyDescent="0.2"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1:22" ht="30" x14ac:dyDescent="0.2"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1:22" ht="30" x14ac:dyDescent="0.2"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1:22" ht="30" x14ac:dyDescent="0.2"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1:22" ht="30" x14ac:dyDescent="0.2"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1:22" ht="30" x14ac:dyDescent="0.2"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1:22" ht="30" x14ac:dyDescent="0.2"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1:22" ht="30" x14ac:dyDescent="0.2"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1:22" ht="30" x14ac:dyDescent="0.2"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1:22" ht="30" x14ac:dyDescent="0.2"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1:22" ht="30" x14ac:dyDescent="0.2"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1:22" ht="30" x14ac:dyDescent="0.2"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1:22" ht="30" x14ac:dyDescent="0.2"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1:22" ht="30" x14ac:dyDescent="0.2"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1:22" ht="30" x14ac:dyDescent="0.2"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1:22" ht="30" x14ac:dyDescent="0.2"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1:22" ht="30" x14ac:dyDescent="0.2"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1:22" ht="30" x14ac:dyDescent="0.2"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1:22" ht="30" x14ac:dyDescent="0.2"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1:22" ht="30" x14ac:dyDescent="0.2"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1:22" ht="30" x14ac:dyDescent="0.2"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1:22" ht="30" x14ac:dyDescent="0.2"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1:22" ht="30" x14ac:dyDescent="0.2"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1:22" ht="30" x14ac:dyDescent="0.2"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1:22" ht="30" x14ac:dyDescent="0.2"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1:22" ht="30" x14ac:dyDescent="0.2"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1:22" ht="30" x14ac:dyDescent="0.2"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1:22" ht="30" x14ac:dyDescent="0.2"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1:22" ht="30" x14ac:dyDescent="0.2"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1:22" ht="30" x14ac:dyDescent="0.2"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1:22" ht="30" x14ac:dyDescent="0.2"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1:22" ht="30" x14ac:dyDescent="0.2"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1:22" ht="30" x14ac:dyDescent="0.2"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1:22" ht="30" x14ac:dyDescent="0.2"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1:22" ht="30" x14ac:dyDescent="0.2"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1:22" ht="30" x14ac:dyDescent="0.2"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1:22" ht="30" x14ac:dyDescent="0.2"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1:22" ht="30" x14ac:dyDescent="0.2"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1:22" ht="30" x14ac:dyDescent="0.2"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1:22" ht="30" x14ac:dyDescent="0.2"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1:22" ht="30" x14ac:dyDescent="0.2"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1:22" ht="30" x14ac:dyDescent="0.2"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1:22" ht="30" x14ac:dyDescent="0.2"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1:22" ht="30" x14ac:dyDescent="0.2"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1:22" ht="30" x14ac:dyDescent="0.2"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1:22" ht="30" x14ac:dyDescent="0.2"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1:22" ht="30" x14ac:dyDescent="0.2"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1:22" ht="30" x14ac:dyDescent="0.2"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1:22" ht="30" x14ac:dyDescent="0.2"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1:22" ht="30" x14ac:dyDescent="0.2"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1:22" ht="30" x14ac:dyDescent="0.2"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1:22" ht="30" x14ac:dyDescent="0.2"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1:22" ht="30" x14ac:dyDescent="0.2"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1:22" ht="30" x14ac:dyDescent="0.2"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1:22" ht="30" x14ac:dyDescent="0.2"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1:22" ht="30" x14ac:dyDescent="0.2"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1:22" ht="30" x14ac:dyDescent="0.2"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1:22" ht="30" x14ac:dyDescent="0.2"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1:22" ht="30" x14ac:dyDescent="0.2"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1:22" ht="30" x14ac:dyDescent="0.2"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1:22" ht="30" x14ac:dyDescent="0.2"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1:22" ht="30" x14ac:dyDescent="0.2"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1:22" ht="30" x14ac:dyDescent="0.2"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1:22" ht="30" x14ac:dyDescent="0.2"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1:22" ht="30" x14ac:dyDescent="0.2"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1:22" ht="30" x14ac:dyDescent="0.2"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1:22" ht="30" x14ac:dyDescent="0.2"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1:22" ht="30" x14ac:dyDescent="0.2"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1:22" ht="30" x14ac:dyDescent="0.2"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1:22" ht="30" x14ac:dyDescent="0.2"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1:22" ht="30" x14ac:dyDescent="0.2"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1:22" ht="30" x14ac:dyDescent="0.2"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1:22" ht="30" x14ac:dyDescent="0.2"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1:22" ht="30" x14ac:dyDescent="0.2"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1:22" ht="30" x14ac:dyDescent="0.2"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1:22" ht="30" x14ac:dyDescent="0.2"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1:22" ht="30" x14ac:dyDescent="0.2"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1:22" ht="30" x14ac:dyDescent="0.2"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1:22" ht="30" x14ac:dyDescent="0.2"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spans="11:22" ht="30" x14ac:dyDescent="0.2"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spans="11:22" ht="30" x14ac:dyDescent="0.2"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spans="11:22" ht="30" x14ac:dyDescent="0.2"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1:22" ht="30" x14ac:dyDescent="0.2"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spans="11:22" ht="30" x14ac:dyDescent="0.2"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1:22" ht="30" x14ac:dyDescent="0.2"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spans="11:22" ht="30" x14ac:dyDescent="0.2"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spans="11:22" ht="30" x14ac:dyDescent="0.2"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spans="11:22" ht="30" x14ac:dyDescent="0.2"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spans="11:22" ht="30" x14ac:dyDescent="0.2"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spans="11:22" ht="30" x14ac:dyDescent="0.2"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spans="11:22" ht="30" x14ac:dyDescent="0.2"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spans="11:22" ht="30" x14ac:dyDescent="0.2"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spans="11:22" ht="30" x14ac:dyDescent="0.2"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spans="11:22" ht="30" x14ac:dyDescent="0.2"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spans="11:22" ht="30" x14ac:dyDescent="0.2"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spans="11:22" ht="30" x14ac:dyDescent="0.2"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spans="11:22" ht="30" x14ac:dyDescent="0.2"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spans="11:22" ht="30" x14ac:dyDescent="0.2"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spans="11:22" ht="30" x14ac:dyDescent="0.2"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spans="11:22" ht="30" x14ac:dyDescent="0.2"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spans="11:22" ht="30" x14ac:dyDescent="0.2"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spans="11:22" ht="30" x14ac:dyDescent="0.2"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spans="11:22" ht="30" x14ac:dyDescent="0.2"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spans="11:22" ht="30" x14ac:dyDescent="0.2"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spans="11:22" ht="30" x14ac:dyDescent="0.2"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spans="11:22" ht="30" x14ac:dyDescent="0.2"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spans="11:22" ht="30" x14ac:dyDescent="0.2"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spans="11:22" ht="30" x14ac:dyDescent="0.2"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spans="11:22" ht="30" x14ac:dyDescent="0.2"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spans="11:22" ht="30" x14ac:dyDescent="0.2"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spans="11:22" ht="30" x14ac:dyDescent="0.2"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spans="11:22" ht="30" x14ac:dyDescent="0.2"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spans="11:22" ht="30" x14ac:dyDescent="0.2"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spans="11:22" ht="30" x14ac:dyDescent="0.2"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spans="11:22" ht="30" x14ac:dyDescent="0.2"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spans="11:22" ht="30" x14ac:dyDescent="0.2"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spans="11:22" ht="30" x14ac:dyDescent="0.2"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spans="11:22" ht="30" x14ac:dyDescent="0.2"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spans="11:22" ht="30" x14ac:dyDescent="0.2"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spans="11:22" ht="30" x14ac:dyDescent="0.2"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spans="11:22" ht="30" x14ac:dyDescent="0.2"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spans="11:22" ht="30" x14ac:dyDescent="0.2"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spans="11:22" ht="30" x14ac:dyDescent="0.2"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spans="11:22" ht="30" x14ac:dyDescent="0.2"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1:22" ht="30" x14ac:dyDescent="0.2"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spans="11:22" ht="30" x14ac:dyDescent="0.2"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spans="11:22" ht="30" x14ac:dyDescent="0.2"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spans="11:22" ht="30" x14ac:dyDescent="0.2"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spans="11:22" ht="30" x14ac:dyDescent="0.2"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spans="11:22" ht="30" x14ac:dyDescent="0.2"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spans="11:22" ht="30" x14ac:dyDescent="0.2"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spans="11:22" ht="30" x14ac:dyDescent="0.2"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spans="11:22" ht="30" x14ac:dyDescent="0.2"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spans="11:22" ht="30" x14ac:dyDescent="0.2"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spans="11:22" ht="30" x14ac:dyDescent="0.2"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spans="11:22" ht="30" x14ac:dyDescent="0.2"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spans="11:22" ht="30" x14ac:dyDescent="0.2"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spans="11:22" ht="30" x14ac:dyDescent="0.2"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spans="11:22" ht="30" x14ac:dyDescent="0.2"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spans="11:22" ht="30" x14ac:dyDescent="0.2"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spans="11:22" ht="30" x14ac:dyDescent="0.2"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spans="11:22" ht="30" x14ac:dyDescent="0.2"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spans="11:22" ht="30" x14ac:dyDescent="0.2"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spans="11:22" ht="30" x14ac:dyDescent="0.2"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spans="11:22" ht="30" x14ac:dyDescent="0.2"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spans="11:22" ht="30" x14ac:dyDescent="0.2"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spans="11:22" ht="30" x14ac:dyDescent="0.2"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spans="11:22" ht="30" x14ac:dyDescent="0.2"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spans="11:22" ht="30" x14ac:dyDescent="0.2"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spans="11:22" ht="30" x14ac:dyDescent="0.2"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spans="11:22" ht="30" x14ac:dyDescent="0.2"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spans="11:22" ht="30" x14ac:dyDescent="0.2"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spans="11:22" ht="30" x14ac:dyDescent="0.2"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spans="11:22" ht="30" x14ac:dyDescent="0.2"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spans="11:22" ht="30" x14ac:dyDescent="0.2"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spans="11:22" ht="30" x14ac:dyDescent="0.2"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spans="11:22" ht="30" x14ac:dyDescent="0.2"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spans="11:22" ht="30" x14ac:dyDescent="0.2"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spans="11:22" ht="30" x14ac:dyDescent="0.2"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spans="11:22" ht="30" x14ac:dyDescent="0.2"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spans="11:22" ht="30" x14ac:dyDescent="0.2"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spans="11:22" ht="30" x14ac:dyDescent="0.2"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spans="11:22" ht="30" x14ac:dyDescent="0.2"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spans="11:22" ht="30" x14ac:dyDescent="0.2"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spans="11:22" ht="30" x14ac:dyDescent="0.2"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spans="11:22" ht="30" x14ac:dyDescent="0.2"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spans="11:22" ht="30" x14ac:dyDescent="0.2"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spans="11:22" ht="30" x14ac:dyDescent="0.2"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spans="11:22" ht="30" x14ac:dyDescent="0.2"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spans="11:22" ht="30" x14ac:dyDescent="0.2"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spans="11:22" ht="30" x14ac:dyDescent="0.2"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spans="11:22" ht="30" x14ac:dyDescent="0.2"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1:22" ht="30" x14ac:dyDescent="0.2"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spans="11:22" ht="30" x14ac:dyDescent="0.2"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spans="11:22" ht="30" x14ac:dyDescent="0.2"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spans="11:22" ht="30" x14ac:dyDescent="0.2"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spans="11:22" ht="30" x14ac:dyDescent="0.2"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spans="11:22" ht="30" x14ac:dyDescent="0.2"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spans="11:22" ht="30" x14ac:dyDescent="0.2"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spans="11:22" ht="30" x14ac:dyDescent="0.2"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spans="11:22" ht="30" x14ac:dyDescent="0.2"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spans="11:22" ht="30" x14ac:dyDescent="0.2"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spans="11:22" ht="30" x14ac:dyDescent="0.2"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spans="11:22" ht="30" x14ac:dyDescent="0.2"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spans="11:22" ht="30" x14ac:dyDescent="0.2"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spans="11:22" ht="30" x14ac:dyDescent="0.2"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spans="11:22" ht="30" x14ac:dyDescent="0.2"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spans="11:22" ht="30" x14ac:dyDescent="0.2"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spans="11:22" ht="30" x14ac:dyDescent="0.2"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spans="11:22" ht="30" x14ac:dyDescent="0.2"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spans="11:22" ht="30" x14ac:dyDescent="0.2"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spans="11:22" ht="30" x14ac:dyDescent="0.2"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spans="11:22" ht="30" x14ac:dyDescent="0.2"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spans="11:22" ht="30" x14ac:dyDescent="0.2"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spans="11:22" ht="30" x14ac:dyDescent="0.2"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spans="11:22" ht="30" x14ac:dyDescent="0.2"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spans="11:22" ht="30" x14ac:dyDescent="0.2"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spans="11:22" ht="30" x14ac:dyDescent="0.2"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spans="11:22" ht="30" x14ac:dyDescent="0.2"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spans="11:22" ht="30" x14ac:dyDescent="0.2"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spans="11:22" ht="30" x14ac:dyDescent="0.2"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spans="11:22" ht="30" x14ac:dyDescent="0.2"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spans="11:22" ht="30" x14ac:dyDescent="0.2"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spans="11:22" ht="30" x14ac:dyDescent="0.2"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spans="11:22" ht="30" x14ac:dyDescent="0.2"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spans="11:22" ht="30" x14ac:dyDescent="0.2"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spans="11:22" ht="30" x14ac:dyDescent="0.2"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spans="11:22" ht="30" x14ac:dyDescent="0.2"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spans="11:22" ht="30" x14ac:dyDescent="0.2"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spans="11:22" ht="30" x14ac:dyDescent="0.2"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spans="11:22" ht="30" x14ac:dyDescent="0.2"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spans="11:22" ht="30" x14ac:dyDescent="0.2"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spans="11:22" ht="30" x14ac:dyDescent="0.2"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spans="11:22" ht="30" x14ac:dyDescent="0.2"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spans="11:22" ht="30" x14ac:dyDescent="0.2"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spans="11:22" ht="30" x14ac:dyDescent="0.2"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spans="11:22" ht="30" x14ac:dyDescent="0.2"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spans="11:22" ht="30" x14ac:dyDescent="0.2"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spans="11:22" ht="30" x14ac:dyDescent="0.2"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spans="11:22" ht="30" x14ac:dyDescent="0.2"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spans="11:22" ht="30" x14ac:dyDescent="0.2"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spans="11:22" ht="30" x14ac:dyDescent="0.2"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spans="11:22" ht="30" x14ac:dyDescent="0.2"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spans="11:22" ht="30" x14ac:dyDescent="0.2"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spans="11:22" ht="30" x14ac:dyDescent="0.2"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spans="11:22" ht="30" x14ac:dyDescent="0.2"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spans="11:22" ht="30" x14ac:dyDescent="0.2"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spans="11:22" ht="30" x14ac:dyDescent="0.2"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spans="11:22" ht="30" x14ac:dyDescent="0.2"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spans="11:22" ht="30" x14ac:dyDescent="0.2"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spans="11:22" ht="30" x14ac:dyDescent="0.2"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spans="11:22" ht="30" x14ac:dyDescent="0.2"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spans="11:22" ht="30" x14ac:dyDescent="0.2"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spans="11:22" ht="30" x14ac:dyDescent="0.2"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spans="11:22" ht="30" x14ac:dyDescent="0.2"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spans="11:22" ht="30" x14ac:dyDescent="0.2"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spans="11:22" ht="30" x14ac:dyDescent="0.2"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spans="11:22" ht="30" x14ac:dyDescent="0.2"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spans="11:22" ht="30" x14ac:dyDescent="0.2"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spans="11:22" ht="30" x14ac:dyDescent="0.2"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spans="11:22" ht="30" x14ac:dyDescent="0.2"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spans="11:22" ht="30" x14ac:dyDescent="0.2"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spans="11:22" ht="30" x14ac:dyDescent="0.2"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spans="11:22" ht="30" x14ac:dyDescent="0.2"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spans="11:22" ht="30" x14ac:dyDescent="0.2"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spans="11:22" ht="30" x14ac:dyDescent="0.2"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spans="11:22" ht="30" x14ac:dyDescent="0.2"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spans="11:22" thickBot="1" x14ac:dyDescent="0.25"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spans="11:22" thickBot="1" x14ac:dyDescent="0.25">
      <c r="K1241" s="2"/>
      <c r="L1241" s="2"/>
      <c r="M1241" s="2"/>
      <c r="N1241" s="2"/>
      <c r="O1241" s="2"/>
    </row>
    <row r="1242" spans="11:22" thickBot="1" x14ac:dyDescent="0.25">
      <c r="K1242" s="2"/>
    </row>
    <row r="1243" spans="11:22" thickBot="1" x14ac:dyDescent="0.25">
      <c r="K1243" s="2"/>
    </row>
    <row r="1244" spans="11:22" thickBot="1" x14ac:dyDescent="0.25">
      <c r="K1244" s="2"/>
    </row>
  </sheetData>
  <mergeCells count="26">
    <mergeCell ref="F5:G5"/>
    <mergeCell ref="L5:L6"/>
    <mergeCell ref="F6:G6"/>
    <mergeCell ref="F7:G7"/>
    <mergeCell ref="F2:H2"/>
    <mergeCell ref="F3:G3"/>
    <mergeCell ref="L3:L4"/>
    <mergeCell ref="F4:G4"/>
    <mergeCell ref="F11:G11"/>
    <mergeCell ref="F12:G12"/>
    <mergeCell ref="F13:G13"/>
    <mergeCell ref="F8:G8"/>
    <mergeCell ref="F9:G9"/>
    <mergeCell ref="F10:G10"/>
    <mergeCell ref="F14:G14"/>
    <mergeCell ref="B15:C15"/>
    <mergeCell ref="B16:C16"/>
    <mergeCell ref="B17:C17"/>
    <mergeCell ref="B18:C18"/>
    <mergeCell ref="B33:B34"/>
    <mergeCell ref="B20:B21"/>
    <mergeCell ref="B22:B23"/>
    <mergeCell ref="B25:B26"/>
    <mergeCell ref="B27:B28"/>
    <mergeCell ref="B29:B30"/>
    <mergeCell ref="B31:B32"/>
  </mergeCells>
  <phoneticPr fontId="26" type="noConversion"/>
  <pageMargins left="0.25" right="0.25" top="0.75" bottom="0.75" header="0.3" footer="0.3"/>
  <pageSetup paperSize="9" scale="21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Simulador MP</vt:lpstr>
      <vt:lpstr>Planilha2</vt:lpstr>
      <vt:lpstr>Simulador Cx</vt:lpstr>
      <vt:lpstr>Simulador Cx (3)</vt:lpstr>
      <vt:lpstr>Planilha1</vt:lpstr>
      <vt:lpstr>Simulador PLASTICO</vt:lpstr>
      <vt:lpstr>Simulador Cx!Area_de_impressao</vt:lpstr>
      <vt:lpstr>Simulador Cx (3)!Area_de_impressao</vt:lpstr>
      <vt:lpstr>Simulador MP!Area_de_impressao</vt:lpstr>
      <vt:lpstr>Simulador PLASTICO!Area_de_impressao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Reginaldo Rodrigues</cp:lastModifiedBy>
  <cp:lastPrinted>2022-03-16T17:56:00Z</cp:lastPrinted>
  <dcterms:created xsi:type="dcterms:W3CDTF">2017-09-14T11:56:40Z</dcterms:created>
  <dcterms:modified xsi:type="dcterms:W3CDTF">2022-03-22T10:41:57Z</dcterms:modified>
</cp:coreProperties>
</file>