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19440" windowHeight="7515" activeTab="4"/>
  </bookViews>
  <sheets>
    <sheet name="ANEXO I" sheetId="1" r:id="rId1"/>
    <sheet name="ANEXO II" sheetId="2" r:id="rId2"/>
    <sheet name="ANEXO III" sheetId="3" r:id="rId3"/>
    <sheet name="ANEXO IV" sheetId="4" r:id="rId4"/>
    <sheet name="ANEXO V" sheetId="5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6" i="5" l="1"/>
  <c r="S36" i="5"/>
  <c r="T36" i="5"/>
  <c r="D31" i="5"/>
  <c r="T35" i="5"/>
  <c r="T34" i="5"/>
  <c r="T33" i="5"/>
  <c r="T32" i="5"/>
  <c r="T31" i="5"/>
  <c r="T30" i="5"/>
  <c r="T29" i="5"/>
  <c r="T28" i="5"/>
  <c r="T26" i="5"/>
  <c r="T27" i="5"/>
  <c r="T25" i="5"/>
  <c r="T24" i="5"/>
  <c r="D34" i="5"/>
  <c r="D32" i="5"/>
  <c r="D33" i="5"/>
  <c r="E15" i="1"/>
  <c r="E16" i="1"/>
  <c r="E17" i="1"/>
  <c r="E18" i="1"/>
  <c r="E19" i="1"/>
  <c r="E20" i="1"/>
  <c r="E22" i="1"/>
  <c r="J19" i="1"/>
  <c r="J28" i="1"/>
  <c r="I19" i="1"/>
  <c r="I28" i="1"/>
  <c r="E25" i="1"/>
  <c r="T11" i="3"/>
  <c r="T12" i="3"/>
  <c r="L29" i="5"/>
  <c r="L38" i="5"/>
  <c r="T11" i="2"/>
  <c r="T51" i="2"/>
  <c r="T54" i="2"/>
  <c r="T56" i="2"/>
  <c r="T57" i="2"/>
  <c r="U54" i="2"/>
  <c r="U56" i="2"/>
  <c r="U57" i="2"/>
  <c r="V54" i="2"/>
  <c r="V56" i="2"/>
  <c r="V57" i="2"/>
  <c r="W54" i="2"/>
  <c r="W56" i="2"/>
  <c r="W57" i="2"/>
  <c r="X54" i="2"/>
  <c r="X56" i="2"/>
  <c r="X57" i="2"/>
  <c r="Y54" i="2"/>
  <c r="Y56" i="2"/>
  <c r="Y57" i="2"/>
  <c r="Z55" i="2"/>
  <c r="Z56" i="2"/>
  <c r="Z57" i="2"/>
  <c r="AA57" i="2"/>
  <c r="AA56" i="2"/>
  <c r="AA54" i="2"/>
  <c r="T40" i="2"/>
  <c r="T46" i="2"/>
  <c r="T12" i="2"/>
  <c r="T14" i="2"/>
  <c r="T16" i="2"/>
  <c r="T15" i="2"/>
  <c r="T17" i="2"/>
  <c r="T18" i="2"/>
  <c r="T35" i="2"/>
  <c r="T36" i="2"/>
  <c r="T37" i="2"/>
  <c r="U35" i="2"/>
  <c r="U36" i="2"/>
  <c r="U37" i="2"/>
  <c r="V35" i="2"/>
  <c r="V36" i="2"/>
  <c r="V37" i="2"/>
  <c r="W35" i="2"/>
  <c r="W36" i="2"/>
  <c r="W37" i="2"/>
  <c r="X35" i="2"/>
  <c r="X36" i="2"/>
  <c r="X37" i="2"/>
  <c r="Y35" i="2"/>
  <c r="Y36" i="2"/>
  <c r="Y37" i="2"/>
  <c r="Z35" i="2"/>
  <c r="Z36" i="2"/>
  <c r="Z37" i="2"/>
  <c r="AA37" i="2"/>
  <c r="AA36" i="2"/>
  <c r="AA35" i="2"/>
  <c r="AA55" i="2"/>
  <c r="T41" i="2"/>
  <c r="T19" i="2"/>
  <c r="T51" i="1"/>
  <c r="Y55" i="1"/>
  <c r="Z55" i="1"/>
  <c r="X54" i="1"/>
  <c r="W54" i="1"/>
  <c r="V54" i="1"/>
  <c r="U54" i="1"/>
  <c r="T54" i="1"/>
  <c r="Y35" i="1"/>
  <c r="X35" i="1"/>
  <c r="W35" i="1"/>
  <c r="V35" i="1"/>
  <c r="U35" i="1"/>
  <c r="T35" i="1"/>
  <c r="T15" i="1"/>
  <c r="T14" i="1"/>
  <c r="T16" i="1"/>
  <c r="T41" i="1"/>
  <c r="T40" i="1"/>
  <c r="T46" i="1"/>
  <c r="T19" i="1"/>
  <c r="T11" i="1"/>
  <c r="B28" i="4"/>
  <c r="B28" i="5"/>
  <c r="B28" i="3"/>
  <c r="Y72" i="3"/>
  <c r="X72" i="3"/>
  <c r="W72" i="3"/>
  <c r="V72" i="3"/>
  <c r="U72" i="3"/>
  <c r="T72" i="3"/>
  <c r="T51" i="3"/>
  <c r="T52" i="3"/>
  <c r="Y74" i="3"/>
  <c r="Q67" i="3"/>
  <c r="Y44" i="3"/>
  <c r="Y42" i="3"/>
  <c r="X42" i="3"/>
  <c r="W42" i="3"/>
  <c r="V42" i="3"/>
  <c r="U42" i="3"/>
  <c r="T42" i="3"/>
  <c r="Q37" i="3"/>
  <c r="T19" i="3"/>
  <c r="T23" i="3"/>
  <c r="T24" i="3"/>
  <c r="T25" i="3"/>
  <c r="T26" i="3"/>
  <c r="T29" i="3"/>
  <c r="T15" i="3"/>
  <c r="T14" i="3"/>
  <c r="T16" i="3"/>
  <c r="Y76" i="3"/>
  <c r="T42" i="2"/>
  <c r="T43" i="2"/>
  <c r="T44" i="2"/>
  <c r="T50" i="2"/>
  <c r="W56" i="1"/>
  <c r="V56" i="1"/>
  <c r="T56" i="1"/>
  <c r="X56" i="1"/>
  <c r="U56" i="1"/>
  <c r="T57" i="1"/>
  <c r="X57" i="1"/>
  <c r="Y56" i="1"/>
  <c r="Y57" i="1"/>
  <c r="W57" i="1"/>
  <c r="V57" i="1"/>
  <c r="U57" i="1"/>
  <c r="T42" i="1"/>
  <c r="T43" i="1"/>
  <c r="T44" i="1"/>
  <c r="Z54" i="1"/>
  <c r="Z35" i="1"/>
  <c r="T17" i="1"/>
  <c r="T18" i="1"/>
  <c r="T12" i="1"/>
  <c r="T53" i="3"/>
  <c r="T54" i="3"/>
  <c r="T55" i="3"/>
  <c r="T56" i="3"/>
  <c r="T59" i="3"/>
  <c r="Z72" i="3"/>
  <c r="T17" i="3"/>
  <c r="T18" i="3"/>
  <c r="Z42" i="3"/>
  <c r="Y46" i="3"/>
  <c r="W43" i="3"/>
  <c r="R35" i="3"/>
  <c r="W44" i="3"/>
  <c r="R36" i="3"/>
  <c r="X44" i="3"/>
  <c r="R32" i="3"/>
  <c r="T44" i="3"/>
  <c r="R33" i="3"/>
  <c r="U44" i="3"/>
  <c r="R34" i="3"/>
  <c r="V44" i="3"/>
  <c r="V43" i="3"/>
  <c r="V45" i="3"/>
  <c r="V46" i="3"/>
  <c r="W73" i="3"/>
  <c r="R65" i="3"/>
  <c r="W74" i="3"/>
  <c r="W75" i="3"/>
  <c r="W76" i="3"/>
  <c r="X73" i="3"/>
  <c r="R66" i="3"/>
  <c r="X74" i="3"/>
  <c r="X75" i="3"/>
  <c r="X76" i="3"/>
  <c r="T73" i="3"/>
  <c r="R62" i="3"/>
  <c r="T74" i="3"/>
  <c r="T75" i="3"/>
  <c r="T76" i="3"/>
  <c r="T68" i="3"/>
  <c r="T69" i="3"/>
  <c r="Y73" i="3"/>
  <c r="U73" i="3"/>
  <c r="V73" i="3"/>
  <c r="R63" i="3"/>
  <c r="U74" i="3"/>
  <c r="R64" i="3"/>
  <c r="V74" i="3"/>
  <c r="Z74" i="3"/>
  <c r="T38" i="3"/>
  <c r="T39" i="3"/>
  <c r="Y43" i="3"/>
  <c r="T50" i="1"/>
  <c r="Z57" i="1"/>
  <c r="Y36" i="1"/>
  <c r="Y37" i="1"/>
  <c r="V36" i="1"/>
  <c r="V37" i="1"/>
  <c r="W36" i="1"/>
  <c r="W37" i="1"/>
  <c r="U36" i="1"/>
  <c r="U37" i="1"/>
  <c r="X36" i="1"/>
  <c r="X37" i="1"/>
  <c r="T36" i="1"/>
  <c r="T37" i="1"/>
  <c r="X43" i="3"/>
  <c r="X45" i="3"/>
  <c r="X46" i="3"/>
  <c r="U43" i="3"/>
  <c r="U45" i="3"/>
  <c r="U46" i="3"/>
  <c r="T43" i="3"/>
  <c r="T45" i="3"/>
  <c r="W45" i="3"/>
  <c r="W46" i="3"/>
  <c r="Z44" i="3"/>
  <c r="B30" i="5"/>
  <c r="B19" i="5"/>
  <c r="B30" i="4"/>
  <c r="B19" i="4"/>
  <c r="B30" i="3"/>
  <c r="B19" i="3"/>
  <c r="B26" i="2"/>
  <c r="B28" i="2"/>
  <c r="B30" i="2"/>
  <c r="B19" i="2"/>
  <c r="B26" i="1"/>
  <c r="B28" i="1"/>
  <c r="B30" i="1"/>
  <c r="B19" i="1"/>
  <c r="L20" i="4"/>
  <c r="L29" i="4"/>
  <c r="L19" i="4"/>
  <c r="L28" i="4"/>
  <c r="L16" i="4"/>
  <c r="L25" i="4"/>
  <c r="L15" i="4"/>
  <c r="L24" i="4"/>
  <c r="L18" i="4"/>
  <c r="L27" i="4"/>
  <c r="L17" i="4"/>
  <c r="L26" i="4"/>
  <c r="E15" i="2"/>
  <c r="E16" i="2"/>
  <c r="E17" i="2"/>
  <c r="E18" i="2"/>
  <c r="E19" i="2"/>
  <c r="E20" i="2"/>
  <c r="E22" i="2"/>
  <c r="G19" i="2"/>
  <c r="H19" i="2"/>
  <c r="I19" i="2"/>
  <c r="J19" i="2"/>
  <c r="K19" i="2"/>
  <c r="L19" i="2"/>
  <c r="M19" i="2"/>
  <c r="N19" i="2"/>
  <c r="G21" i="2"/>
  <c r="H21" i="2"/>
  <c r="I21" i="2"/>
  <c r="J21" i="2"/>
  <c r="K21" i="2"/>
  <c r="L21" i="2"/>
  <c r="M21" i="2"/>
  <c r="N21" i="2"/>
  <c r="G20" i="2"/>
  <c r="H20" i="2"/>
  <c r="I20" i="2"/>
  <c r="J20" i="2"/>
  <c r="K20" i="2"/>
  <c r="L20" i="2"/>
  <c r="M20" i="2"/>
  <c r="N20" i="2"/>
  <c r="G18" i="2"/>
  <c r="H18" i="2"/>
  <c r="I18" i="2"/>
  <c r="J18" i="2"/>
  <c r="K18" i="2"/>
  <c r="L18" i="2"/>
  <c r="M18" i="2"/>
  <c r="N18" i="2"/>
  <c r="G17" i="2"/>
  <c r="H17" i="2"/>
  <c r="I17" i="2"/>
  <c r="J17" i="2"/>
  <c r="K17" i="2"/>
  <c r="L17" i="2"/>
  <c r="M17" i="2"/>
  <c r="N17" i="2"/>
  <c r="G30" i="2"/>
  <c r="H30" i="2"/>
  <c r="I30" i="2"/>
  <c r="J30" i="2"/>
  <c r="K30" i="2"/>
  <c r="L30" i="2"/>
  <c r="M30" i="2"/>
  <c r="N30" i="2"/>
  <c r="G29" i="2"/>
  <c r="H29" i="2"/>
  <c r="I29" i="2"/>
  <c r="J29" i="2"/>
  <c r="K29" i="2"/>
  <c r="L29" i="2"/>
  <c r="M29" i="2"/>
  <c r="N29" i="2"/>
  <c r="G28" i="2"/>
  <c r="H28" i="2"/>
  <c r="I28" i="2"/>
  <c r="J28" i="2"/>
  <c r="K28" i="2"/>
  <c r="L28" i="2"/>
  <c r="M28" i="2"/>
  <c r="N28" i="2"/>
  <c r="G27" i="2"/>
  <c r="H27" i="2"/>
  <c r="I27" i="2"/>
  <c r="J27" i="2"/>
  <c r="K27" i="2"/>
  <c r="L27" i="2"/>
  <c r="M27" i="2"/>
  <c r="N27" i="2"/>
  <c r="G26" i="2"/>
  <c r="H26" i="2"/>
  <c r="I26" i="2"/>
  <c r="J26" i="2"/>
  <c r="K26" i="2"/>
  <c r="L26" i="2"/>
  <c r="M26" i="2"/>
  <c r="N26" i="2"/>
  <c r="G16" i="2"/>
  <c r="G25" i="2"/>
  <c r="H16" i="2"/>
  <c r="H25" i="2"/>
  <c r="I16" i="2"/>
  <c r="I25" i="2"/>
  <c r="J16" i="2"/>
  <c r="J25" i="2"/>
  <c r="K16" i="2"/>
  <c r="K25" i="2"/>
  <c r="L16" i="2"/>
  <c r="L25" i="2"/>
  <c r="M16" i="2"/>
  <c r="M25" i="2"/>
  <c r="N25" i="2"/>
  <c r="N16" i="2"/>
  <c r="E25" i="2"/>
  <c r="E26" i="2"/>
  <c r="E17" i="5"/>
  <c r="E15" i="5"/>
  <c r="E16" i="5"/>
  <c r="E17" i="4"/>
  <c r="E15" i="4"/>
  <c r="E16" i="4"/>
  <c r="E17" i="3"/>
  <c r="E15" i="3"/>
  <c r="E16" i="3"/>
  <c r="E18" i="5"/>
  <c r="E19" i="5"/>
  <c r="E20" i="5"/>
  <c r="E25" i="5"/>
  <c r="Z73" i="3"/>
  <c r="Z43" i="3"/>
  <c r="U75" i="3"/>
  <c r="U76" i="3"/>
  <c r="V75" i="3"/>
  <c r="V76" i="3"/>
  <c r="Z76" i="3"/>
  <c r="E18" i="4"/>
  <c r="E19" i="4"/>
  <c r="E20" i="4"/>
  <c r="T59" i="2"/>
  <c r="Z56" i="1"/>
  <c r="Z36" i="1"/>
  <c r="Z45" i="3"/>
  <c r="T46" i="3"/>
  <c r="Z46" i="3"/>
  <c r="E18" i="3"/>
  <c r="E19" i="3"/>
  <c r="E20" i="3"/>
  <c r="E22" i="3"/>
  <c r="G14" i="3"/>
  <c r="E26" i="5"/>
  <c r="E22" i="5"/>
  <c r="L15" i="5"/>
  <c r="L24" i="5"/>
  <c r="L33" i="5"/>
  <c r="T78" i="3"/>
  <c r="Z75" i="3"/>
  <c r="H21" i="1"/>
  <c r="H30" i="1"/>
  <c r="Z37" i="1"/>
  <c r="T59" i="1"/>
  <c r="I20" i="5"/>
  <c r="I29" i="5"/>
  <c r="I38" i="5"/>
  <c r="K17" i="5"/>
  <c r="K26" i="5"/>
  <c r="K35" i="5"/>
  <c r="K20" i="5"/>
  <c r="K29" i="5"/>
  <c r="K38" i="5"/>
  <c r="I17" i="5"/>
  <c r="I26" i="5"/>
  <c r="I35" i="5"/>
  <c r="I18" i="5"/>
  <c r="I27" i="5"/>
  <c r="I36" i="5"/>
  <c r="E26" i="1"/>
  <c r="L20" i="1"/>
  <c r="L29" i="1"/>
  <c r="L38" i="1"/>
  <c r="E25" i="3"/>
  <c r="E26" i="3"/>
  <c r="J15" i="3"/>
  <c r="J24" i="3"/>
  <c r="J33" i="3"/>
  <c r="L14" i="3"/>
  <c r="L23" i="3"/>
  <c r="L32" i="3"/>
  <c r="J17" i="3"/>
  <c r="J26" i="3"/>
  <c r="J35" i="3"/>
  <c r="K17" i="3"/>
  <c r="K26" i="3"/>
  <c r="K35" i="3"/>
  <c r="J16" i="3"/>
  <c r="J25" i="3"/>
  <c r="J34" i="3"/>
  <c r="I16" i="3"/>
  <c r="I25" i="3"/>
  <c r="I34" i="3"/>
  <c r="L18" i="3"/>
  <c r="L27" i="3"/>
  <c r="L36" i="3"/>
  <c r="K15" i="3"/>
  <c r="K24" i="3"/>
  <c r="K33" i="3"/>
  <c r="H15" i="3"/>
  <c r="H24" i="3"/>
  <c r="H33" i="3"/>
  <c r="K14" i="3"/>
  <c r="K23" i="3"/>
  <c r="K32" i="3"/>
  <c r="I14" i="3"/>
  <c r="I23" i="3"/>
  <c r="I32" i="3"/>
  <c r="G15" i="3"/>
  <c r="H16" i="3"/>
  <c r="H25" i="3"/>
  <c r="H34" i="3"/>
  <c r="G19" i="3"/>
  <c r="L17" i="3"/>
  <c r="L26" i="3"/>
  <c r="L35" i="3"/>
  <c r="H19" i="3"/>
  <c r="H28" i="3"/>
  <c r="H37" i="3"/>
  <c r="J19" i="3"/>
  <c r="J28" i="3"/>
  <c r="J37" i="3"/>
  <c r="L15" i="3"/>
  <c r="L24" i="3"/>
  <c r="L33" i="3"/>
  <c r="K16" i="3"/>
  <c r="K25" i="3"/>
  <c r="K34" i="3"/>
  <c r="G16" i="3"/>
  <c r="H18" i="3"/>
  <c r="H27" i="3"/>
  <c r="H36" i="3"/>
  <c r="J14" i="3"/>
  <c r="J23" i="3"/>
  <c r="J32" i="3"/>
  <c r="I19" i="3"/>
  <c r="I28" i="3"/>
  <c r="I37" i="3"/>
  <c r="I15" i="3"/>
  <c r="I24" i="3"/>
  <c r="I33" i="3"/>
  <c r="K18" i="3"/>
  <c r="K27" i="3"/>
  <c r="K36" i="3"/>
  <c r="L16" i="3"/>
  <c r="L25" i="3"/>
  <c r="L34" i="3"/>
  <c r="G18" i="3"/>
  <c r="J18" i="3"/>
  <c r="J27" i="3"/>
  <c r="J36" i="3"/>
  <c r="H17" i="3"/>
  <c r="H26" i="3"/>
  <c r="H35" i="3"/>
  <c r="G17" i="3"/>
  <c r="I18" i="3"/>
  <c r="I27" i="3"/>
  <c r="I36" i="3"/>
  <c r="K19" i="3"/>
  <c r="K28" i="3"/>
  <c r="K37" i="3"/>
  <c r="L19" i="3"/>
  <c r="L28" i="3"/>
  <c r="L37" i="3"/>
  <c r="H14" i="3"/>
  <c r="H23" i="3"/>
  <c r="H32" i="3"/>
  <c r="I17" i="3"/>
  <c r="I26" i="3"/>
  <c r="I35" i="3"/>
  <c r="G18" i="5"/>
  <c r="J18" i="5"/>
  <c r="J27" i="5"/>
  <c r="J36" i="5"/>
  <c r="L19" i="5"/>
  <c r="L28" i="5"/>
  <c r="L37" i="5"/>
  <c r="K15" i="5"/>
  <c r="K24" i="5"/>
  <c r="K33" i="5"/>
  <c r="J17" i="5"/>
  <c r="J26" i="5"/>
  <c r="J35" i="5"/>
  <c r="G17" i="5"/>
  <c r="L16" i="5"/>
  <c r="L25" i="5"/>
  <c r="L34" i="5"/>
  <c r="J19" i="5"/>
  <c r="J28" i="5"/>
  <c r="J37" i="5"/>
  <c r="H17" i="5"/>
  <c r="H26" i="5"/>
  <c r="H35" i="5"/>
  <c r="J15" i="5"/>
  <c r="J24" i="5"/>
  <c r="J33" i="5"/>
  <c r="H20" i="5"/>
  <c r="H29" i="5"/>
  <c r="H38" i="5"/>
  <c r="H16" i="5"/>
  <c r="H25" i="5"/>
  <c r="H34" i="5"/>
  <c r="K18" i="5"/>
  <c r="K27" i="5"/>
  <c r="K36" i="5"/>
  <c r="G16" i="5"/>
  <c r="J20" i="5"/>
  <c r="J29" i="5"/>
  <c r="J38" i="5"/>
  <c r="K19" i="5"/>
  <c r="K28" i="5"/>
  <c r="K37" i="5"/>
  <c r="I16" i="5"/>
  <c r="I25" i="5"/>
  <c r="I34" i="5"/>
  <c r="G15" i="5"/>
  <c r="G24" i="5"/>
  <c r="L18" i="5"/>
  <c r="L27" i="5"/>
  <c r="L36" i="5"/>
  <c r="J16" i="5"/>
  <c r="J25" i="5"/>
  <c r="J34" i="5"/>
  <c r="I15" i="5"/>
  <c r="I24" i="5"/>
  <c r="I33" i="5"/>
  <c r="L17" i="5"/>
  <c r="L26" i="5"/>
  <c r="L35" i="5"/>
  <c r="G20" i="5"/>
  <c r="G29" i="5"/>
  <c r="K16" i="5"/>
  <c r="K25" i="5"/>
  <c r="K34" i="5"/>
  <c r="I19" i="5"/>
  <c r="I28" i="5"/>
  <c r="I37" i="5"/>
  <c r="H19" i="5"/>
  <c r="H28" i="5"/>
  <c r="H37" i="5"/>
  <c r="H18" i="5"/>
  <c r="H27" i="5"/>
  <c r="H36" i="5"/>
  <c r="H15" i="5"/>
  <c r="H24" i="5"/>
  <c r="H33" i="5"/>
  <c r="G19" i="5"/>
  <c r="E28" i="1"/>
  <c r="H20" i="1"/>
  <c r="H29" i="1"/>
  <c r="H47" i="1"/>
  <c r="L17" i="1"/>
  <c r="L26" i="1"/>
  <c r="L35" i="1"/>
  <c r="G20" i="1"/>
  <c r="G29" i="1"/>
  <c r="K20" i="1"/>
  <c r="K29" i="1"/>
  <c r="K47" i="1"/>
  <c r="K21" i="1"/>
  <c r="K30" i="1"/>
  <c r="K39" i="1"/>
  <c r="J20" i="1"/>
  <c r="J29" i="1"/>
  <c r="J38" i="1"/>
  <c r="I21" i="1"/>
  <c r="I30" i="1"/>
  <c r="I39" i="1"/>
  <c r="J18" i="1"/>
  <c r="J27" i="1"/>
  <c r="J36" i="1"/>
  <c r="K16" i="1"/>
  <c r="K25" i="1"/>
  <c r="K43" i="1"/>
  <c r="G21" i="1"/>
  <c r="G30" i="1"/>
  <c r="L19" i="1"/>
  <c r="L28" i="1"/>
  <c r="L37" i="1"/>
  <c r="K18" i="1"/>
  <c r="K27" i="1"/>
  <c r="K45" i="1"/>
  <c r="I37" i="1"/>
  <c r="G18" i="1"/>
  <c r="G27" i="1"/>
  <c r="H17" i="1"/>
  <c r="H26" i="1"/>
  <c r="H35" i="1"/>
  <c r="L18" i="1"/>
  <c r="L27" i="1"/>
  <c r="I20" i="1"/>
  <c r="I29" i="1"/>
  <c r="I38" i="1"/>
  <c r="I16" i="1"/>
  <c r="I25" i="1"/>
  <c r="I43" i="1"/>
  <c r="J37" i="1"/>
  <c r="L21" i="1"/>
  <c r="L30" i="1"/>
  <c r="L39" i="1"/>
  <c r="H19" i="1"/>
  <c r="H28" i="1"/>
  <c r="H46" i="1"/>
  <c r="K19" i="1"/>
  <c r="K28" i="1"/>
  <c r="K37" i="1"/>
  <c r="G19" i="1"/>
  <c r="G28" i="1"/>
  <c r="H16" i="1"/>
  <c r="H25" i="1"/>
  <c r="H34" i="1"/>
  <c r="J21" i="1"/>
  <c r="J30" i="1"/>
  <c r="J39" i="1"/>
  <c r="I17" i="1"/>
  <c r="I26" i="1"/>
  <c r="I44" i="1"/>
  <c r="G16" i="1"/>
  <c r="K17" i="1"/>
  <c r="K26" i="1"/>
  <c r="K44" i="1"/>
  <c r="H18" i="1"/>
  <c r="H27" i="1"/>
  <c r="H36" i="1"/>
  <c r="J16" i="1"/>
  <c r="J25" i="1"/>
  <c r="J34" i="1"/>
  <c r="G17" i="1"/>
  <c r="I18" i="1"/>
  <c r="I27" i="1"/>
  <c r="I36" i="1"/>
  <c r="J17" i="1"/>
  <c r="J26" i="1"/>
  <c r="J44" i="1"/>
  <c r="L16" i="1"/>
  <c r="L25" i="1"/>
  <c r="L34" i="1"/>
  <c r="K48" i="1"/>
  <c r="H48" i="1"/>
  <c r="H39" i="1"/>
  <c r="G25" i="5"/>
  <c r="G28" i="5"/>
  <c r="G26" i="5"/>
  <c r="G27" i="5"/>
  <c r="G26" i="3"/>
  <c r="M17" i="3"/>
  <c r="G28" i="3"/>
  <c r="M19" i="3"/>
  <c r="M18" i="3"/>
  <c r="G27" i="3"/>
  <c r="G25" i="3"/>
  <c r="M16" i="3"/>
  <c r="G24" i="3"/>
  <c r="M15" i="3"/>
  <c r="M14" i="3"/>
  <c r="G23" i="3"/>
  <c r="M17" i="5"/>
  <c r="M15" i="5"/>
  <c r="M19" i="5"/>
  <c r="M16" i="5"/>
  <c r="M18" i="5"/>
  <c r="M20" i="5"/>
  <c r="H43" i="1"/>
  <c r="H38" i="1"/>
  <c r="K35" i="1"/>
  <c r="I35" i="1"/>
  <c r="J43" i="1"/>
  <c r="J45" i="1"/>
  <c r="K38" i="1"/>
  <c r="H45" i="1"/>
  <c r="I46" i="1"/>
  <c r="H37" i="1"/>
  <c r="L36" i="1"/>
  <c r="E29" i="1"/>
  <c r="E30" i="1"/>
  <c r="I47" i="1"/>
  <c r="J47" i="1"/>
  <c r="J48" i="1"/>
  <c r="I48" i="1"/>
  <c r="J35" i="1"/>
  <c r="K34" i="1"/>
  <c r="M24" i="3"/>
  <c r="G33" i="3"/>
  <c r="M33" i="3"/>
  <c r="M26" i="3"/>
  <c r="G35" i="3"/>
  <c r="M35" i="3"/>
  <c r="M27" i="3"/>
  <c r="G36" i="3"/>
  <c r="M36" i="3"/>
  <c r="M25" i="3"/>
  <c r="G34" i="3"/>
  <c r="M34" i="3"/>
  <c r="M28" i="3"/>
  <c r="G37" i="3"/>
  <c r="M37" i="3"/>
  <c r="M23" i="3"/>
  <c r="G32" i="3"/>
  <c r="M32" i="3"/>
  <c r="M17" i="1"/>
  <c r="M16" i="1"/>
  <c r="M20" i="1"/>
  <c r="K46" i="1"/>
  <c r="I34" i="1"/>
  <c r="M18" i="1"/>
  <c r="H44" i="1"/>
  <c r="K36" i="1"/>
  <c r="G25" i="1"/>
  <c r="G34" i="1"/>
  <c r="M21" i="1"/>
  <c r="G26" i="1"/>
  <c r="G35" i="1"/>
  <c r="M19" i="1"/>
  <c r="J46" i="1"/>
  <c r="I45" i="1"/>
  <c r="M29" i="1"/>
  <c r="G38" i="1"/>
  <c r="G47" i="1"/>
  <c r="M27" i="1"/>
  <c r="G36" i="1"/>
  <c r="G45" i="1"/>
  <c r="M28" i="1"/>
  <c r="G46" i="1"/>
  <c r="G37" i="1"/>
  <c r="M30" i="1"/>
  <c r="G39" i="1"/>
  <c r="M39" i="1"/>
  <c r="G48" i="1"/>
  <c r="M28" i="5"/>
  <c r="G37" i="5"/>
  <c r="M37" i="5"/>
  <c r="M26" i="5"/>
  <c r="G35" i="5"/>
  <c r="M35" i="5"/>
  <c r="M24" i="5"/>
  <c r="G33" i="5"/>
  <c r="M33" i="5"/>
  <c r="M25" i="5"/>
  <c r="G34" i="5"/>
  <c r="M34" i="5"/>
  <c r="M27" i="5"/>
  <c r="G36" i="5"/>
  <c r="M36" i="5"/>
  <c r="M29" i="5"/>
  <c r="G38" i="5"/>
  <c r="M38" i="5"/>
  <c r="M48" i="1"/>
  <c r="M38" i="1"/>
  <c r="M25" i="1"/>
  <c r="M37" i="1"/>
  <c r="M35" i="1"/>
  <c r="M26" i="1"/>
  <c r="G43" i="1"/>
  <c r="M43" i="1"/>
  <c r="M47" i="1"/>
  <c r="M34" i="1"/>
  <c r="M46" i="1"/>
  <c r="G44" i="1"/>
  <c r="M44" i="1"/>
  <c r="M36" i="1"/>
  <c r="M45" i="1"/>
  <c r="E22" i="4"/>
  <c r="K19" i="4"/>
  <c r="K28" i="4"/>
  <c r="K20" i="4"/>
  <c r="K29" i="4"/>
  <c r="I16" i="4"/>
  <c r="I25" i="4"/>
  <c r="G15" i="4"/>
  <c r="G16" i="4"/>
  <c r="G25" i="4"/>
  <c r="H16" i="4"/>
  <c r="H25" i="4"/>
  <c r="J16" i="4"/>
  <c r="J25" i="4"/>
  <c r="K16" i="4"/>
  <c r="K25" i="4"/>
  <c r="M25" i="4"/>
  <c r="J18" i="4"/>
  <c r="J27" i="4"/>
  <c r="G20" i="4"/>
  <c r="G29" i="4"/>
  <c r="K17" i="4"/>
  <c r="K26" i="4"/>
  <c r="H19" i="4"/>
  <c r="H28" i="4"/>
  <c r="J17" i="4"/>
  <c r="J26" i="4"/>
  <c r="G19" i="4"/>
  <c r="H17" i="4"/>
  <c r="H26" i="4"/>
  <c r="G18" i="4"/>
  <c r="G27" i="4"/>
  <c r="I17" i="4"/>
  <c r="I26" i="4"/>
  <c r="I18" i="4"/>
  <c r="I27" i="4"/>
  <c r="I19" i="4"/>
  <c r="I28" i="4"/>
  <c r="J15" i="4"/>
  <c r="J24" i="4"/>
  <c r="K18" i="4"/>
  <c r="K27" i="4"/>
  <c r="E25" i="4"/>
  <c r="E26" i="4"/>
  <c r="J20" i="4"/>
  <c r="J29" i="4"/>
  <c r="I20" i="4"/>
  <c r="I29" i="4"/>
  <c r="K15" i="4"/>
  <c r="K24" i="4"/>
  <c r="I15" i="4"/>
  <c r="I24" i="4"/>
  <c r="M16" i="4"/>
  <c r="G24" i="4"/>
  <c r="G28" i="4"/>
  <c r="G17" i="4"/>
  <c r="H15" i="4"/>
  <c r="H24" i="4"/>
  <c r="H18" i="4"/>
  <c r="H20" i="4"/>
  <c r="J19" i="4"/>
  <c r="J28" i="4"/>
  <c r="M18" i="4"/>
  <c r="H27" i="4"/>
  <c r="M27" i="4"/>
  <c r="M20" i="4"/>
  <c r="H29" i="4"/>
  <c r="M29" i="4"/>
  <c r="M17" i="4"/>
  <c r="G26" i="4"/>
  <c r="M26" i="4"/>
  <c r="M24" i="4"/>
  <c r="M28" i="4"/>
  <c r="M19" i="4"/>
  <c r="M15" i="4"/>
</calcChain>
</file>

<file path=xl/sharedStrings.xml><?xml version="1.0" encoding="utf-8"?>
<sst xmlns="http://schemas.openxmlformats.org/spreadsheetml/2006/main" count="715" uniqueCount="227">
  <si>
    <t>Alíquotas e Partilha do Simples Nacional – Comércio </t>
  </si>
  <si>
    <t>Receita Bruta em 12 Meses (em R$)</t>
  </si>
  <si>
    <t>Alíquota</t>
  </si>
  <si>
    <t>Valor a Deduzir (em R$)</t>
  </si>
  <si>
    <t>Até 180.000,00</t>
  </si>
  <si>
    <t>De 180.000,01 a 360.000,00</t>
  </si>
  <si>
    <t>De 360.000,01 a 720.000,00</t>
  </si>
  <si>
    <t>De 720.000,01 a 1.800.000,00</t>
  </si>
  <si>
    <t>De 1.800.000,01 a 3.600.000,00</t>
  </si>
  <si>
    <t>De 3.600.000,01 a 4.800.000,00</t>
  </si>
  <si>
    <t>ANEXO I</t>
  </si>
  <si>
    <t>Alíquotas e Partilha do Simples Nacional – Indústria </t>
  </si>
  <si>
    <t>ANEXO II</t>
  </si>
  <si>
    <t>ANEXO III</t>
  </si>
  <si>
    <t>ANEXO IV</t>
  </si>
  <si>
    <t>ANEXO V</t>
  </si>
  <si>
    <t>Simulador de calculo:</t>
  </si>
  <si>
    <t>Faturamento dos 12 últimos meses</t>
  </si>
  <si>
    <t>Resultado (=)</t>
  </si>
  <si>
    <t>Parcela a deduzir</t>
  </si>
  <si>
    <t>Resultado (taxa efetiva)</t>
  </si>
  <si>
    <t>Resultado (taxa convertida em %)</t>
  </si>
  <si>
    <t>Simples a pagar</t>
  </si>
  <si>
    <t>Faturamento do mês</t>
  </si>
  <si>
    <t>Resultado - Parcela a deduzir</t>
  </si>
  <si>
    <t>Anexo III IRPJ</t>
  </si>
  <si>
    <t>Anexo III CSLL</t>
  </si>
  <si>
    <t>Anexo III Cofins</t>
  </si>
  <si>
    <t>Anexo III PIS/Pasep</t>
  </si>
  <si>
    <t>Anexo III CPP</t>
  </si>
  <si>
    <t>Anexo III ISS (*)</t>
  </si>
  <si>
    <t>PARTILHAS</t>
  </si>
  <si>
    <t>IRPJ</t>
  </si>
  <si>
    <t>CSLL</t>
  </si>
  <si>
    <t>COFINS</t>
  </si>
  <si>
    <t>PIS</t>
  </si>
  <si>
    <t>CPP</t>
  </si>
  <si>
    <t>ISS</t>
  </si>
  <si>
    <t>1a.Faixa</t>
  </si>
  <si>
    <t>2a.Faixa</t>
  </si>
  <si>
    <t>3a.Faixa</t>
  </si>
  <si>
    <t>4a.Faixa</t>
  </si>
  <si>
    <t>5a.Faixa</t>
  </si>
  <si>
    <t>6a.Faixa</t>
  </si>
  <si>
    <t>RATEIO DAS ALIQUOTAS EFETIVAS FOR FAIXA</t>
  </si>
  <si>
    <t>%</t>
  </si>
  <si>
    <t>VALOR DO DAS A PAGAR</t>
  </si>
  <si>
    <t>VALOR FATURAMENTO DO MÊS</t>
  </si>
  <si>
    <t>ALIQUOTA EFETIVA FINAL</t>
  </si>
  <si>
    <t>Informar somente</t>
  </si>
  <si>
    <t>o campo em amarelo</t>
  </si>
  <si>
    <t>Os campos abaixo não podem ser mexidos</t>
  </si>
  <si>
    <t>Anexo I IRPJ</t>
  </si>
  <si>
    <t>Anexo I CSLL</t>
  </si>
  <si>
    <t>Anexo I Cofins</t>
  </si>
  <si>
    <t>Anexo I PIS/Pasep</t>
  </si>
  <si>
    <t>Anexo I CPP</t>
  </si>
  <si>
    <t>Anexo I ICMS</t>
  </si>
  <si>
    <t>Anexo II IRPJ</t>
  </si>
  <si>
    <t>Anexo II CSLL</t>
  </si>
  <si>
    <t>Anexo II Cofins</t>
  </si>
  <si>
    <t>Anexo II PIS/Pasep</t>
  </si>
  <si>
    <t>Anexo II CPP</t>
  </si>
  <si>
    <t>Anexo II IPI</t>
  </si>
  <si>
    <t>Anexo II ICMS</t>
  </si>
  <si>
    <t>IPI</t>
  </si>
  <si>
    <t>ICMS</t>
  </si>
  <si>
    <t>TOTAL</t>
  </si>
  <si>
    <t>ALIQ EFET</t>
  </si>
  <si>
    <t>Informar somente os campos amarelos</t>
  </si>
  <si>
    <t>Anexo IV IRPJ</t>
  </si>
  <si>
    <t>Anexo IV CSLL</t>
  </si>
  <si>
    <t>Anexo IV Cofins</t>
  </si>
  <si>
    <t>Anexo IV PIS/Pasep</t>
  </si>
  <si>
    <t>Anexo IV ISS (*)</t>
  </si>
  <si>
    <t>Anexo V IRPJ</t>
  </si>
  <si>
    <t>Anexo V CSLL</t>
  </si>
  <si>
    <t>Anexo V Cofins</t>
  </si>
  <si>
    <t>Anexo V PIS/Pasep</t>
  </si>
  <si>
    <t>Anexo V ISS (*)</t>
  </si>
  <si>
    <t>-</t>
  </si>
  <si>
    <t>Anexo V CPP</t>
  </si>
  <si>
    <t>VALOR FATUR.DO MÊS SEM ST</t>
  </si>
  <si>
    <t>VALOR FATUR.DO MÊS COM ST</t>
  </si>
  <si>
    <t>TOTAL DAS COMERCIO A RECOLHER</t>
  </si>
  <si>
    <t>VALOR DO DAS A PAGAR SERVICOS</t>
  </si>
  <si>
    <t>VALOR DO DAS A PAGAR SEM ST</t>
  </si>
  <si>
    <t>VALOR DO DAS A PAGAR COM ST</t>
  </si>
  <si>
    <t>Primeiro Mês de Atividade</t>
  </si>
  <si>
    <t xml:space="preserve">Fatur.do 1o.Mes x 12 </t>
  </si>
  <si>
    <t>de Atividade</t>
  </si>
  <si>
    <t>Soma o Faturam.dos 2 meses</t>
  </si>
  <si>
    <t>Multiplica o resultado por 12</t>
  </si>
  <si>
    <t>A partir do Terceiro mês</t>
  </si>
  <si>
    <t>OBS: o calculo a partir do 3o. Mês de atividade divide pela qte de meses da atividade</t>
  </si>
  <si>
    <t>Divide o total por 2    (*)</t>
  </si>
  <si>
    <r>
      <t>1</t>
    </r>
    <r>
      <rPr>
        <u/>
        <vertAlign val="superscript"/>
        <sz val="8"/>
        <color indexed="8"/>
        <rFont val="Arial"/>
        <family val="2"/>
      </rPr>
      <t>a</t>
    </r>
    <r>
      <rPr>
        <sz val="8"/>
        <color indexed="8"/>
        <rFont val="Arial"/>
        <family val="2"/>
      </rPr>
      <t> Faixa</t>
    </r>
  </si>
  <si>
    <r>
      <t>2</t>
    </r>
    <r>
      <rPr>
        <u/>
        <vertAlign val="superscript"/>
        <sz val="8"/>
        <color indexed="8"/>
        <rFont val="Arial"/>
        <family val="2"/>
      </rPr>
      <t>a</t>
    </r>
    <r>
      <rPr>
        <sz val="8"/>
        <color indexed="8"/>
        <rFont val="Arial"/>
        <family val="2"/>
      </rPr>
      <t> Faixa</t>
    </r>
  </si>
  <si>
    <r>
      <t>3</t>
    </r>
    <r>
      <rPr>
        <u/>
        <vertAlign val="superscript"/>
        <sz val="8"/>
        <color indexed="8"/>
        <rFont val="Arial"/>
        <family val="2"/>
      </rPr>
      <t>a</t>
    </r>
    <r>
      <rPr>
        <sz val="8"/>
        <color indexed="8"/>
        <rFont val="Arial"/>
        <family val="2"/>
      </rPr>
      <t> Faixa</t>
    </r>
  </si>
  <si>
    <r>
      <t>4</t>
    </r>
    <r>
      <rPr>
        <u/>
        <vertAlign val="superscript"/>
        <sz val="8"/>
        <color indexed="8"/>
        <rFont val="Arial"/>
        <family val="2"/>
      </rPr>
      <t>a</t>
    </r>
    <r>
      <rPr>
        <sz val="8"/>
        <color indexed="8"/>
        <rFont val="Arial"/>
        <family val="2"/>
      </rPr>
      <t> Faixa</t>
    </r>
  </si>
  <si>
    <r>
      <t>5</t>
    </r>
    <r>
      <rPr>
        <u/>
        <vertAlign val="superscript"/>
        <sz val="8"/>
        <color indexed="8"/>
        <rFont val="Arial"/>
        <family val="2"/>
      </rPr>
      <t>a</t>
    </r>
    <r>
      <rPr>
        <sz val="8"/>
        <color indexed="8"/>
        <rFont val="Arial"/>
        <family val="2"/>
      </rPr>
      <t> Faixa</t>
    </r>
  </si>
  <si>
    <r>
      <t>6</t>
    </r>
    <r>
      <rPr>
        <u/>
        <vertAlign val="superscript"/>
        <sz val="8"/>
        <color indexed="8"/>
        <rFont val="Arial"/>
        <family val="2"/>
      </rPr>
      <t>a</t>
    </r>
    <r>
      <rPr>
        <sz val="8"/>
        <color indexed="8"/>
        <rFont val="Arial"/>
        <family val="2"/>
      </rPr>
      <t> Faixa</t>
    </r>
  </si>
  <si>
    <t>Aliq.Ef</t>
  </si>
  <si>
    <t>Total</t>
  </si>
  <si>
    <t>OBS: o calculo a partir do 3o. Mês de ativ. divide pela qte de meses da atividade</t>
  </si>
  <si>
    <t>Resultado (taxa convert. em %)</t>
  </si>
  <si>
    <t xml:space="preserve"> </t>
  </si>
  <si>
    <t>RBAA(Receita Bruta Ano Anterior):</t>
  </si>
  <si>
    <t>RBT12(Receita Bruta Acum.12 ultimos meses antes apur)</t>
  </si>
  <si>
    <t>RBA(Receita Bruta Ano )</t>
  </si>
  <si>
    <t>RPA (Receita do Periodo de Apuração)</t>
  </si>
  <si>
    <t>Parcela que Excedeu o Sublimite (RBA-Sublimite)</t>
  </si>
  <si>
    <t>Parcela que não Excedeu o Sublimite (RPA - Parc que excedeu Sublimite)</t>
  </si>
  <si>
    <t>Aliquota Nominal da 6a.Faixa</t>
  </si>
  <si>
    <t>Parcela à deduzir</t>
  </si>
  <si>
    <t>Aliquota Efetiva = ( 4.500.000,00 x 33% - 648.000,00 = 18,60%)  dividido por: 4.500.000,00</t>
  </si>
  <si>
    <t>Resultado da aliquota efetiva========&gt;&gt;&gt;&gt;</t>
  </si>
  <si>
    <t>Aliquota Nominal da 5a.faixa</t>
  </si>
  <si>
    <t>Achar a parcela que não excedeu o limite</t>
  </si>
  <si>
    <t>Percentual do ISS na 6a. Faixa =</t>
  </si>
  <si>
    <t>RBT12 x 21% - 125.640,00 x 33,50% dividido por: RBT12</t>
  </si>
  <si>
    <t>Resultado do ISS na 6a.faixa</t>
  </si>
  <si>
    <t xml:space="preserve">Aliquota efetiva do ISS maxima </t>
  </si>
  <si>
    <t>tributos</t>
  </si>
  <si>
    <t>Aliquota ISS excedente a ser redistribuido nos demais</t>
  </si>
  <si>
    <t>Redistribuição ISS excedente nos demais impostos</t>
  </si>
  <si>
    <t>Aliq distrib</t>
  </si>
  <si>
    <t>resultado</t>
  </si>
  <si>
    <t>Impostos</t>
  </si>
  <si>
    <t>Valor devido = 600.000,00 x (18,60% + 6.0996%)</t>
  </si>
  <si>
    <t>600.000,00 x 24,6697%</t>
  </si>
  <si>
    <t>Demonstrativo do valor da parcela que não excedeu o sublimite = 600.000,00</t>
  </si>
  <si>
    <t>Percentual da repartição dos tributos - 6a. Faixa</t>
  </si>
  <si>
    <t>Aliquota Efetiva int - 6a.faixa</t>
  </si>
  <si>
    <t>Percentual efetivo in ISS sobra ISS 5a.faixa</t>
  </si>
  <si>
    <t>Aliquota efetiva com redistruição</t>
  </si>
  <si>
    <t>Valor devido do Imposto</t>
  </si>
  <si>
    <t xml:space="preserve">Resultado </t>
  </si>
  <si>
    <r>
      <t>Alíquotas e Partilha do Simples Nacional - Receitas de locação de bens móveis e de prestação de serviços não relacionados no § 5</t>
    </r>
    <r>
      <rPr>
        <u/>
        <vertAlign val="superscript"/>
        <sz val="8"/>
        <color indexed="8"/>
        <rFont val="Arial"/>
        <family val="2"/>
      </rPr>
      <t>o</t>
    </r>
    <r>
      <rPr>
        <sz val="8"/>
        <color indexed="8"/>
        <rFont val="Arial"/>
        <family val="2"/>
      </rPr>
      <t>-C do art. 18 desta Lei Complementar </t>
    </r>
  </si>
  <si>
    <t>CALCULO QUE EXCEDEU O SUBLIMITE R$ 3.600.000,00 - ANEXO III - ISS</t>
  </si>
  <si>
    <t>Parametros de valores</t>
  </si>
  <si>
    <t>Achar a aliquota nominal do valor que não excedeu</t>
  </si>
  <si>
    <t>Achar a aliquota nominal do valor que excedeu</t>
  </si>
  <si>
    <t>Percentual do ISS na 5a.faixa</t>
  </si>
  <si>
    <t>Aliquota Efetiva = ( 3.600.000,00 x 21% - 125.640,00 = 33,50%)  dividido por: 3.600.000,00</t>
  </si>
  <si>
    <t>Sublimite UFs(exceção, AP, RO e RR) ou Receita maxima 5a.faixa</t>
  </si>
  <si>
    <t>Resultado dividido por 3.600.000,00</t>
  </si>
  <si>
    <t>Percentual efetivo maximo ISS</t>
  </si>
  <si>
    <t>Aliquota ISS excedente a ser distrubuida</t>
  </si>
  <si>
    <t>5,86585% - 5%</t>
  </si>
  <si>
    <t>Valor devido = 400.000,00 x (18,60% + 5.86585%)</t>
  </si>
  <si>
    <t>400.000,00 x 24,46585%</t>
  </si>
  <si>
    <t>Demonstrativo do valor da parcela que excedeu o sublimite = 400.000,00</t>
  </si>
  <si>
    <t>Aliquota efetiva com sobra</t>
  </si>
  <si>
    <t>VALOR TOTAL DEVIDO = 148.198.08 + 97.863,39</t>
  </si>
  <si>
    <r>
      <t>Alíquotas e Partilha do Simples Nacional – Receitas decorrentes da prestação de serviços relacionados no § 5</t>
    </r>
    <r>
      <rPr>
        <u/>
        <vertAlign val="superscript"/>
        <sz val="8"/>
        <color indexed="8"/>
        <rFont val="Arial"/>
        <family val="2"/>
      </rPr>
      <t>o</t>
    </r>
    <r>
      <rPr>
        <sz val="8"/>
        <color indexed="8"/>
        <rFont val="Arial"/>
        <family val="2"/>
      </rPr>
      <t>-C do art. 18 desta Lei Complementar </t>
    </r>
  </si>
  <si>
    <r>
      <t>Alíquotas e Partilha do Simples Nacional - Receitas decorrentes da prestação de serviços relacionados no § 5</t>
    </r>
    <r>
      <rPr>
        <u/>
        <vertAlign val="superscript"/>
        <sz val="8"/>
        <color indexed="8"/>
        <rFont val="Arial"/>
        <family val="2"/>
      </rPr>
      <t>o</t>
    </r>
    <r>
      <rPr>
        <sz val="8"/>
        <color indexed="8"/>
        <rFont val="Arial"/>
        <family val="2"/>
      </rPr>
      <t>-I do art. 18 desta Lei Complementar </t>
    </r>
  </si>
  <si>
    <t>PERCENTUAL FATURAM X PRO LABORE FATOR R:</t>
  </si>
  <si>
    <t>Obs: Exemplo 8 manual PGDAS</t>
  </si>
  <si>
    <t>Obs: Exemplo 09 manual PGDAS</t>
  </si>
  <si>
    <t>CALCULO QUE EXCEDEU O SUBLIMITE R$ 1.800.000,00 - ANEXO I - ICMS - BASE QUE NÃO EXCEDEU OS 20%</t>
  </si>
  <si>
    <t>Aliquota Efetiva = ( 3.200.000,00 x 14,30% - 87.300,00 = 11,57188%)  dividido por: 3.200.000,00</t>
  </si>
  <si>
    <t>Percentual da repartição dos tributos - 5a. Faixa</t>
  </si>
  <si>
    <t xml:space="preserve">Aliquota Efetiva int </t>
  </si>
  <si>
    <t>Demonstrativo do valor da parcela que não excedeu o sublimite = 100.000,00</t>
  </si>
  <si>
    <t>Percentual do ICMS na 5a.faixa</t>
  </si>
  <si>
    <t>Aliquota Efetiva = ( 3.200.000,00 x 14,30% - 87.300,00 = 3.87658%)  dividido por: 3.200.000,00</t>
  </si>
  <si>
    <t>Percentual do ICMS na 4a.faixa</t>
  </si>
  <si>
    <t>Aliquota Efetiva = ( 1.800.000,00 x 10,70% - 22.500,00 = 3.16575%)  dividido por: 1.800.000,00</t>
  </si>
  <si>
    <t>200.000,00 x 10,86105% = 21.722,09</t>
  </si>
  <si>
    <t>Demonstrativo do valor da parcela que excedeu o sublimite = 200.000,00</t>
  </si>
  <si>
    <t>Valor devido = 200.000,00 x (11,5718% -3,87658%+3,16575%)</t>
  </si>
  <si>
    <t>Percentual da repartição dos tributos - 4a. Faixa</t>
  </si>
  <si>
    <t>VALOR TOTAL DEVIDO = 11.571,88 + 21.722,10</t>
  </si>
  <si>
    <t>OBS: PARA OS ESTADO EM QUYE O SUBLIMITE FOR 3.600.000,00 SUBSTITUIR OS VALORES PARA O CALCULO</t>
  </si>
  <si>
    <t>CALCULO QUE EXCEDEU O SUBLIMITE R$ 1.800.000,00 - ANEXO II - ICMS/IPI- BASE QUE NÃO EXCEDEU OS 20%</t>
  </si>
  <si>
    <t>Aliquota Efetiva = ( 3.200.000,00 x 14,70% - 85.500,00 = 12,02813%)  dividido por: 3.200.000,00</t>
  </si>
  <si>
    <t>200.000,00 x 10,86105% = 22.726,25</t>
  </si>
  <si>
    <t>Valor devido = 200.000,00 x (12,02813% -3,84900%+3,18400%)</t>
  </si>
  <si>
    <t>Aliquota Efetiva = ( 3.200.000,00 x 14,70% - 85.500,00 = 3.87658%)  dividido por: 3.200.000,00</t>
  </si>
  <si>
    <t>VALORES EM REAIS DA GUIA FINAL A RECOLHER</t>
  </si>
  <si>
    <t>FATOR IGUAL OU SUP A  0,28  = ANEXO III</t>
  </si>
  <si>
    <t>Tot.Rec.</t>
  </si>
  <si>
    <t>VALORES EM REAIS DA GUIA FINAL A RECOLHER SEM ST</t>
  </si>
  <si>
    <t>VALORES EM REAIS DA GUIA FINAL A RECOLHER COM ST</t>
  </si>
  <si>
    <t>X</t>
  </si>
  <si>
    <t>ICMS (ST)</t>
  </si>
  <si>
    <t>Tot.rec.</t>
  </si>
  <si>
    <t>Tot.A. Efet.</t>
  </si>
  <si>
    <t>Tot.A.Efe.</t>
  </si>
  <si>
    <t>VALORES EM REAIS DA GUIA A RECOLHER</t>
  </si>
  <si>
    <t>Tot.Al.Ef</t>
  </si>
  <si>
    <t>faror R</t>
  </si>
  <si>
    <t>VALOR DA FOLHA OU PRO VALORE + CPP mês</t>
  </si>
  <si>
    <t>com ou sem iss retido</t>
  </si>
  <si>
    <t>ALIQUOTA EFETIVA FINAL(ver iss retido)</t>
  </si>
  <si>
    <t xml:space="preserve"> E24 (VR DO FATURAM DO MÊS X 6%</t>
  </si>
  <si>
    <t>*( VER F FAT) VR DAS X CPP 43,40% ANEXO III</t>
  </si>
  <si>
    <t>VR DA FOLHA + CPP P/ CALC FATOR E</t>
  </si>
  <si>
    <t>MESES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</si>
  <si>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</si>
  <si>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</si>
  <si>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</si>
  <si>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</si>
  <si>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</si>
  <si>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</si>
  <si>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</si>
  <si>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</si>
  <si>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</si>
  <si>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</si>
  <si>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</si>
  <si>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</si>
  <si>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VR.FOLHA</t>
  </si>
  <si>
    <t>ANO</t>
  </si>
  <si>
    <t>TOT.</t>
  </si>
  <si>
    <t>RBT  12 DA FOLHA DE PGTO + CPP</t>
  </si>
  <si>
    <t>VALOR FATURAMENTO DO MÊS ATUAL =&gt;&gt;</t>
  </si>
  <si>
    <t>obs: o percentual 43,40% para se calcular</t>
  </si>
  <si>
    <t xml:space="preserve">a CPP será de acordo com a faixa </t>
  </si>
  <si>
    <t xml:space="preserve">de faturamento acumulado </t>
  </si>
  <si>
    <t>da tabela do anexo III, ver tabela</t>
  </si>
  <si>
    <t>FATOR R: Tabela lado direito da planilha</t>
  </si>
  <si>
    <t>FOLHA ACUMUL ULTIMOS 12 MESES acum</t>
  </si>
  <si>
    <t>MÊS BASE PARA CALCULO DA SIMUL:</t>
  </si>
  <si>
    <t>04 2020</t>
  </si>
  <si>
    <t xml:space="preserve">autor </t>
  </si>
  <si>
    <t xml:space="preserve">Alan rodrigues ribeiro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</si>
</sst>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0.0000"/>
    <numFmt numFmtId="165" formatCode="_-* #,##0.000_-;\-* #,##0.000_-;_-* &quot;-&quot;??_-;_-@_-"/>
    <numFmt numFmtId="166" formatCode="_-* #,##0.000_-;\-* #,##0.000_-;_-* &quot;-&quot;???_-;_-@_-"/>
    <numFmt numFmtId="167" formatCode="0.00000%"/>
    <numFmt numFmtId="168" formatCode="0.0000%"/>
    <numFmt numFmtId="169" formatCode="_-* #,##0.00_-;\-* #,##0.00_-;_-* &quot;-&quot;????_-;_-@_-"/>
    <numFmt numFmtId="170" formatCode="_-* #,##0.000_-;\-* #,##0.000_-;_-* &quot;-&quot;?????_-;_-@_-"/>
    <numFmt numFmtId="171" formatCode="_-* #,##0.00_-;\-* #,##0.00_-;_-* &quot;-&quot;?????_-;_-@_-"/>
    <numFmt numFmtId="172" formatCode="&quot;R$&quot;\ #,##0.00"/>
    <numFmt numFmtId="173" formatCode="_-* #,##0.00_-;\-* #,##0.00_-;_-* &quot;-&quot;???_-;_-@_-"/>
  </numFmts>
  <fonts count="21" x14ac:knownFonts="1">
    <font>
      <sz val="11"/>
      <color theme="1"/>
      <name val="Calibri"/>
      <family val="2"/>
      <scheme val="minor"/>
    </font>
    <font>
      <u/>
      <vertAlign val="superscript"/>
      <sz val="8"/>
      <color indexed="8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u/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000000"/>
      <name val="Arial"/>
      <family val="2"/>
    </font>
    <font>
      <sz val="7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47"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2" xfId="0" applyBorder="1"/>
    <xf numFmtId="0" fontId="5" fillId="0" borderId="0" xfId="0" applyFont="1"/>
    <xf numFmtId="0" fontId="5" fillId="0" borderId="8" xfId="0" applyFont="1" applyBorder="1" applyAlignment="1">
      <alignment horizontal="left"/>
    </xf>
    <xf numFmtId="0" fontId="0" fillId="0" borderId="11" xfId="0" applyBorder="1"/>
    <xf numFmtId="0" fontId="4" fillId="0" borderId="11" xfId="0" applyFont="1" applyBorder="1" applyAlignment="1">
      <alignment horizontal="center" vertical="center" wrapText="1"/>
    </xf>
    <xf numFmtId="0" fontId="5" fillId="0" borderId="8" xfId="0" applyFont="1" applyBorder="1"/>
    <xf numFmtId="0" fontId="6" fillId="0" borderId="11" xfId="0" applyFont="1" applyBorder="1"/>
    <xf numFmtId="0" fontId="6" fillId="0" borderId="0" xfId="0" applyFont="1" applyBorder="1"/>
    <xf numFmtId="0" fontId="6" fillId="0" borderId="12" xfId="0" applyFont="1" applyBorder="1"/>
    <xf numFmtId="0" fontId="8" fillId="0" borderId="5" xfId="0" applyFont="1" applyBorder="1" applyAlignment="1" applyProtection="1">
      <alignment horizontal="center" vertical="center" wrapText="1"/>
    </xf>
    <xf numFmtId="0" fontId="9" fillId="0" borderId="5" xfId="0" applyFont="1" applyBorder="1" applyAlignment="1" applyProtection="1">
      <alignment horizontal="center" vertical="center" wrapText="1"/>
    </xf>
    <xf numFmtId="0" fontId="8" fillId="0" borderId="6" xfId="0" applyFont="1" applyBorder="1" applyAlignment="1" applyProtection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center" vertical="center" wrapText="1"/>
    </xf>
    <xf numFmtId="10" fontId="8" fillId="0" borderId="4" xfId="0" applyNumberFormat="1" applyFont="1" applyBorder="1" applyAlignment="1" applyProtection="1">
      <alignment horizontal="center" vertical="center" wrapText="1"/>
    </xf>
    <xf numFmtId="10" fontId="8" fillId="0" borderId="7" xfId="0" applyNumberFormat="1" applyFont="1" applyBorder="1" applyAlignment="1" applyProtection="1">
      <alignment horizontal="center" vertical="center" wrapText="1"/>
    </xf>
    <xf numFmtId="10" fontId="8" fillId="0" borderId="17" xfId="0" applyNumberFormat="1" applyFont="1" applyBorder="1" applyAlignment="1" applyProtection="1">
      <alignment horizontal="center" vertical="center" wrapText="1"/>
    </xf>
    <xf numFmtId="43" fontId="8" fillId="0" borderId="18" xfId="2" applyFont="1" applyBorder="1" applyAlignment="1" applyProtection="1">
      <alignment horizontal="center" vertical="center" wrapText="1"/>
    </xf>
    <xf numFmtId="0" fontId="6" fillId="0" borderId="26" xfId="0" applyFont="1" applyBorder="1" applyAlignment="1">
      <alignment horizontal="center"/>
    </xf>
    <xf numFmtId="43" fontId="6" fillId="0" borderId="33" xfId="2" applyFont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0" borderId="27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43" fontId="6" fillId="0" borderId="4" xfId="2" applyFont="1" applyBorder="1"/>
    <xf numFmtId="43" fontId="6" fillId="0" borderId="27" xfId="2" applyFont="1" applyBorder="1"/>
    <xf numFmtId="0" fontId="6" fillId="0" borderId="27" xfId="0" applyFont="1" applyBorder="1"/>
    <xf numFmtId="43" fontId="6" fillId="3" borderId="24" xfId="0" applyNumberFormat="1" applyFont="1" applyFill="1" applyBorder="1"/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6" fillId="2" borderId="0" xfId="0" applyFont="1" applyFill="1" applyBorder="1"/>
    <xf numFmtId="0" fontId="6" fillId="2" borderId="8" xfId="0" applyFont="1" applyFill="1" applyBorder="1"/>
    <xf numFmtId="0" fontId="6" fillId="0" borderId="9" xfId="0" applyFont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43" fontId="6" fillId="3" borderId="28" xfId="2" applyFont="1" applyFill="1" applyBorder="1"/>
    <xf numFmtId="0" fontId="6" fillId="2" borderId="22" xfId="0" applyFont="1" applyFill="1" applyBorder="1"/>
    <xf numFmtId="0" fontId="6" fillId="0" borderId="7" xfId="0" applyFont="1" applyBorder="1"/>
    <xf numFmtId="0" fontId="6" fillId="0" borderId="0" xfId="0" applyFont="1" applyFill="1" applyBorder="1" applyAlignment="1">
      <alignment horizontal="center"/>
    </xf>
    <xf numFmtId="165" fontId="6" fillId="0" borderId="4" xfId="0" applyNumberFormat="1" applyFont="1" applyBorder="1"/>
    <xf numFmtId="165" fontId="6" fillId="0" borderId="7" xfId="0" applyNumberFormat="1" applyFont="1" applyBorder="1"/>
    <xf numFmtId="43" fontId="6" fillId="0" borderId="27" xfId="0" applyNumberFormat="1" applyFont="1" applyBorder="1"/>
    <xf numFmtId="0" fontId="6" fillId="0" borderId="14" xfId="0" applyFont="1" applyFill="1" applyBorder="1" applyAlignment="1">
      <alignment horizontal="center"/>
    </xf>
    <xf numFmtId="0" fontId="6" fillId="0" borderId="14" xfId="0" applyFont="1" applyBorder="1"/>
    <xf numFmtId="43" fontId="6" fillId="0" borderId="14" xfId="0" applyNumberFormat="1" applyFont="1" applyBorder="1"/>
    <xf numFmtId="166" fontId="6" fillId="0" borderId="0" xfId="0" applyNumberFormat="1" applyFont="1" applyBorder="1"/>
    <xf numFmtId="0" fontId="11" fillId="0" borderId="14" xfId="0" applyFont="1" applyBorder="1"/>
    <xf numFmtId="43" fontId="11" fillId="0" borderId="14" xfId="0" applyNumberFormat="1" applyFont="1" applyBorder="1"/>
    <xf numFmtId="0" fontId="6" fillId="2" borderId="23" xfId="0" applyFont="1" applyFill="1" applyBorder="1"/>
    <xf numFmtId="165" fontId="6" fillId="0" borderId="17" xfId="0" applyNumberFormat="1" applyFont="1" applyBorder="1"/>
    <xf numFmtId="165" fontId="6" fillId="0" borderId="18" xfId="0" applyNumberFormat="1" applyFont="1" applyBorder="1"/>
    <xf numFmtId="0" fontId="6" fillId="0" borderId="0" xfId="0" applyFont="1"/>
    <xf numFmtId="43" fontId="6" fillId="0" borderId="16" xfId="2" applyFont="1" applyBorder="1"/>
    <xf numFmtId="43" fontId="6" fillId="2" borderId="16" xfId="2" applyFont="1" applyFill="1" applyBorder="1" applyAlignment="1">
      <alignment horizontal="right"/>
    </xf>
    <xf numFmtId="0" fontId="6" fillId="0" borderId="16" xfId="0" applyFont="1" applyBorder="1"/>
    <xf numFmtId="43" fontId="10" fillId="2" borderId="16" xfId="2" applyFont="1" applyFill="1" applyBorder="1"/>
    <xf numFmtId="10" fontId="6" fillId="2" borderId="25" xfId="2" applyNumberFormat="1" applyFont="1" applyFill="1" applyBorder="1"/>
    <xf numFmtId="43" fontId="12" fillId="3" borderId="3" xfId="2" applyFont="1" applyFill="1" applyBorder="1" applyAlignment="1">
      <alignment horizontal="right" vertical="center" wrapText="1"/>
    </xf>
    <xf numFmtId="0" fontId="6" fillId="0" borderId="34" xfId="0" applyFont="1" applyBorder="1"/>
    <xf numFmtId="0" fontId="6" fillId="0" borderId="15" xfId="0" applyFont="1" applyBorder="1"/>
    <xf numFmtId="0" fontId="12" fillId="0" borderId="11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6" fillId="0" borderId="21" xfId="0" applyFont="1" applyBorder="1"/>
    <xf numFmtId="0" fontId="6" fillId="0" borderId="5" xfId="0" applyFont="1" applyBorder="1"/>
    <xf numFmtId="0" fontId="6" fillId="0" borderId="6" xfId="0" applyFont="1" applyBorder="1"/>
    <xf numFmtId="43" fontId="6" fillId="0" borderId="7" xfId="0" applyNumberFormat="1" applyFont="1" applyBorder="1"/>
    <xf numFmtId="43" fontId="6" fillId="0" borderId="18" xfId="0" applyNumberFormat="1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6" xfId="0" applyFont="1" applyBorder="1" applyAlignment="1" applyProtection="1">
      <alignment vertical="center" wrapText="1"/>
    </xf>
    <xf numFmtId="10" fontId="8" fillId="0" borderId="7" xfId="0" applyNumberFormat="1" applyFont="1" applyBorder="1" applyAlignment="1" applyProtection="1">
      <alignment horizontal="justify" vertical="center" wrapText="1"/>
    </xf>
    <xf numFmtId="43" fontId="8" fillId="0" borderId="7" xfId="2" applyFont="1" applyBorder="1" applyAlignment="1" applyProtection="1">
      <alignment horizontal="center" vertical="center" wrapText="1"/>
    </xf>
    <xf numFmtId="0" fontId="6" fillId="0" borderId="8" xfId="0" applyFont="1" applyBorder="1"/>
    <xf numFmtId="0" fontId="12" fillId="0" borderId="22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43" fontId="12" fillId="3" borderId="24" xfId="2" applyFont="1" applyFill="1" applyBorder="1" applyAlignment="1">
      <alignment horizontal="right" vertical="center" wrapText="1"/>
    </xf>
    <xf numFmtId="0" fontId="6" fillId="2" borderId="11" xfId="0" applyFont="1" applyFill="1" applyBorder="1"/>
    <xf numFmtId="165" fontId="6" fillId="0" borderId="0" xfId="0" applyNumberFormat="1" applyFont="1" applyBorder="1"/>
    <xf numFmtId="43" fontId="6" fillId="0" borderId="12" xfId="0" applyNumberFormat="1" applyFont="1" applyBorder="1"/>
    <xf numFmtId="43" fontId="6" fillId="0" borderId="4" xfId="2" applyFont="1" applyBorder="1" applyAlignment="1">
      <alignment horizontal="center"/>
    </xf>
    <xf numFmtId="43" fontId="6" fillId="3" borderId="3" xfId="0" applyNumberFormat="1" applyFont="1" applyFill="1" applyBorder="1"/>
    <xf numFmtId="0" fontId="6" fillId="2" borderId="13" xfId="0" applyFont="1" applyFill="1" applyBorder="1"/>
    <xf numFmtId="165" fontId="6" fillId="0" borderId="14" xfId="0" applyNumberFormat="1" applyFont="1" applyBorder="1"/>
    <xf numFmtId="43" fontId="6" fillId="0" borderId="2" xfId="0" applyNumberFormat="1" applyFont="1" applyBorder="1"/>
    <xf numFmtId="2" fontId="6" fillId="0" borderId="4" xfId="0" applyNumberFormat="1" applyFont="1" applyBorder="1"/>
    <xf numFmtId="0" fontId="10" fillId="0" borderId="4" xfId="0" applyFont="1" applyBorder="1" applyAlignment="1">
      <alignment horizontal="center"/>
    </xf>
    <xf numFmtId="0" fontId="6" fillId="2" borderId="4" xfId="0" applyFont="1" applyFill="1" applyBorder="1"/>
    <xf numFmtId="0" fontId="6" fillId="0" borderId="8" xfId="0" applyFont="1" applyFill="1" applyBorder="1" applyAlignment="1">
      <alignment horizontal="center"/>
    </xf>
    <xf numFmtId="43" fontId="6" fillId="3" borderId="24" xfId="2" applyFont="1" applyFill="1" applyBorder="1"/>
    <xf numFmtId="0" fontId="6" fillId="2" borderId="15" xfId="0" applyFont="1" applyFill="1" applyBorder="1"/>
    <xf numFmtId="0" fontId="6" fillId="0" borderId="11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43" fontId="10" fillId="0" borderId="2" xfId="0" applyNumberFormat="1" applyFont="1" applyBorder="1"/>
    <xf numFmtId="0" fontId="6" fillId="2" borderId="17" xfId="0" applyFont="1" applyFill="1" applyBorder="1"/>
    <xf numFmtId="10" fontId="8" fillId="0" borderId="19" xfId="0" applyNumberFormat="1" applyFont="1" applyBorder="1" applyAlignment="1" applyProtection="1">
      <alignment horizontal="center" vertical="center" wrapText="1"/>
    </xf>
    <xf numFmtId="10" fontId="8" fillId="0" borderId="20" xfId="0" applyNumberFormat="1" applyFont="1" applyBorder="1" applyAlignment="1" applyProtection="1">
      <alignment horizontal="center" vertical="center" wrapText="1"/>
    </xf>
    <xf numFmtId="0" fontId="6" fillId="2" borderId="21" xfId="0" applyFont="1" applyFill="1" applyBorder="1"/>
    <xf numFmtId="0" fontId="13" fillId="0" borderId="11" xfId="0" applyFont="1" applyBorder="1"/>
    <xf numFmtId="0" fontId="14" fillId="0" borderId="0" xfId="0" applyFont="1"/>
    <xf numFmtId="0" fontId="14" fillId="0" borderId="28" xfId="0" applyFont="1" applyBorder="1"/>
    <xf numFmtId="0" fontId="14" fillId="0" borderId="35" xfId="0" applyFont="1" applyBorder="1"/>
    <xf numFmtId="0" fontId="14" fillId="0" borderId="1" xfId="0" applyFont="1" applyBorder="1"/>
    <xf numFmtId="43" fontId="14" fillId="0" borderId="24" xfId="2" applyFont="1" applyBorder="1"/>
    <xf numFmtId="43" fontId="14" fillId="0" borderId="24" xfId="0" applyNumberFormat="1" applyFont="1" applyBorder="1"/>
    <xf numFmtId="4" fontId="14" fillId="0" borderId="24" xfId="0" applyNumberFormat="1" applyFont="1" applyBorder="1"/>
    <xf numFmtId="0" fontId="14" fillId="0" borderId="24" xfId="0" applyFont="1" applyBorder="1"/>
    <xf numFmtId="10" fontId="14" fillId="0" borderId="24" xfId="0" applyNumberFormat="1" applyFont="1" applyBorder="1"/>
    <xf numFmtId="10" fontId="15" fillId="0" borderId="24" xfId="1" applyNumberFormat="1" applyFont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4" fillId="0" borderId="14" xfId="0" applyFont="1" applyBorder="1"/>
    <xf numFmtId="0" fontId="14" fillId="0" borderId="2" xfId="0" applyFont="1" applyBorder="1"/>
    <xf numFmtId="0" fontId="14" fillId="0" borderId="26" xfId="0" applyFont="1" applyBorder="1"/>
    <xf numFmtId="43" fontId="14" fillId="0" borderId="3" xfId="0" applyNumberFormat="1" applyFont="1" applyBorder="1"/>
    <xf numFmtId="0" fontId="14" fillId="0" borderId="13" xfId="0" applyFont="1" applyBorder="1" applyAlignment="1">
      <alignment horizontal="right"/>
    </xf>
    <xf numFmtId="167" fontId="14" fillId="0" borderId="24" xfId="1" applyNumberFormat="1" applyFont="1" applyBorder="1"/>
    <xf numFmtId="9" fontId="14" fillId="0" borderId="24" xfId="1" applyNumberFormat="1" applyFont="1" applyBorder="1"/>
    <xf numFmtId="167" fontId="14" fillId="0" borderId="3" xfId="0" applyNumberFormat="1" applyFont="1" applyBorder="1"/>
    <xf numFmtId="0" fontId="7" fillId="0" borderId="11" xfId="0" applyFont="1" applyBorder="1" applyAlignment="1">
      <alignment horizontal="center" vertical="center" wrapText="1"/>
    </xf>
    <xf numFmtId="10" fontId="14" fillId="0" borderId="4" xfId="1" applyNumberFormat="1" applyFont="1" applyBorder="1"/>
    <xf numFmtId="168" fontId="14" fillId="0" borderId="4" xfId="0" applyNumberFormat="1" applyFont="1" applyBorder="1"/>
    <xf numFmtId="10" fontId="14" fillId="0" borderId="4" xfId="0" applyNumberFormat="1" applyFont="1" applyBorder="1"/>
    <xf numFmtId="0" fontId="14" fillId="0" borderId="21" xfId="0" applyFont="1" applyBorder="1"/>
    <xf numFmtId="0" fontId="14" fillId="0" borderId="5" xfId="0" applyFont="1" applyBorder="1"/>
    <xf numFmtId="0" fontId="14" fillId="0" borderId="6" xfId="0" applyFont="1" applyBorder="1"/>
    <xf numFmtId="0" fontId="14" fillId="0" borderId="22" xfId="0" applyFont="1" applyBorder="1"/>
    <xf numFmtId="168" fontId="14" fillId="0" borderId="7" xfId="0" applyNumberFormat="1" applyFont="1" applyBorder="1"/>
    <xf numFmtId="0" fontId="14" fillId="0" borderId="23" xfId="0" applyFont="1" applyBorder="1"/>
    <xf numFmtId="10" fontId="14" fillId="0" borderId="17" xfId="0" applyNumberFormat="1" applyFont="1" applyBorder="1"/>
    <xf numFmtId="0" fontId="14" fillId="0" borderId="18" xfId="0" applyFont="1" applyBorder="1"/>
    <xf numFmtId="169" fontId="14" fillId="0" borderId="24" xfId="0" applyNumberFormat="1" applyFont="1" applyBorder="1"/>
    <xf numFmtId="167" fontId="14" fillId="0" borderId="4" xfId="0" applyNumberFormat="1" applyFont="1" applyBorder="1"/>
    <xf numFmtId="43" fontId="14" fillId="0" borderId="4" xfId="0" applyNumberFormat="1" applyFont="1" applyBorder="1"/>
    <xf numFmtId="10" fontId="14" fillId="0" borderId="21" xfId="0" applyNumberFormat="1" applyFont="1" applyBorder="1"/>
    <xf numFmtId="10" fontId="14" fillId="0" borderId="5" xfId="0" applyNumberFormat="1" applyFont="1" applyBorder="1"/>
    <xf numFmtId="10" fontId="14" fillId="0" borderId="6" xfId="0" applyNumberFormat="1" applyFont="1" applyBorder="1"/>
    <xf numFmtId="167" fontId="14" fillId="0" borderId="22" xfId="0" applyNumberFormat="1" applyFont="1" applyBorder="1"/>
    <xf numFmtId="10" fontId="14" fillId="0" borderId="7" xfId="0" applyNumberFormat="1" applyFont="1" applyBorder="1"/>
    <xf numFmtId="168" fontId="14" fillId="0" borderId="22" xfId="0" applyNumberFormat="1" applyFont="1" applyBorder="1"/>
    <xf numFmtId="167" fontId="14" fillId="0" borderId="7" xfId="0" applyNumberFormat="1" applyFont="1" applyBorder="1"/>
    <xf numFmtId="170" fontId="14" fillId="0" borderId="23" xfId="0" applyNumberFormat="1" applyFont="1" applyBorder="1"/>
    <xf numFmtId="171" fontId="14" fillId="0" borderId="17" xfId="0" applyNumberFormat="1" applyFont="1" applyBorder="1"/>
    <xf numFmtId="43" fontId="14" fillId="0" borderId="18" xfId="2" applyFont="1" applyBorder="1"/>
    <xf numFmtId="0" fontId="16" fillId="0" borderId="28" xfId="0" applyFont="1" applyBorder="1"/>
    <xf numFmtId="0" fontId="16" fillId="0" borderId="35" xfId="0" applyFont="1" applyBorder="1"/>
    <xf numFmtId="0" fontId="16" fillId="0" borderId="1" xfId="0" applyFont="1" applyBorder="1"/>
    <xf numFmtId="0" fontId="14" fillId="0" borderId="0" xfId="0" applyFont="1" applyBorder="1"/>
    <xf numFmtId="0" fontId="14" fillId="0" borderId="11" xfId="0" applyFont="1" applyBorder="1"/>
    <xf numFmtId="0" fontId="17" fillId="0" borderId="0" xfId="0" applyFont="1" applyBorder="1"/>
    <xf numFmtId="0" fontId="18" fillId="0" borderId="0" xfId="0" applyFont="1" applyBorder="1"/>
    <xf numFmtId="0" fontId="7" fillId="0" borderId="1" xfId="0" applyFont="1" applyBorder="1" applyAlignment="1">
      <alignment horizontal="center" vertical="center" wrapText="1"/>
    </xf>
    <xf numFmtId="0" fontId="18" fillId="0" borderId="35" xfId="0" applyFont="1" applyBorder="1"/>
    <xf numFmtId="43" fontId="15" fillId="0" borderId="24" xfId="2" applyFont="1" applyBorder="1"/>
    <xf numFmtId="167" fontId="15" fillId="0" borderId="24" xfId="1" applyNumberFormat="1" applyFont="1" applyBorder="1"/>
    <xf numFmtId="10" fontId="19" fillId="0" borderId="3" xfId="0" applyNumberFormat="1" applyFont="1" applyBorder="1"/>
    <xf numFmtId="43" fontId="14" fillId="0" borderId="5" xfId="0" applyNumberFormat="1" applyFont="1" applyBorder="1"/>
    <xf numFmtId="0" fontId="16" fillId="0" borderId="0" xfId="0" applyFont="1" applyFill="1" applyBorder="1"/>
    <xf numFmtId="0" fontId="16" fillId="0" borderId="0" xfId="0" applyFont="1"/>
    <xf numFmtId="43" fontId="16" fillId="0" borderId="0" xfId="0" applyNumberFormat="1" applyFont="1"/>
    <xf numFmtId="43" fontId="6" fillId="2" borderId="0" xfId="0" applyNumberFormat="1" applyFont="1" applyFill="1" applyBorder="1"/>
    <xf numFmtId="0" fontId="7" fillId="0" borderId="0" xfId="0" applyFont="1" applyAlignment="1">
      <alignment horizontal="center" vertical="center" wrapText="1"/>
    </xf>
    <xf numFmtId="10" fontId="6" fillId="2" borderId="19" xfId="2" applyNumberFormat="1" applyFont="1" applyFill="1" applyBorder="1"/>
    <xf numFmtId="165" fontId="6" fillId="0" borderId="11" xfId="0" applyNumberFormat="1" applyFont="1" applyBorder="1"/>
    <xf numFmtId="43" fontId="6" fillId="2" borderId="4" xfId="2" applyFont="1" applyFill="1" applyBorder="1" applyAlignment="1">
      <alignment horizontal="right"/>
    </xf>
    <xf numFmtId="164" fontId="6" fillId="0" borderId="4" xfId="0" applyNumberFormat="1" applyFont="1" applyBorder="1"/>
    <xf numFmtId="165" fontId="6" fillId="0" borderId="13" xfId="0" applyNumberFormat="1" applyFont="1" applyBorder="1"/>
    <xf numFmtId="43" fontId="10" fillId="2" borderId="4" xfId="2" applyFont="1" applyFill="1" applyBorder="1"/>
    <xf numFmtId="0" fontId="6" fillId="2" borderId="0" xfId="0" applyFont="1" applyFill="1"/>
    <xf numFmtId="10" fontId="7" fillId="0" borderId="4" xfId="0" applyNumberFormat="1" applyFont="1" applyBorder="1" applyAlignment="1">
      <alignment horizontal="center" vertical="center" wrapText="1"/>
    </xf>
    <xf numFmtId="10" fontId="7" fillId="0" borderId="7" xfId="0" applyNumberFormat="1" applyFont="1" applyBorder="1" applyAlignment="1">
      <alignment horizontal="center" vertical="center" wrapText="1"/>
    </xf>
    <xf numFmtId="10" fontId="7" fillId="0" borderId="17" xfId="0" applyNumberFormat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6" fillId="0" borderId="14" xfId="0" applyNumberFormat="1" applyFont="1" applyBorder="1"/>
    <xf numFmtId="2" fontId="6" fillId="0" borderId="12" xfId="0" applyNumberFormat="1" applyFont="1" applyBorder="1"/>
    <xf numFmtId="2" fontId="6" fillId="0" borderId="0" xfId="0" applyNumberFormat="1" applyFont="1" applyBorder="1"/>
    <xf numFmtId="43" fontId="6" fillId="0" borderId="0" xfId="2" applyFont="1" applyBorder="1"/>
    <xf numFmtId="171" fontId="14" fillId="0" borderId="23" xfId="0" applyNumberFormat="1" applyFont="1" applyBorder="1"/>
    <xf numFmtId="167" fontId="15" fillId="0" borderId="24" xfId="2" applyNumberFormat="1" applyFont="1" applyBorder="1"/>
    <xf numFmtId="172" fontId="14" fillId="0" borderId="24" xfId="1" applyNumberFormat="1" applyFont="1" applyBorder="1"/>
    <xf numFmtId="167" fontId="14" fillId="0" borderId="22" xfId="1" applyNumberFormat="1" applyFont="1" applyBorder="1"/>
    <xf numFmtId="172" fontId="14" fillId="0" borderId="7" xfId="0" applyNumberFormat="1" applyFont="1" applyBorder="1"/>
    <xf numFmtId="43" fontId="14" fillId="0" borderId="0" xfId="0" applyNumberFormat="1" applyFont="1" applyBorder="1"/>
    <xf numFmtId="167" fontId="14" fillId="0" borderId="0" xfId="1" applyNumberFormat="1" applyFont="1" applyBorder="1"/>
    <xf numFmtId="9" fontId="14" fillId="0" borderId="0" xfId="1" applyNumberFormat="1" applyFont="1" applyBorder="1"/>
    <xf numFmtId="0" fontId="14" fillId="0" borderId="0" xfId="0" applyFont="1" applyBorder="1" applyAlignment="1">
      <alignment horizontal="right"/>
    </xf>
    <xf numFmtId="167" fontId="14" fillId="0" borderId="0" xfId="0" applyNumberFormat="1" applyFont="1" applyBorder="1"/>
    <xf numFmtId="169" fontId="14" fillId="0" borderId="0" xfId="0" applyNumberFormat="1" applyFont="1" applyBorder="1"/>
    <xf numFmtId="167" fontId="0" fillId="0" borderId="0" xfId="0" applyNumberFormat="1"/>
    <xf numFmtId="167" fontId="14" fillId="0" borderId="33" xfId="0" applyNumberFormat="1" applyFont="1" applyBorder="1"/>
    <xf numFmtId="0" fontId="11" fillId="0" borderId="0" xfId="0" applyFont="1" applyBorder="1"/>
    <xf numFmtId="0" fontId="7" fillId="0" borderId="1" xfId="0" applyFont="1" applyBorder="1" applyAlignment="1">
      <alignment horizontal="center" vertical="center" wrapText="1"/>
    </xf>
    <xf numFmtId="43" fontId="10" fillId="0" borderId="14" xfId="0" applyNumberFormat="1" applyFont="1" applyBorder="1"/>
    <xf numFmtId="165" fontId="13" fillId="0" borderId="4" xfId="0" applyNumberFormat="1" applyFont="1" applyBorder="1"/>
    <xf numFmtId="165" fontId="13" fillId="0" borderId="17" xfId="0" applyNumberFormat="1" applyFont="1" applyBorder="1"/>
    <xf numFmtId="0" fontId="0" fillId="0" borderId="13" xfId="0" applyBorder="1"/>
    <xf numFmtId="0" fontId="0" fillId="0" borderId="14" xfId="0" applyBorder="1"/>
    <xf numFmtId="0" fontId="0" fillId="0" borderId="2" xfId="0" applyBorder="1"/>
    <xf numFmtId="0" fontId="6" fillId="0" borderId="36" xfId="0" applyFont="1" applyBorder="1"/>
    <xf numFmtId="0" fontId="6" fillId="0" borderId="37" xfId="0" applyFont="1" applyBorder="1"/>
    <xf numFmtId="0" fontId="6" fillId="0" borderId="13" xfId="0" applyFont="1" applyBorder="1"/>
    <xf numFmtId="43" fontId="13" fillId="0" borderId="7" xfId="0" applyNumberFormat="1" applyFont="1" applyBorder="1"/>
    <xf numFmtId="173" fontId="6" fillId="0" borderId="18" xfId="0" applyNumberFormat="1" applyFont="1" applyBorder="1"/>
    <xf numFmtId="43" fontId="6" fillId="0" borderId="0" xfId="0" applyNumberFormat="1" applyFont="1" applyBorder="1"/>
    <xf numFmtId="0" fontId="6" fillId="0" borderId="19" xfId="0" applyFont="1" applyBorder="1" applyAlignment="1">
      <alignment horizontal="center"/>
    </xf>
    <xf numFmtId="0" fontId="14" fillId="0" borderId="4" xfId="0" applyFont="1" applyFill="1" applyBorder="1"/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43" fontId="14" fillId="0" borderId="4" xfId="2" applyFont="1" applyBorder="1"/>
    <xf numFmtId="0" fontId="6" fillId="0" borderId="38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right"/>
    </xf>
    <xf numFmtId="43" fontId="6" fillId="3" borderId="13" xfId="0" applyNumberFormat="1" applyFont="1" applyFill="1" applyBorder="1"/>
    <xf numFmtId="0" fontId="6" fillId="0" borderId="19" xfId="0" applyFont="1" applyBorder="1" applyAlignment="1">
      <alignment horizontal="right"/>
    </xf>
    <xf numFmtId="0" fontId="6" fillId="0" borderId="31" xfId="0" applyFont="1" applyBorder="1"/>
    <xf numFmtId="43" fontId="6" fillId="0" borderId="39" xfId="2" applyFont="1" applyBorder="1"/>
    <xf numFmtId="0" fontId="6" fillId="0" borderId="25" xfId="0" applyFont="1" applyBorder="1"/>
    <xf numFmtId="43" fontId="19" fillId="0" borderId="4" xfId="2" applyFont="1" applyBorder="1"/>
    <xf numFmtId="0" fontId="18" fillId="0" borderId="4" xfId="0" applyFont="1" applyBorder="1"/>
    <xf numFmtId="43" fontId="0" fillId="0" borderId="4" xfId="0" applyNumberFormat="1" applyBorder="1"/>
    <xf numFmtId="43" fontId="20" fillId="0" borderId="33" xfId="2" applyFont="1" applyBorder="1"/>
    <xf numFmtId="0" fontId="0" fillId="0" borderId="28" xfId="0" applyBorder="1"/>
    <xf numFmtId="0" fontId="0" fillId="0" borderId="35" xfId="0" applyBorder="1"/>
    <xf numFmtId="0" fontId="0" fillId="0" borderId="1" xfId="0" applyBorder="1"/>
    <xf numFmtId="0" fontId="14" fillId="0" borderId="22" xfId="0" applyFont="1" applyFill="1" applyBorder="1"/>
    <xf numFmtId="0" fontId="14" fillId="0" borderId="7" xfId="0" applyFont="1" applyBorder="1"/>
    <xf numFmtId="0" fontId="14" fillId="0" borderId="22" xfId="0" applyFont="1" applyBorder="1" applyAlignment="1">
      <alignment horizontal="center"/>
    </xf>
    <xf numFmtId="43" fontId="14" fillId="0" borderId="7" xfId="2" applyFont="1" applyBorder="1"/>
    <xf numFmtId="0" fontId="14" fillId="0" borderId="17" xfId="0" applyFont="1" applyBorder="1"/>
    <xf numFmtId="43" fontId="14" fillId="0" borderId="17" xfId="0" applyNumberFormat="1" applyFont="1" applyBorder="1"/>
    <xf numFmtId="43" fontId="20" fillId="0" borderId="18" xfId="2" applyFont="1" applyBorder="1"/>
    <xf numFmtId="0" fontId="7" fillId="0" borderId="2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1" fillId="0" borderId="0" xfId="0" applyFont="1"/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85"/>
  <sheetViews>
    <sheetView topLeftCell="B25" workbookViewId="0">
      <selection activeCell="B50" sqref="B50:C50"/>
    </sheetView>
  </sheetViews>
  <sheetFormatPr defaultRowHeight="15" x14ac:dyDescent="0.25"/>
  <cols>
    <col min="1" max="1" width="2.7109375" customWidth="1"/>
    <col min="2" max="2" width="22.5703125" customWidth="1"/>
    <col min="3" max="3" width="21.28515625" customWidth="1"/>
    <col min="4" max="4" width="9.42578125" customWidth="1"/>
    <col min="5" max="5" width="12" customWidth="1"/>
    <col min="6" max="6" width="7.42578125" customWidth="1"/>
    <col min="7" max="7" width="9.85546875" customWidth="1"/>
    <col min="8" max="8" width="10.28515625" customWidth="1"/>
    <col min="9" max="9" width="9.42578125" customWidth="1"/>
    <col min="10" max="10" width="9.5703125" customWidth="1"/>
    <col min="11" max="11" width="11.28515625" customWidth="1"/>
    <col min="12" max="12" width="9" customWidth="1"/>
    <col min="13" max="13" width="9.7109375" customWidth="1"/>
    <col min="14" max="15" width="4.5703125" customWidth="1"/>
    <col min="19" max="19" width="46" customWidth="1"/>
    <col min="20" max="20" width="19.28515625" customWidth="1"/>
    <col min="26" max="26" width="10.7109375" customWidth="1"/>
  </cols>
  <sheetData>
    <row r="1" spans="2:26" ht="25.5" x14ac:dyDescent="0.35">
      <c r="B1" s="6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2:26" ht="6.75" customHeight="1" x14ac:dyDescent="0.2">
      <c r="B2" s="7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2:26" ht="39" thickBot="1" x14ac:dyDescent="0.3">
      <c r="B3" s="8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  <c r="P3" t="s">
        <v>174</v>
      </c>
    </row>
    <row r="4" spans="2:26" ht="16.5" thickBot="1" x14ac:dyDescent="0.3">
      <c r="B4" s="10"/>
      <c r="C4" s="11"/>
      <c r="D4" s="11"/>
      <c r="E4" s="11"/>
      <c r="F4" s="11"/>
      <c r="G4" s="11"/>
      <c r="H4" s="11" t="s">
        <v>31</v>
      </c>
      <c r="I4" s="11"/>
      <c r="J4" s="11"/>
      <c r="K4" s="11"/>
      <c r="L4" s="11"/>
      <c r="M4" s="12"/>
      <c r="P4" s="151" t="s">
        <v>160</v>
      </c>
      <c r="Q4" s="152"/>
      <c r="R4" s="152"/>
      <c r="S4" s="152"/>
      <c r="T4" s="152"/>
      <c r="U4" s="152"/>
      <c r="V4" s="152"/>
      <c r="W4" s="152" t="s">
        <v>159</v>
      </c>
      <c r="X4" s="152"/>
      <c r="Y4" s="152"/>
      <c r="Z4" s="153"/>
    </row>
    <row r="5" spans="2:26" ht="23.25" thickBot="1" x14ac:dyDescent="0.3">
      <c r="B5" s="238" t="s">
        <v>1</v>
      </c>
      <c r="C5" s="239"/>
      <c r="D5" s="198" t="s">
        <v>2</v>
      </c>
      <c r="E5" s="198" t="s">
        <v>3</v>
      </c>
      <c r="F5" s="11"/>
      <c r="G5" s="13" t="s">
        <v>52</v>
      </c>
      <c r="H5" s="13" t="s">
        <v>53</v>
      </c>
      <c r="I5" s="13" t="s">
        <v>54</v>
      </c>
      <c r="J5" s="14" t="s">
        <v>55</v>
      </c>
      <c r="K5" s="13" t="s">
        <v>56</v>
      </c>
      <c r="L5" s="15" t="s">
        <v>57</v>
      </c>
      <c r="M5" s="12"/>
      <c r="P5" s="7"/>
      <c r="Q5" s="3"/>
      <c r="R5" s="3"/>
      <c r="S5" s="157" t="s">
        <v>140</v>
      </c>
      <c r="T5" s="3"/>
      <c r="U5" s="3"/>
      <c r="V5" s="3"/>
      <c r="W5" s="3"/>
      <c r="X5" s="3"/>
      <c r="Y5" s="3"/>
      <c r="Z5" s="4"/>
    </row>
    <row r="6" spans="2:26" ht="15.75" thickBot="1" x14ac:dyDescent="0.3">
      <c r="B6" s="16" t="s">
        <v>96</v>
      </c>
      <c r="C6" s="17" t="s">
        <v>4</v>
      </c>
      <c r="D6" s="18">
        <v>0.04</v>
      </c>
      <c r="E6" s="19">
        <v>0</v>
      </c>
      <c r="F6" s="11"/>
      <c r="G6" s="20">
        <v>5.5E-2</v>
      </c>
      <c r="H6" s="20">
        <v>3.5000000000000003E-2</v>
      </c>
      <c r="I6" s="20">
        <v>0.12740000000000001</v>
      </c>
      <c r="J6" s="20">
        <v>2.76E-2</v>
      </c>
      <c r="K6" s="20">
        <v>0.41499999999999998</v>
      </c>
      <c r="L6" s="21">
        <v>0.34</v>
      </c>
      <c r="M6" s="12"/>
      <c r="P6" s="105" t="s">
        <v>107</v>
      </c>
      <c r="Q6" s="106"/>
      <c r="R6" s="106"/>
      <c r="S6" s="107"/>
      <c r="T6" s="108">
        <v>1500000</v>
      </c>
      <c r="U6" s="154"/>
      <c r="V6" s="3"/>
      <c r="W6" s="3"/>
      <c r="X6" s="3"/>
      <c r="Y6" s="3"/>
      <c r="Z6" s="4"/>
    </row>
    <row r="7" spans="2:26" ht="15.75" thickBot="1" x14ac:dyDescent="0.3">
      <c r="B7" s="16" t="s">
        <v>97</v>
      </c>
      <c r="C7" s="17" t="s">
        <v>5</v>
      </c>
      <c r="D7" s="18">
        <v>7.2999999999999995E-2</v>
      </c>
      <c r="E7" s="19">
        <v>5940</v>
      </c>
      <c r="F7" s="11"/>
      <c r="G7" s="20">
        <v>5.5E-2</v>
      </c>
      <c r="H7" s="20">
        <v>3.5000000000000003E-2</v>
      </c>
      <c r="I7" s="20">
        <v>0.12740000000000001</v>
      </c>
      <c r="J7" s="20">
        <v>2.76E-2</v>
      </c>
      <c r="K7" s="20">
        <v>0.41499999999999998</v>
      </c>
      <c r="L7" s="21">
        <v>0.34</v>
      </c>
      <c r="M7" s="12"/>
      <c r="P7" s="105" t="s">
        <v>108</v>
      </c>
      <c r="Q7" s="106"/>
      <c r="R7" s="106"/>
      <c r="S7" s="107"/>
      <c r="T7" s="108">
        <v>3200000</v>
      </c>
      <c r="U7" s="154"/>
      <c r="V7" s="3"/>
      <c r="W7" s="3"/>
      <c r="X7" s="3"/>
      <c r="Y7" s="3"/>
      <c r="Z7" s="4"/>
    </row>
    <row r="8" spans="2:26" ht="15.75" thickBot="1" x14ac:dyDescent="0.3">
      <c r="B8" s="16" t="s">
        <v>98</v>
      </c>
      <c r="C8" s="17" t="s">
        <v>6</v>
      </c>
      <c r="D8" s="18">
        <v>9.5000000000000001E-2</v>
      </c>
      <c r="E8" s="19">
        <v>13860</v>
      </c>
      <c r="F8" s="11"/>
      <c r="G8" s="20">
        <v>5.5E-2</v>
      </c>
      <c r="H8" s="20">
        <v>3.5000000000000003E-2</v>
      </c>
      <c r="I8" s="20">
        <v>0.12740000000000001</v>
      </c>
      <c r="J8" s="20">
        <v>2.76E-2</v>
      </c>
      <c r="K8" s="20">
        <v>0.42</v>
      </c>
      <c r="L8" s="21">
        <v>0.33500000000000002</v>
      </c>
      <c r="M8" s="12"/>
      <c r="P8" s="105" t="s">
        <v>109</v>
      </c>
      <c r="Q8" s="106"/>
      <c r="R8" s="106"/>
      <c r="S8" s="107"/>
      <c r="T8" s="108">
        <v>2000000</v>
      </c>
      <c r="U8" s="154"/>
      <c r="V8" s="3"/>
      <c r="W8" s="3"/>
      <c r="X8" s="3"/>
      <c r="Y8" s="3"/>
      <c r="Z8" s="4"/>
    </row>
    <row r="9" spans="2:26" ht="23.25" thickBot="1" x14ac:dyDescent="0.3">
      <c r="B9" s="16" t="s">
        <v>99</v>
      </c>
      <c r="C9" s="17" t="s">
        <v>7</v>
      </c>
      <c r="D9" s="18">
        <v>0.107</v>
      </c>
      <c r="E9" s="19">
        <v>22500</v>
      </c>
      <c r="F9" s="11"/>
      <c r="G9" s="20">
        <v>5.5E-2</v>
      </c>
      <c r="H9" s="20">
        <v>3.5000000000000003E-2</v>
      </c>
      <c r="I9" s="20">
        <v>0.12740000000000001</v>
      </c>
      <c r="J9" s="20">
        <v>2.76E-2</v>
      </c>
      <c r="K9" s="20">
        <v>0.42</v>
      </c>
      <c r="L9" s="21">
        <v>0.33500000000000002</v>
      </c>
      <c r="M9" s="12"/>
      <c r="P9" s="105" t="s">
        <v>110</v>
      </c>
      <c r="Q9" s="106"/>
      <c r="R9" s="106"/>
      <c r="S9" s="107"/>
      <c r="T9" s="108">
        <v>300000</v>
      </c>
      <c r="U9" s="154"/>
      <c r="V9" s="3"/>
      <c r="W9" s="3"/>
      <c r="X9" s="3"/>
      <c r="Y9" s="3"/>
      <c r="Z9" s="4"/>
    </row>
    <row r="10" spans="2:26" ht="23.25" thickBot="1" x14ac:dyDescent="0.3">
      <c r="B10" s="16" t="s">
        <v>100</v>
      </c>
      <c r="C10" s="17" t="s">
        <v>8</v>
      </c>
      <c r="D10" s="18">
        <v>0.14299999999999999</v>
      </c>
      <c r="E10" s="19">
        <v>87300</v>
      </c>
      <c r="F10" s="11"/>
      <c r="G10" s="20">
        <v>5.5E-2</v>
      </c>
      <c r="H10" s="20">
        <v>3.5000000000000003E-2</v>
      </c>
      <c r="I10" s="20">
        <v>0.12740000000000001</v>
      </c>
      <c r="J10" s="20">
        <v>2.76E-2</v>
      </c>
      <c r="K10" s="20">
        <v>0.42</v>
      </c>
      <c r="L10" s="21">
        <v>0.33500000000000002</v>
      </c>
      <c r="M10" s="12"/>
      <c r="P10" s="105" t="s">
        <v>145</v>
      </c>
      <c r="Q10" s="106"/>
      <c r="R10" s="106"/>
      <c r="S10" s="107"/>
      <c r="T10" s="108">
        <v>1800000</v>
      </c>
      <c r="U10" s="154"/>
      <c r="V10" s="3"/>
      <c r="W10" s="3"/>
      <c r="X10" s="3"/>
      <c r="Y10" s="3"/>
      <c r="Z10" s="4"/>
    </row>
    <row r="11" spans="2:26" ht="23.25" thickBot="1" x14ac:dyDescent="0.3">
      <c r="B11" s="16" t="s">
        <v>101</v>
      </c>
      <c r="C11" s="17" t="s">
        <v>9</v>
      </c>
      <c r="D11" s="18">
        <v>0.19</v>
      </c>
      <c r="E11" s="19">
        <v>378000</v>
      </c>
      <c r="F11" s="11"/>
      <c r="G11" s="22">
        <v>0.13500000000000001</v>
      </c>
      <c r="H11" s="22">
        <v>0.1</v>
      </c>
      <c r="I11" s="22">
        <v>0.28270000000000001</v>
      </c>
      <c r="J11" s="22">
        <v>6.13E-2</v>
      </c>
      <c r="K11" s="22">
        <v>0.42099999999999999</v>
      </c>
      <c r="L11" s="23">
        <v>0</v>
      </c>
      <c r="M11" s="12"/>
      <c r="P11" s="105" t="s">
        <v>111</v>
      </c>
      <c r="Q11" s="106"/>
      <c r="R11" s="106"/>
      <c r="S11" s="107"/>
      <c r="T11" s="109">
        <f>T8-T10</f>
        <v>200000</v>
      </c>
      <c r="U11" s="154"/>
      <c r="V11" s="3"/>
      <c r="W11" s="3"/>
      <c r="X11" s="3"/>
      <c r="Y11" s="3"/>
      <c r="Z11" s="4"/>
    </row>
    <row r="12" spans="2:26" ht="15.75" thickBot="1" x14ac:dyDescent="0.3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/>
      <c r="P12" s="105" t="s">
        <v>112</v>
      </c>
      <c r="Q12" s="106"/>
      <c r="R12" s="106"/>
      <c r="S12" s="107"/>
      <c r="T12" s="109">
        <f>T9-T11</f>
        <v>100000</v>
      </c>
      <c r="U12" s="154"/>
      <c r="V12" s="3"/>
      <c r="W12" s="3"/>
      <c r="X12" s="3"/>
      <c r="Y12" s="3"/>
      <c r="Z12" s="4"/>
    </row>
    <row r="13" spans="2:26" ht="15.75" thickBot="1" x14ac:dyDescent="0.3">
      <c r="B13" s="205" t="s">
        <v>104</v>
      </c>
      <c r="C13" s="64"/>
      <c r="D13" s="65"/>
      <c r="E13" s="43" t="s">
        <v>69</v>
      </c>
      <c r="F13" s="64"/>
      <c r="G13" s="64"/>
      <c r="H13" s="64"/>
      <c r="I13" s="64"/>
      <c r="J13" s="64"/>
      <c r="K13" s="64"/>
      <c r="L13" s="64"/>
      <c r="M13" s="206"/>
      <c r="P13" s="155"/>
      <c r="Q13" s="157" t="s">
        <v>141</v>
      </c>
      <c r="R13" s="157"/>
      <c r="S13" s="157"/>
      <c r="T13" s="154"/>
      <c r="U13" s="154"/>
      <c r="V13" s="3"/>
      <c r="W13" s="3"/>
      <c r="X13" s="3"/>
      <c r="Y13" s="3"/>
      <c r="Z13" s="4"/>
    </row>
    <row r="14" spans="2:26" ht="24" customHeight="1" thickBot="1" x14ac:dyDescent="0.3">
      <c r="B14" s="66" t="s">
        <v>16</v>
      </c>
      <c r="C14" s="67" t="s">
        <v>17</v>
      </c>
      <c r="D14" s="240"/>
      <c r="E14" s="63">
        <v>1800000</v>
      </c>
      <c r="F14" s="11"/>
      <c r="G14" s="11"/>
      <c r="H14" s="11" t="s">
        <v>51</v>
      </c>
      <c r="I14" s="11"/>
      <c r="J14" s="11"/>
      <c r="K14" s="11"/>
      <c r="L14" s="11"/>
      <c r="M14" s="12"/>
      <c r="P14" s="105" t="s">
        <v>113</v>
      </c>
      <c r="Q14" s="106"/>
      <c r="R14" s="106"/>
      <c r="S14" s="107"/>
      <c r="T14" s="112">
        <f>D10</f>
        <v>0.14299999999999999</v>
      </c>
      <c r="U14" s="154"/>
      <c r="V14" s="3"/>
      <c r="W14" s="3"/>
      <c r="X14" s="3"/>
      <c r="Y14" s="3"/>
      <c r="Z14" s="4"/>
    </row>
    <row r="15" spans="2:26" ht="15.75" thickBot="1" x14ac:dyDescent="0.3">
      <c r="B15" s="24" t="s">
        <v>88</v>
      </c>
      <c r="C15" s="25" t="s">
        <v>2</v>
      </c>
      <c r="D15" s="240"/>
      <c r="E15" s="62">
        <f>IF(E14&lt;=180000,D6, IF(E14&lt;=360000,D7, IF(E14&lt;=720000,D8,IF(E14&lt;=1800000,D9,IF(E14&lt;=3600000,D10,IF(E14&lt;=4800000,D11, "excluido"))))))</f>
        <v>0.107</v>
      </c>
      <c r="F15" s="68"/>
      <c r="G15" s="69" t="s">
        <v>32</v>
      </c>
      <c r="H15" s="69" t="s">
        <v>33</v>
      </c>
      <c r="I15" s="69" t="s">
        <v>34</v>
      </c>
      <c r="J15" s="69" t="s">
        <v>35</v>
      </c>
      <c r="K15" s="69" t="s">
        <v>36</v>
      </c>
      <c r="L15" s="69" t="s">
        <v>66</v>
      </c>
      <c r="M15" s="70"/>
      <c r="P15" s="105" t="s">
        <v>114</v>
      </c>
      <c r="Q15" s="106"/>
      <c r="R15" s="106"/>
      <c r="S15" s="107"/>
      <c r="T15" s="110">
        <f>E10</f>
        <v>87300</v>
      </c>
      <c r="U15" s="154"/>
      <c r="V15" s="3"/>
      <c r="W15" s="3"/>
      <c r="X15" s="3"/>
      <c r="Y15" s="3"/>
      <c r="Z15" s="4"/>
    </row>
    <row r="16" spans="2:26" ht="15.75" thickBot="1" x14ac:dyDescent="0.3">
      <c r="B16" s="28" t="s">
        <v>89</v>
      </c>
      <c r="C16" s="29" t="s">
        <v>18</v>
      </c>
      <c r="D16" s="240"/>
      <c r="E16" s="58">
        <f>E14*E15</f>
        <v>192600</v>
      </c>
      <c r="F16" s="42" t="s">
        <v>38</v>
      </c>
      <c r="G16" s="45">
        <f>E22*G6</f>
        <v>5.197499999999999E-3</v>
      </c>
      <c r="H16" s="45">
        <f>E22*H6</f>
        <v>3.3074999999999997E-3</v>
      </c>
      <c r="I16" s="45">
        <f>E22*I6</f>
        <v>1.2039299999999999E-2</v>
      </c>
      <c r="J16" s="45">
        <f>E22*J6</f>
        <v>2.6081999999999998E-3</v>
      </c>
      <c r="K16" s="45">
        <f>E22*K6</f>
        <v>3.9217499999999995E-2</v>
      </c>
      <c r="L16" s="45">
        <f>E22*L6</f>
        <v>3.2129999999999999E-2</v>
      </c>
      <c r="M16" s="71">
        <f t="shared" ref="M16:M21" si="0">SUM(G16:L16)</f>
        <v>9.4500000000000001E-2</v>
      </c>
      <c r="P16" s="105" t="s">
        <v>161</v>
      </c>
      <c r="Q16" s="106"/>
      <c r="R16" s="106"/>
      <c r="S16" s="107"/>
      <c r="T16" s="108">
        <f>(T7*T14)</f>
        <v>457599.99999999994</v>
      </c>
      <c r="U16" s="154"/>
      <c r="V16" s="3"/>
      <c r="W16" s="3"/>
      <c r="X16" s="3"/>
      <c r="Y16" s="3"/>
      <c r="Z16" s="4"/>
    </row>
    <row r="17" spans="2:26" ht="15.75" thickBot="1" x14ac:dyDescent="0.3">
      <c r="B17" s="31">
        <v>400000</v>
      </c>
      <c r="C17" s="29" t="s">
        <v>19</v>
      </c>
      <c r="D17" s="240"/>
      <c r="E17" s="59">
        <f>IF(E14&lt;=180000,E6, IF(E14&lt;=360000,E7, IF(E14&lt;=720000,E8,IF(E14&lt;=1800000,E9,IF(E14&lt;=3600000,E10,IF(E14&lt;=4800000,E11, "excluido"))))))</f>
        <v>22500</v>
      </c>
      <c r="F17" s="42" t="s">
        <v>39</v>
      </c>
      <c r="G17" s="45">
        <f>E22*G7</f>
        <v>5.197499999999999E-3</v>
      </c>
      <c r="H17" s="45">
        <f>E22*H7</f>
        <v>3.3074999999999997E-3</v>
      </c>
      <c r="I17" s="45">
        <f>E22*I7</f>
        <v>1.2039299999999999E-2</v>
      </c>
      <c r="J17" s="45">
        <f>E22*J7</f>
        <v>2.6081999999999998E-3</v>
      </c>
      <c r="K17" s="45">
        <f>E22*K7</f>
        <v>3.9217499999999995E-2</v>
      </c>
      <c r="L17" s="45">
        <f>E22*L7</f>
        <v>3.2129999999999999E-2</v>
      </c>
      <c r="M17" s="71">
        <f t="shared" si="0"/>
        <v>9.4500000000000001E-2</v>
      </c>
      <c r="P17" s="155"/>
      <c r="Q17" s="154"/>
      <c r="R17" s="154"/>
      <c r="S17" s="110" t="s">
        <v>137</v>
      </c>
      <c r="T17" s="109">
        <f>T16-T15</f>
        <v>370299.99999999994</v>
      </c>
      <c r="U17" s="154"/>
      <c r="V17" s="3"/>
      <c r="W17" s="3"/>
      <c r="X17" s="3"/>
      <c r="Y17" s="3"/>
      <c r="Z17" s="4"/>
    </row>
    <row r="18" spans="2:26" ht="15.75" thickBot="1" x14ac:dyDescent="0.3">
      <c r="B18" s="32">
        <v>12</v>
      </c>
      <c r="C18" s="29" t="s">
        <v>24</v>
      </c>
      <c r="D18" s="240"/>
      <c r="E18" s="58">
        <f>E16-E17</f>
        <v>170100</v>
      </c>
      <c r="F18" s="42" t="s">
        <v>40</v>
      </c>
      <c r="G18" s="45">
        <f>E22*G8</f>
        <v>5.197499999999999E-3</v>
      </c>
      <c r="H18" s="45">
        <f>E22*H8</f>
        <v>3.3074999999999997E-3</v>
      </c>
      <c r="I18" s="45">
        <f>E22*I8</f>
        <v>1.2039299999999999E-2</v>
      </c>
      <c r="J18" s="45">
        <f>E22*J8</f>
        <v>2.6081999999999998E-3</v>
      </c>
      <c r="K18" s="45">
        <f>E22*K8</f>
        <v>3.9689999999999996E-2</v>
      </c>
      <c r="L18" s="45">
        <f>E22*L8</f>
        <v>3.1657499999999998E-2</v>
      </c>
      <c r="M18" s="71">
        <f t="shared" si="0"/>
        <v>9.4500000000000001E-2</v>
      </c>
      <c r="P18" s="155"/>
      <c r="Q18" s="154"/>
      <c r="R18" s="154"/>
      <c r="S18" s="111" t="s">
        <v>116</v>
      </c>
      <c r="T18" s="161">
        <f>T17/T7</f>
        <v>0.11571874999999998</v>
      </c>
      <c r="U18" s="154"/>
      <c r="V18" s="3"/>
      <c r="W18" s="3"/>
      <c r="X18" s="3"/>
      <c r="Y18" s="3"/>
      <c r="Z18" s="4"/>
    </row>
    <row r="19" spans="2:26" ht="15.75" thickBot="1" x14ac:dyDescent="0.3">
      <c r="B19" s="33">
        <f>B17*B18</f>
        <v>4800000</v>
      </c>
      <c r="C19" s="29" t="s">
        <v>20</v>
      </c>
      <c r="D19" s="240"/>
      <c r="E19" s="60">
        <f>E18/E14</f>
        <v>9.4500000000000001E-2</v>
      </c>
      <c r="F19" s="42" t="s">
        <v>41</v>
      </c>
      <c r="G19" s="45">
        <f>E22*G9</f>
        <v>5.197499999999999E-3</v>
      </c>
      <c r="H19" s="45">
        <f>E22*H9</f>
        <v>3.3074999999999997E-3</v>
      </c>
      <c r="I19" s="45">
        <f>E22*I9</f>
        <v>1.2039299999999999E-2</v>
      </c>
      <c r="J19" s="45">
        <f>E22*J9</f>
        <v>2.6081999999999998E-3</v>
      </c>
      <c r="K19" s="45">
        <f>E22*K9</f>
        <v>3.9689999999999996E-2</v>
      </c>
      <c r="L19" s="45">
        <f>E22*L9</f>
        <v>3.1657499999999998E-2</v>
      </c>
      <c r="M19" s="71">
        <f t="shared" si="0"/>
        <v>9.4500000000000001E-2</v>
      </c>
      <c r="P19" s="155"/>
      <c r="Q19" s="154"/>
      <c r="R19" s="154"/>
      <c r="S19" s="111" t="s">
        <v>117</v>
      </c>
      <c r="T19" s="112">
        <f>D10</f>
        <v>0.14299999999999999</v>
      </c>
      <c r="U19" s="154"/>
      <c r="V19" s="3"/>
      <c r="W19" s="3"/>
      <c r="X19" s="3"/>
      <c r="Y19" s="3"/>
      <c r="Z19" s="4"/>
    </row>
    <row r="20" spans="2:26" ht="15.75" thickBot="1" x14ac:dyDescent="0.3">
      <c r="B20" s="10"/>
      <c r="C20" s="35" t="s">
        <v>105</v>
      </c>
      <c r="D20" s="240"/>
      <c r="E20" s="60">
        <f>E19*100</f>
        <v>9.4499999999999993</v>
      </c>
      <c r="F20" s="42" t="s">
        <v>42</v>
      </c>
      <c r="G20" s="45">
        <f>E22*G10</f>
        <v>5.197499999999999E-3</v>
      </c>
      <c r="H20" s="45">
        <f>E22*H10</f>
        <v>3.3074999999999997E-3</v>
      </c>
      <c r="I20" s="45">
        <f>E22*I10</f>
        <v>1.2039299999999999E-2</v>
      </c>
      <c r="J20" s="45">
        <f>E22*J10</f>
        <v>2.6081999999999998E-3</v>
      </c>
      <c r="K20" s="45">
        <f>E22*K10</f>
        <v>3.9689999999999996E-2</v>
      </c>
      <c r="L20" s="45">
        <f>E22*L10</f>
        <v>3.1657499999999998E-2</v>
      </c>
      <c r="M20" s="71">
        <f t="shared" si="0"/>
        <v>9.4500000000000001E-2</v>
      </c>
      <c r="P20" s="155"/>
      <c r="Q20" s="154"/>
      <c r="R20" s="154"/>
      <c r="S20" s="154"/>
      <c r="T20" s="154"/>
      <c r="U20" s="154"/>
      <c r="V20" s="3"/>
      <c r="W20" s="3"/>
      <c r="X20" s="3"/>
      <c r="Y20" s="3"/>
      <c r="Z20" s="4"/>
    </row>
    <row r="21" spans="2:26" ht="15.75" thickBot="1" x14ac:dyDescent="0.3">
      <c r="B21" s="24" t="s">
        <v>93</v>
      </c>
      <c r="C21" s="36" t="s">
        <v>23</v>
      </c>
      <c r="D21" s="240"/>
      <c r="E21" s="61">
        <v>1</v>
      </c>
      <c r="F21" s="54" t="s">
        <v>43</v>
      </c>
      <c r="G21" s="55">
        <f>E22*G11</f>
        <v>1.27575E-2</v>
      </c>
      <c r="H21" s="55">
        <f>E22*H11</f>
        <v>9.4500000000000001E-3</v>
      </c>
      <c r="I21" s="55">
        <f>E22*I11</f>
        <v>2.6715149999999997E-2</v>
      </c>
      <c r="J21" s="55">
        <f>E22*J11</f>
        <v>5.7928499999999996E-3</v>
      </c>
      <c r="K21" s="55">
        <f>E22*K11</f>
        <v>3.9784499999999993E-2</v>
      </c>
      <c r="L21" s="55">
        <f>E22*L11</f>
        <v>0</v>
      </c>
      <c r="M21" s="72">
        <f t="shared" si="0"/>
        <v>9.4500000000000001E-2</v>
      </c>
      <c r="P21" s="155"/>
      <c r="Q21" s="154"/>
      <c r="R21" s="154"/>
      <c r="S21" s="156" t="s">
        <v>106</v>
      </c>
      <c r="T21" s="154"/>
      <c r="U21" s="154"/>
      <c r="V21" s="3"/>
      <c r="W21" s="3"/>
      <c r="X21" s="3"/>
      <c r="Y21" s="3"/>
      <c r="Z21" s="4"/>
    </row>
    <row r="22" spans="2:26" ht="15.75" thickBot="1" x14ac:dyDescent="0.3">
      <c r="B22" s="28" t="s">
        <v>90</v>
      </c>
      <c r="C22" s="29" t="s">
        <v>22</v>
      </c>
      <c r="D22" s="241"/>
      <c r="E22" s="30">
        <f>E21*E20%</f>
        <v>9.4499999999999987E-2</v>
      </c>
      <c r="F22" s="37"/>
      <c r="G22" s="11"/>
      <c r="H22" s="11" t="s">
        <v>51</v>
      </c>
      <c r="I22" s="11"/>
      <c r="J22" s="11"/>
      <c r="K22" s="11"/>
      <c r="L22" s="11"/>
      <c r="M22" s="12"/>
      <c r="P22" s="155" t="s">
        <v>106</v>
      </c>
      <c r="Q22" s="154" t="s">
        <v>106</v>
      </c>
      <c r="R22" s="154" t="s">
        <v>106</v>
      </c>
      <c r="S22" s="154"/>
      <c r="T22" s="154"/>
      <c r="U22" s="154"/>
      <c r="V22" s="3"/>
      <c r="W22" s="3"/>
      <c r="X22" s="3"/>
      <c r="Y22" s="3"/>
      <c r="Z22" s="4"/>
    </row>
    <row r="23" spans="2:26" ht="15.75" thickBot="1" x14ac:dyDescent="0.25">
      <c r="B23" s="32" t="s">
        <v>91</v>
      </c>
      <c r="C23" s="11"/>
      <c r="D23" s="11"/>
      <c r="E23" s="11"/>
      <c r="F23" s="38"/>
      <c r="G23" s="26"/>
      <c r="H23" s="39" t="s">
        <v>45</v>
      </c>
      <c r="I23" s="26" t="s">
        <v>44</v>
      </c>
      <c r="J23" s="26"/>
      <c r="K23" s="26"/>
      <c r="L23" s="26"/>
      <c r="M23" s="27" t="s">
        <v>103</v>
      </c>
      <c r="P23" s="155" t="s">
        <v>106</v>
      </c>
      <c r="Q23" s="154" t="s">
        <v>106</v>
      </c>
      <c r="R23" s="154" t="s">
        <v>106</v>
      </c>
      <c r="S23" s="154"/>
      <c r="T23" s="189" t="s">
        <v>106</v>
      </c>
      <c r="U23" s="154"/>
      <c r="V23" s="3"/>
      <c r="W23" s="3"/>
      <c r="X23" s="3"/>
      <c r="Y23" s="3"/>
      <c r="Z23" s="4"/>
    </row>
    <row r="24" spans="2:26" ht="15.75" thickBot="1" x14ac:dyDescent="0.3">
      <c r="B24" s="31">
        <v>300000</v>
      </c>
      <c r="C24" s="40" t="s">
        <v>82</v>
      </c>
      <c r="D24" s="26"/>
      <c r="E24" s="41">
        <v>150000</v>
      </c>
      <c r="F24" s="42"/>
      <c r="G24" s="34" t="s">
        <v>32</v>
      </c>
      <c r="H24" s="34" t="s">
        <v>33</v>
      </c>
      <c r="I24" s="34" t="s">
        <v>34</v>
      </c>
      <c r="J24" s="34" t="s">
        <v>35</v>
      </c>
      <c r="K24" s="34" t="s">
        <v>36</v>
      </c>
      <c r="L24" s="34" t="s">
        <v>66</v>
      </c>
      <c r="M24" s="43" t="s">
        <v>102</v>
      </c>
      <c r="P24" s="155"/>
      <c r="Q24" s="154"/>
      <c r="R24" s="154"/>
      <c r="S24" s="154" t="s">
        <v>106</v>
      </c>
      <c r="T24" s="189" t="s">
        <v>106</v>
      </c>
      <c r="U24" s="154"/>
      <c r="V24" s="3"/>
      <c r="W24" s="3"/>
      <c r="X24" s="3"/>
      <c r="Y24" s="3"/>
      <c r="Z24" s="4"/>
    </row>
    <row r="25" spans="2:26" x14ac:dyDescent="0.2">
      <c r="B25" s="31">
        <v>300000</v>
      </c>
      <c r="C25" s="44" t="s">
        <v>48</v>
      </c>
      <c r="D25" s="11"/>
      <c r="E25" s="51">
        <f>E20-J28-I28</f>
        <v>7.9852499999999988</v>
      </c>
      <c r="F25" s="42" t="s">
        <v>38</v>
      </c>
      <c r="G25" s="45">
        <f>G16*100</f>
        <v>0.51974999999999993</v>
      </c>
      <c r="H25" s="45">
        <f t="shared" ref="G25:L30" si="1">H16*100</f>
        <v>0.33074999999999999</v>
      </c>
      <c r="I25" s="45">
        <f t="shared" si="1"/>
        <v>1.2039299999999999</v>
      </c>
      <c r="J25" s="45">
        <f t="shared" si="1"/>
        <v>0.26082</v>
      </c>
      <c r="K25" s="45">
        <f t="shared" si="1"/>
        <v>3.9217499999999994</v>
      </c>
      <c r="L25" s="45">
        <f t="shared" si="1"/>
        <v>3.2130000000000001</v>
      </c>
      <c r="M25" s="46">
        <f t="shared" ref="M25:M30" si="2">SUM(G25:L25)</f>
        <v>9.4499999999999993</v>
      </c>
      <c r="P25" s="155"/>
      <c r="Q25" s="154"/>
      <c r="R25" s="154"/>
      <c r="S25" s="154" t="s">
        <v>106</v>
      </c>
      <c r="T25" s="189" t="s">
        <v>106</v>
      </c>
      <c r="U25" s="154"/>
      <c r="V25" s="3"/>
      <c r="W25" s="3"/>
      <c r="X25" s="3"/>
      <c r="Y25" s="3"/>
      <c r="Z25" s="4"/>
    </row>
    <row r="26" spans="2:26" ht="15.75" thickBot="1" x14ac:dyDescent="0.25">
      <c r="B26" s="47">
        <f>B24+B25</f>
        <v>600000</v>
      </c>
      <c r="C26" s="48" t="s">
        <v>86</v>
      </c>
      <c r="D26" s="49"/>
      <c r="E26" s="199">
        <f>E24*E25%</f>
        <v>11977.874999999998</v>
      </c>
      <c r="F26" s="42" t="s">
        <v>39</v>
      </c>
      <c r="G26" s="45">
        <f t="shared" si="1"/>
        <v>0.51974999999999993</v>
      </c>
      <c r="H26" s="45">
        <f t="shared" si="1"/>
        <v>0.33074999999999999</v>
      </c>
      <c r="I26" s="45">
        <f t="shared" si="1"/>
        <v>1.2039299999999999</v>
      </c>
      <c r="J26" s="45">
        <f t="shared" si="1"/>
        <v>0.26082</v>
      </c>
      <c r="K26" s="45">
        <f t="shared" si="1"/>
        <v>3.9217499999999994</v>
      </c>
      <c r="L26" s="45">
        <f t="shared" si="1"/>
        <v>3.2130000000000001</v>
      </c>
      <c r="M26" s="46">
        <f t="shared" si="2"/>
        <v>9.4499999999999993</v>
      </c>
      <c r="P26" s="155"/>
      <c r="Q26" s="154"/>
      <c r="R26" s="154"/>
      <c r="S26" s="154" t="s">
        <v>106</v>
      </c>
      <c r="T26" s="190" t="s">
        <v>106</v>
      </c>
      <c r="U26" s="154"/>
      <c r="V26" s="3"/>
      <c r="W26" s="3"/>
      <c r="X26" s="3"/>
      <c r="Y26" s="3"/>
      <c r="Z26" s="4"/>
    </row>
    <row r="27" spans="2:26" ht="15.75" thickBot="1" x14ac:dyDescent="0.3">
      <c r="B27" s="28" t="s">
        <v>95</v>
      </c>
      <c r="C27" s="40" t="s">
        <v>83</v>
      </c>
      <c r="D27" s="26"/>
      <c r="E27" s="41">
        <v>0</v>
      </c>
      <c r="F27" s="42" t="s">
        <v>40</v>
      </c>
      <c r="G27" s="45">
        <f t="shared" si="1"/>
        <v>0.51974999999999993</v>
      </c>
      <c r="H27" s="45">
        <f t="shared" si="1"/>
        <v>0.33074999999999999</v>
      </c>
      <c r="I27" s="45">
        <f t="shared" si="1"/>
        <v>1.2039299999999999</v>
      </c>
      <c r="J27" s="45">
        <f t="shared" si="1"/>
        <v>0.26082</v>
      </c>
      <c r="K27" s="45">
        <f t="shared" si="1"/>
        <v>3.9689999999999994</v>
      </c>
      <c r="L27" s="45">
        <f t="shared" si="1"/>
        <v>3.1657499999999996</v>
      </c>
      <c r="M27" s="46">
        <f t="shared" si="2"/>
        <v>9.4499999999999993</v>
      </c>
      <c r="P27" s="155"/>
      <c r="Q27" s="154"/>
      <c r="R27" s="154"/>
      <c r="S27" s="154" t="s">
        <v>106</v>
      </c>
      <c r="T27" s="191" t="s">
        <v>106</v>
      </c>
      <c r="U27" s="154"/>
      <c r="V27" s="3"/>
      <c r="W27" s="3"/>
      <c r="X27" s="3"/>
      <c r="Y27" s="3"/>
      <c r="Z27" s="4"/>
    </row>
    <row r="28" spans="2:26" x14ac:dyDescent="0.2">
      <c r="B28" s="47">
        <f>B26/2</f>
        <v>300000</v>
      </c>
      <c r="C28" s="44" t="s">
        <v>48</v>
      </c>
      <c r="D28" s="11"/>
      <c r="E28" s="51">
        <f>E20-L29</f>
        <v>6.2842500000000001</v>
      </c>
      <c r="F28" s="42" t="s">
        <v>41</v>
      </c>
      <c r="G28" s="45">
        <f t="shared" si="1"/>
        <v>0.51974999999999993</v>
      </c>
      <c r="H28" s="45">
        <f t="shared" si="1"/>
        <v>0.33074999999999999</v>
      </c>
      <c r="I28" s="45">
        <f t="shared" si="1"/>
        <v>1.2039299999999999</v>
      </c>
      <c r="J28" s="45">
        <f t="shared" si="1"/>
        <v>0.26082</v>
      </c>
      <c r="K28" s="45">
        <f t="shared" si="1"/>
        <v>3.9689999999999994</v>
      </c>
      <c r="L28" s="45">
        <f t="shared" si="1"/>
        <v>3.1657499999999996</v>
      </c>
      <c r="M28" s="46">
        <f t="shared" si="2"/>
        <v>9.4499999999999993</v>
      </c>
      <c r="P28" s="155"/>
      <c r="Q28" s="154"/>
      <c r="R28" s="154"/>
      <c r="S28" s="154" t="s">
        <v>106</v>
      </c>
      <c r="T28" s="154"/>
      <c r="U28" s="154"/>
      <c r="V28" s="3"/>
      <c r="W28" s="3"/>
      <c r="X28" s="3"/>
      <c r="Y28" s="3"/>
      <c r="Z28" s="4"/>
    </row>
    <row r="29" spans="2:26" ht="15.75" thickBot="1" x14ac:dyDescent="0.25">
      <c r="B29" s="28" t="s">
        <v>92</v>
      </c>
      <c r="C29" s="48" t="s">
        <v>87</v>
      </c>
      <c r="D29" s="49"/>
      <c r="E29" s="199">
        <f>E27*E28%</f>
        <v>0</v>
      </c>
      <c r="F29" s="42" t="s">
        <v>42</v>
      </c>
      <c r="G29" s="45">
        <f t="shared" si="1"/>
        <v>0.51974999999999993</v>
      </c>
      <c r="H29" s="45">
        <f t="shared" si="1"/>
        <v>0.33074999999999999</v>
      </c>
      <c r="I29" s="45">
        <f t="shared" si="1"/>
        <v>1.2039299999999999</v>
      </c>
      <c r="J29" s="45">
        <f t="shared" si="1"/>
        <v>0.26082</v>
      </c>
      <c r="K29" s="45">
        <f t="shared" si="1"/>
        <v>3.9689999999999994</v>
      </c>
      <c r="L29" s="45">
        <f t="shared" si="1"/>
        <v>3.1657499999999996</v>
      </c>
      <c r="M29" s="46">
        <f t="shared" si="2"/>
        <v>9.4499999999999993</v>
      </c>
      <c r="P29" s="155"/>
      <c r="Q29" s="154"/>
      <c r="R29" s="154"/>
      <c r="S29" s="192" t="s">
        <v>106</v>
      </c>
      <c r="T29" s="193" t="s">
        <v>106</v>
      </c>
      <c r="U29" s="154"/>
      <c r="V29" s="3"/>
      <c r="W29" s="3"/>
      <c r="X29" s="3"/>
      <c r="Y29" s="3"/>
      <c r="Z29" s="4"/>
    </row>
    <row r="30" spans="2:26" ht="15.75" thickBot="1" x14ac:dyDescent="0.25">
      <c r="B30" s="33">
        <f>B28*12</f>
        <v>3600000</v>
      </c>
      <c r="C30" s="52" t="s">
        <v>84</v>
      </c>
      <c r="D30" s="52"/>
      <c r="E30" s="53">
        <f>E26+E29</f>
        <v>11977.874999999998</v>
      </c>
      <c r="F30" s="54" t="s">
        <v>43</v>
      </c>
      <c r="G30" s="55">
        <f t="shared" si="1"/>
        <v>1.2757499999999999</v>
      </c>
      <c r="H30" s="55">
        <f t="shared" si="1"/>
        <v>0.94500000000000006</v>
      </c>
      <c r="I30" s="55">
        <f t="shared" si="1"/>
        <v>2.6715149999999999</v>
      </c>
      <c r="J30" s="55">
        <f t="shared" si="1"/>
        <v>0.57928499999999994</v>
      </c>
      <c r="K30" s="55">
        <f t="shared" si="1"/>
        <v>3.9784499999999992</v>
      </c>
      <c r="L30" s="55">
        <f t="shared" si="1"/>
        <v>0</v>
      </c>
      <c r="M30" s="56">
        <f t="shared" si="2"/>
        <v>9.4499999999999993</v>
      </c>
      <c r="P30" s="155" t="s">
        <v>106</v>
      </c>
      <c r="Q30" s="154"/>
      <c r="R30" s="154"/>
      <c r="S30" s="156" t="s">
        <v>106</v>
      </c>
      <c r="T30" s="154"/>
      <c r="U30" s="154"/>
      <c r="V30" s="3"/>
      <c r="W30" s="3"/>
      <c r="X30" s="3"/>
      <c r="Y30" s="3"/>
      <c r="Z30" s="4"/>
    </row>
    <row r="31" spans="2:26" ht="6.75" customHeight="1" thickBot="1" x14ac:dyDescent="0.25"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2"/>
      <c r="P31" s="155"/>
      <c r="Q31" s="154"/>
      <c r="R31" s="154"/>
      <c r="S31" s="154"/>
      <c r="T31" s="154"/>
      <c r="U31" s="154"/>
      <c r="V31" s="3"/>
      <c r="W31" s="3"/>
      <c r="X31" s="3"/>
      <c r="Y31" s="3"/>
      <c r="Z31" s="4"/>
    </row>
    <row r="32" spans="2:26" x14ac:dyDescent="0.2">
      <c r="B32" s="10"/>
      <c r="C32" s="11"/>
      <c r="D32" s="11"/>
      <c r="E32" s="11"/>
      <c r="F32" s="38"/>
      <c r="G32" s="26"/>
      <c r="H32" s="39"/>
      <c r="I32" s="26" t="s">
        <v>183</v>
      </c>
      <c r="J32" s="26"/>
      <c r="K32" s="26"/>
      <c r="L32" s="26"/>
      <c r="M32" s="27"/>
      <c r="P32" s="155"/>
      <c r="Q32" s="154"/>
      <c r="R32" s="154"/>
      <c r="S32" s="154" t="s">
        <v>106</v>
      </c>
      <c r="T32" s="194" t="s">
        <v>106</v>
      </c>
      <c r="U32" s="154"/>
      <c r="V32" s="3"/>
      <c r="W32" s="3"/>
      <c r="X32" s="3"/>
      <c r="Y32" s="3"/>
      <c r="Z32" s="4"/>
    </row>
    <row r="33" spans="2:26" ht="15.75" thickBot="1" x14ac:dyDescent="0.25">
      <c r="B33" s="10"/>
      <c r="C33" s="11"/>
      <c r="D33" s="11"/>
      <c r="E33" s="11"/>
      <c r="F33" s="42"/>
      <c r="G33" s="34" t="s">
        <v>32</v>
      </c>
      <c r="H33" s="34" t="s">
        <v>33</v>
      </c>
      <c r="I33" s="34" t="s">
        <v>34</v>
      </c>
      <c r="J33" s="34" t="s">
        <v>35</v>
      </c>
      <c r="K33" s="34" t="s">
        <v>36</v>
      </c>
      <c r="L33" s="34" t="s">
        <v>66</v>
      </c>
      <c r="M33" s="43" t="s">
        <v>182</v>
      </c>
      <c r="P33" s="155"/>
      <c r="Q33" s="154"/>
      <c r="R33" s="154"/>
      <c r="S33" s="154" t="s">
        <v>106</v>
      </c>
      <c r="T33" s="154"/>
      <c r="U33" s="154"/>
      <c r="V33" s="3"/>
      <c r="W33" s="3"/>
      <c r="X33" s="3"/>
      <c r="Y33" s="3"/>
      <c r="Z33" s="4"/>
    </row>
    <row r="34" spans="2:26" ht="12" customHeight="1" thickBot="1" x14ac:dyDescent="0.3">
      <c r="B34" s="10"/>
      <c r="C34" s="11"/>
      <c r="D34" s="11"/>
      <c r="E34" s="11"/>
      <c r="F34" s="42" t="s">
        <v>38</v>
      </c>
      <c r="G34" s="200">
        <f>(E24*G25)/100</f>
        <v>779.62499999999989</v>
      </c>
      <c r="H34" s="200">
        <f>(E24*H25)/100</f>
        <v>496.125</v>
      </c>
      <c r="I34" s="200">
        <f>(E24*I25)/100</f>
        <v>1805.895</v>
      </c>
      <c r="J34" s="200">
        <f>(E24*J25)/100</f>
        <v>391.23</v>
      </c>
      <c r="K34" s="200">
        <f>(E24*K25)/100</f>
        <v>5882.6249999999991</v>
      </c>
      <c r="L34" s="200">
        <f>(E24*L25)/100</f>
        <v>4819.5</v>
      </c>
      <c r="M34" s="208">
        <f t="shared" ref="M34:M39" si="3">SUM(G34:L34)</f>
        <v>14175</v>
      </c>
      <c r="P34" s="105" t="s">
        <v>164</v>
      </c>
      <c r="Q34" s="106"/>
      <c r="R34" s="106"/>
      <c r="S34" s="107"/>
      <c r="T34" s="154"/>
      <c r="U34" s="154"/>
      <c r="V34" s="3"/>
      <c r="W34" s="3"/>
      <c r="X34" s="3"/>
      <c r="Y34" s="3"/>
      <c r="Z34" s="4"/>
    </row>
    <row r="35" spans="2:26" ht="15.75" thickBot="1" x14ac:dyDescent="0.3">
      <c r="B35" s="10"/>
      <c r="C35" s="11"/>
      <c r="D35" s="11"/>
      <c r="E35" s="11"/>
      <c r="F35" s="42" t="s">
        <v>39</v>
      </c>
      <c r="G35" s="200">
        <f>(E24*G26)/100</f>
        <v>779.62499999999989</v>
      </c>
      <c r="H35" s="200">
        <f>(E24*H26)/100</f>
        <v>496.125</v>
      </c>
      <c r="I35" s="200">
        <f>(E24*I26)/100</f>
        <v>1805.895</v>
      </c>
      <c r="J35" s="200">
        <f>(E24*J26)/100</f>
        <v>391.23</v>
      </c>
      <c r="K35" s="200">
        <f>(E24*K26)/100</f>
        <v>5882.6249999999991</v>
      </c>
      <c r="L35" s="200">
        <f>(E24*L26)/100</f>
        <v>4819.5</v>
      </c>
      <c r="M35" s="71">
        <f t="shared" si="3"/>
        <v>14175</v>
      </c>
      <c r="P35" s="105" t="s">
        <v>162</v>
      </c>
      <c r="Q35" s="106"/>
      <c r="R35" s="106"/>
      <c r="S35" s="106"/>
      <c r="T35" s="141">
        <f t="shared" ref="T35:Y35" si="4">G10</f>
        <v>5.5E-2</v>
      </c>
      <c r="U35" s="142">
        <f t="shared" si="4"/>
        <v>3.5000000000000003E-2</v>
      </c>
      <c r="V35" s="142">
        <f t="shared" si="4"/>
        <v>0.12740000000000001</v>
      </c>
      <c r="W35" s="142">
        <f t="shared" si="4"/>
        <v>2.76E-2</v>
      </c>
      <c r="X35" s="142">
        <f t="shared" si="4"/>
        <v>0.42</v>
      </c>
      <c r="Y35" s="142">
        <f t="shared" si="4"/>
        <v>0.33500000000000002</v>
      </c>
      <c r="Z35" s="143">
        <f>T35+U35+V35+W35+X35+Y35</f>
        <v>1</v>
      </c>
    </row>
    <row r="36" spans="2:26" ht="15.75" thickBot="1" x14ac:dyDescent="0.3">
      <c r="B36" s="10"/>
      <c r="C36" s="11"/>
      <c r="D36" s="11"/>
      <c r="E36" s="11"/>
      <c r="F36" s="42" t="s">
        <v>40</v>
      </c>
      <c r="G36" s="200">
        <f>(E24*G27)/100</f>
        <v>779.62499999999989</v>
      </c>
      <c r="H36" s="200">
        <f>(E24*H27)/100</f>
        <v>496.125</v>
      </c>
      <c r="I36" s="200">
        <f>(E24*I27)/100</f>
        <v>1805.895</v>
      </c>
      <c r="J36" s="200">
        <f>(E24*J27)/100</f>
        <v>391.23</v>
      </c>
      <c r="K36" s="200">
        <f>(E24*K27)/100</f>
        <v>5953.4999999999991</v>
      </c>
      <c r="L36" s="200">
        <f>(E24*L27)/100</f>
        <v>4748.6249999999991</v>
      </c>
      <c r="M36" s="71">
        <f t="shared" si="3"/>
        <v>14175</v>
      </c>
      <c r="P36" s="105" t="s">
        <v>163</v>
      </c>
      <c r="Q36" s="106"/>
      <c r="R36" s="106"/>
      <c r="S36" s="106"/>
      <c r="T36" s="144">
        <f>T18*T35</f>
        <v>6.3645312499999987E-3</v>
      </c>
      <c r="U36" s="139">
        <f>T18*U35</f>
        <v>4.0501562499999999E-3</v>
      </c>
      <c r="V36" s="139">
        <f>T18*V35</f>
        <v>1.4742568749999999E-2</v>
      </c>
      <c r="W36" s="139">
        <f>T18*W35</f>
        <v>3.1938374999999995E-3</v>
      </c>
      <c r="X36" s="139">
        <f>T18*X35</f>
        <v>4.8601874999999989E-2</v>
      </c>
      <c r="Y36" s="129">
        <f>T18*Y35</f>
        <v>3.8765781249999999E-2</v>
      </c>
      <c r="Z36" s="147">
        <f>T36+U36+V36+W36+X36+Y36</f>
        <v>0.11571874999999998</v>
      </c>
    </row>
    <row r="37" spans="2:26" ht="15.75" thickBot="1" x14ac:dyDescent="0.3">
      <c r="B37" s="10"/>
      <c r="C37" s="11"/>
      <c r="D37" s="11"/>
      <c r="E37" s="11"/>
      <c r="F37" s="42" t="s">
        <v>41</v>
      </c>
      <c r="G37" s="200">
        <f>(E24*G28)/100</f>
        <v>779.62499999999989</v>
      </c>
      <c r="H37" s="200">
        <f>(E24*H28)/100</f>
        <v>496.125</v>
      </c>
      <c r="I37" s="200">
        <f>(E24*I28)/100</f>
        <v>1805.895</v>
      </c>
      <c r="J37" s="200">
        <f>(E24*J28)/100</f>
        <v>391.23</v>
      </c>
      <c r="K37" s="200">
        <f>(E24*K28)/100</f>
        <v>5953.4999999999991</v>
      </c>
      <c r="L37" s="200">
        <f>(E24*L28)/100</f>
        <v>4748.6249999999991</v>
      </c>
      <c r="M37" s="71">
        <f t="shared" si="3"/>
        <v>14175</v>
      </c>
      <c r="P37" s="105" t="s">
        <v>136</v>
      </c>
      <c r="Q37" s="106"/>
      <c r="R37" s="106"/>
      <c r="S37" s="106"/>
      <c r="T37" s="184">
        <f>T12*T36</f>
        <v>636.45312499999989</v>
      </c>
      <c r="U37" s="184">
        <f>T12*U36</f>
        <v>405.015625</v>
      </c>
      <c r="V37" s="184">
        <f>T12*V36</f>
        <v>1474.2568749999998</v>
      </c>
      <c r="W37" s="184">
        <f>T12*W36</f>
        <v>319.38374999999996</v>
      </c>
      <c r="X37" s="184">
        <f>T12*X36</f>
        <v>4860.1874999999991</v>
      </c>
      <c r="Y37" s="184">
        <f>T12*Y36</f>
        <v>3876.578125</v>
      </c>
      <c r="Z37" s="150">
        <f>T37+U37+V37+W37+X37+Y37</f>
        <v>11571.875</v>
      </c>
    </row>
    <row r="38" spans="2:26" ht="15.75" thickBot="1" x14ac:dyDescent="0.3">
      <c r="B38" s="10"/>
      <c r="C38" s="11"/>
      <c r="D38" s="11"/>
      <c r="E38" s="11"/>
      <c r="F38" s="42" t="s">
        <v>42</v>
      </c>
      <c r="G38" s="200">
        <f>(E24*G29)/100</f>
        <v>779.62499999999989</v>
      </c>
      <c r="H38" s="200">
        <f>(E24*H29)/100</f>
        <v>496.125</v>
      </c>
      <c r="I38" s="200">
        <f>(E24*I29)/100</f>
        <v>1805.895</v>
      </c>
      <c r="J38" s="200">
        <f>(E24*J29)/100</f>
        <v>391.23</v>
      </c>
      <c r="K38" s="200">
        <f>(E24*K29)/100</f>
        <v>5953.4999999999991</v>
      </c>
      <c r="L38" s="200">
        <f>(E24*L29)/100</f>
        <v>4748.6249999999991</v>
      </c>
      <c r="M38" s="71">
        <f t="shared" si="3"/>
        <v>14175</v>
      </c>
      <c r="P38" s="104"/>
      <c r="Q38" s="104"/>
      <c r="R38" s="104"/>
      <c r="S38" s="104"/>
      <c r="T38" s="104"/>
      <c r="U38" s="104"/>
    </row>
    <row r="39" spans="2:26" ht="14.25" customHeight="1" thickBot="1" x14ac:dyDescent="0.3">
      <c r="B39" s="10"/>
      <c r="C39" s="11"/>
      <c r="D39" s="11"/>
      <c r="E39" s="11"/>
      <c r="F39" s="54" t="s">
        <v>43</v>
      </c>
      <c r="G39" s="201">
        <f>(E24*G30)/100</f>
        <v>1913.625</v>
      </c>
      <c r="H39" s="201">
        <f>(E24*H30)/100</f>
        <v>1417.5</v>
      </c>
      <c r="I39" s="201">
        <f>(E24*I30)/100</f>
        <v>4007.2725</v>
      </c>
      <c r="J39" s="201">
        <f>(E24*J30)/100</f>
        <v>868.9274999999999</v>
      </c>
      <c r="K39" s="201">
        <f>(E24*K30)/100</f>
        <v>5967.6749999999993</v>
      </c>
      <c r="L39" s="201">
        <f>(E24*L30)/100</f>
        <v>0</v>
      </c>
      <c r="M39" s="72">
        <f t="shared" si="3"/>
        <v>14175</v>
      </c>
      <c r="P39" s="105"/>
      <c r="Q39" s="159" t="s">
        <v>142</v>
      </c>
      <c r="R39" s="159"/>
      <c r="S39" s="159"/>
      <c r="T39" s="107"/>
      <c r="U39" s="115"/>
      <c r="V39" s="1"/>
      <c r="W39" s="1"/>
      <c r="X39" s="1"/>
      <c r="Y39" s="1"/>
      <c r="Z39" s="2"/>
    </row>
    <row r="40" spans="2:26" ht="12" customHeight="1" thickBot="1" x14ac:dyDescent="0.3"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2"/>
      <c r="P40" s="105" t="s">
        <v>165</v>
      </c>
      <c r="Q40" s="106"/>
      <c r="R40" s="106"/>
      <c r="S40" s="107"/>
      <c r="T40" s="112">
        <f>L10</f>
        <v>0.33500000000000002</v>
      </c>
      <c r="U40" s="154"/>
      <c r="V40" s="3"/>
      <c r="W40" s="3"/>
      <c r="X40" s="3"/>
      <c r="Y40" s="3"/>
      <c r="Z40" s="4"/>
    </row>
    <row r="41" spans="2:26" ht="15.75" thickBot="1" x14ac:dyDescent="0.3">
      <c r="B41" s="10"/>
      <c r="C41" s="11"/>
      <c r="D41" s="11"/>
      <c r="E41" s="11"/>
      <c r="F41" s="38"/>
      <c r="G41" s="26"/>
      <c r="H41" s="39"/>
      <c r="I41" s="26" t="s">
        <v>184</v>
      </c>
      <c r="J41" s="26"/>
      <c r="K41" s="26"/>
      <c r="L41" s="26"/>
      <c r="M41" s="27"/>
      <c r="P41" s="105" t="s">
        <v>114</v>
      </c>
      <c r="Q41" s="106"/>
      <c r="R41" s="106"/>
      <c r="S41" s="107"/>
      <c r="T41" s="110">
        <f>E10</f>
        <v>87300</v>
      </c>
      <c r="U41" s="154"/>
      <c r="V41" s="3"/>
      <c r="W41" s="3"/>
      <c r="X41" s="3"/>
      <c r="Y41" s="3"/>
      <c r="Z41" s="4"/>
    </row>
    <row r="42" spans="2:26" ht="15.75" thickBot="1" x14ac:dyDescent="0.3">
      <c r="B42" s="10"/>
      <c r="C42" s="11"/>
      <c r="D42" s="11"/>
      <c r="E42" s="11"/>
      <c r="F42" s="42"/>
      <c r="G42" s="34" t="s">
        <v>32</v>
      </c>
      <c r="H42" s="34" t="s">
        <v>33</v>
      </c>
      <c r="I42" s="34" t="s">
        <v>34</v>
      </c>
      <c r="J42" s="34" t="s">
        <v>35</v>
      </c>
      <c r="K42" s="34" t="s">
        <v>36</v>
      </c>
      <c r="L42" s="34" t="s">
        <v>186</v>
      </c>
      <c r="M42" s="43" t="s">
        <v>182</v>
      </c>
      <c r="P42" s="105" t="s">
        <v>166</v>
      </c>
      <c r="Q42" s="106"/>
      <c r="R42" s="106"/>
      <c r="S42" s="107"/>
      <c r="T42" s="108">
        <f>T7*T14</f>
        <v>457599.99999999994</v>
      </c>
      <c r="U42" s="154"/>
      <c r="V42" s="3"/>
      <c r="W42" s="3"/>
      <c r="X42" s="3"/>
      <c r="Y42" s="3"/>
      <c r="Z42" s="4"/>
    </row>
    <row r="43" spans="2:26" ht="15.75" thickBot="1" x14ac:dyDescent="0.3">
      <c r="B43" s="10"/>
      <c r="C43" s="11"/>
      <c r="D43" s="11"/>
      <c r="E43" s="11"/>
      <c r="F43" s="42" t="s">
        <v>38</v>
      </c>
      <c r="G43" s="200">
        <f>(E27*G25)/100</f>
        <v>0</v>
      </c>
      <c r="H43" s="200">
        <f>(E27*H25)/100</f>
        <v>0</v>
      </c>
      <c r="I43" s="200">
        <f>(E27*I25)/100</f>
        <v>0</v>
      </c>
      <c r="J43" s="200">
        <f>(E27*J25)/100</f>
        <v>0</v>
      </c>
      <c r="K43" s="200">
        <f>(E27*K25)/100</f>
        <v>0</v>
      </c>
      <c r="L43" s="200" t="s">
        <v>185</v>
      </c>
      <c r="M43" s="71">
        <f t="shared" ref="M43:M47" si="5">SUM(G43:L43)</f>
        <v>0</v>
      </c>
      <c r="P43" s="155"/>
      <c r="Q43" s="154"/>
      <c r="R43" s="154"/>
      <c r="S43" s="110" t="s">
        <v>137</v>
      </c>
      <c r="T43" s="109">
        <f>T42-T41</f>
        <v>370299.99999999994</v>
      </c>
      <c r="U43" s="154"/>
      <c r="V43" s="3"/>
      <c r="W43" s="3"/>
      <c r="X43" s="3"/>
      <c r="Y43" s="3"/>
      <c r="Z43" s="4"/>
    </row>
    <row r="44" spans="2:26" ht="15.75" thickBot="1" x14ac:dyDescent="0.3">
      <c r="B44" s="10"/>
      <c r="C44" s="11"/>
      <c r="D44" s="11"/>
      <c r="E44" s="11"/>
      <c r="F44" s="42" t="s">
        <v>39</v>
      </c>
      <c r="G44" s="200">
        <f>(E27*G26)/100</f>
        <v>0</v>
      </c>
      <c r="H44" s="200">
        <f>(E27*H26)/100</f>
        <v>0</v>
      </c>
      <c r="I44" s="200">
        <f>(E27*I26)/100</f>
        <v>0</v>
      </c>
      <c r="J44" s="200">
        <f>(E27*J26)/100</f>
        <v>0</v>
      </c>
      <c r="K44" s="200">
        <f>(E27*K26)/100</f>
        <v>0</v>
      </c>
      <c r="L44" s="200" t="s">
        <v>185</v>
      </c>
      <c r="M44" s="71">
        <f t="shared" si="5"/>
        <v>0</v>
      </c>
      <c r="P44" s="155"/>
      <c r="Q44" s="154"/>
      <c r="R44" s="154"/>
      <c r="S44" s="111" t="s">
        <v>116</v>
      </c>
      <c r="T44" s="185">
        <f>((T7*T14)-(T41))*(T40)/(T7)*100/100</f>
        <v>3.8765781249999992E-2</v>
      </c>
      <c r="U44" s="154"/>
      <c r="V44" s="3"/>
      <c r="W44" s="3"/>
      <c r="X44" s="3"/>
      <c r="Y44" s="3"/>
      <c r="Z44" s="4"/>
    </row>
    <row r="45" spans="2:26" ht="15.75" thickBot="1" x14ac:dyDescent="0.3">
      <c r="B45" s="10"/>
      <c r="C45" s="11"/>
      <c r="D45" s="11"/>
      <c r="E45" s="11"/>
      <c r="F45" s="42" t="s">
        <v>40</v>
      </c>
      <c r="G45" s="200">
        <f>(E27*G27)/100</f>
        <v>0</v>
      </c>
      <c r="H45" s="200">
        <f>(E27*H27)/100</f>
        <v>0</v>
      </c>
      <c r="I45" s="200">
        <f>(E27*I27)/100</f>
        <v>0</v>
      </c>
      <c r="J45" s="200">
        <f>(E27*J27)/100</f>
        <v>0</v>
      </c>
      <c r="K45" s="200">
        <f>(E27*K27)/100</f>
        <v>0</v>
      </c>
      <c r="L45" s="200" t="s">
        <v>185</v>
      </c>
      <c r="M45" s="71">
        <f>SUM(G45:L45)</f>
        <v>0</v>
      </c>
      <c r="P45" s="105" t="s">
        <v>167</v>
      </c>
      <c r="Q45" s="106"/>
      <c r="R45" s="106"/>
      <c r="S45" s="107"/>
      <c r="T45" s="161" t="s">
        <v>106</v>
      </c>
      <c r="U45" s="154"/>
      <c r="V45" s="3"/>
      <c r="W45" s="3"/>
      <c r="X45" s="3"/>
      <c r="Y45" s="3"/>
      <c r="Z45" s="4"/>
    </row>
    <row r="46" spans="2:26" ht="15.75" thickBot="1" x14ac:dyDescent="0.3">
      <c r="B46" s="10"/>
      <c r="C46" s="11"/>
      <c r="D46" s="11"/>
      <c r="E46" s="11"/>
      <c r="F46" s="42" t="s">
        <v>41</v>
      </c>
      <c r="G46" s="200">
        <f>(E27*G28)/100</f>
        <v>0</v>
      </c>
      <c r="H46" s="200">
        <f>(E27*H28)/100</f>
        <v>0</v>
      </c>
      <c r="I46" s="200">
        <f>(E27*I28)/100</f>
        <v>0</v>
      </c>
      <c r="J46" s="200">
        <f>(E27*J28)/100</f>
        <v>0</v>
      </c>
      <c r="K46" s="200">
        <f>(E27*K28)/100</f>
        <v>0</v>
      </c>
      <c r="L46" s="200" t="s">
        <v>185</v>
      </c>
      <c r="M46" s="71">
        <f t="shared" si="5"/>
        <v>0</v>
      </c>
      <c r="P46" s="105" t="s">
        <v>168</v>
      </c>
      <c r="Q46" s="106"/>
      <c r="R46" s="106"/>
      <c r="S46" s="107"/>
      <c r="T46" s="185">
        <f>((T10*D9)-(E9))*(T40)/(T10)*100/100</f>
        <v>3.1657499999999998E-2</v>
      </c>
      <c r="U46" s="154"/>
      <c r="V46" s="3"/>
      <c r="W46" s="3"/>
      <c r="X46" s="3"/>
      <c r="Y46" s="3"/>
      <c r="Z46" s="4"/>
    </row>
    <row r="47" spans="2:26" ht="15.75" thickBot="1" x14ac:dyDescent="0.3">
      <c r="B47" s="10"/>
      <c r="C47" s="11"/>
      <c r="D47" s="11"/>
      <c r="E47" s="11"/>
      <c r="F47" s="42" t="s">
        <v>42</v>
      </c>
      <c r="G47" s="200">
        <f>(E27*G29)/100</f>
        <v>0</v>
      </c>
      <c r="H47" s="200">
        <f>(E27*H29)/100</f>
        <v>0</v>
      </c>
      <c r="I47" s="200">
        <f>(E27*I29)/100</f>
        <v>0</v>
      </c>
      <c r="J47" s="200">
        <f>(E27*J29)/100</f>
        <v>0</v>
      </c>
      <c r="K47" s="200">
        <f>(E27*K29)/100</f>
        <v>0</v>
      </c>
      <c r="L47" s="200" t="s">
        <v>185</v>
      </c>
      <c r="M47" s="71">
        <f t="shared" si="5"/>
        <v>0</v>
      </c>
      <c r="P47" s="155"/>
      <c r="Q47" s="154"/>
      <c r="R47" s="154"/>
      <c r="S47" s="162" t="s">
        <v>106</v>
      </c>
      <c r="T47" s="125" t="s">
        <v>106</v>
      </c>
      <c r="U47" s="154"/>
      <c r="V47" s="3"/>
      <c r="W47" s="3"/>
      <c r="X47" s="3"/>
      <c r="Y47" s="3"/>
      <c r="Z47" s="4"/>
    </row>
    <row r="48" spans="2:26" ht="15.75" thickBot="1" x14ac:dyDescent="0.3">
      <c r="B48" s="207"/>
      <c r="C48" s="49"/>
      <c r="D48" s="49"/>
      <c r="E48" s="49"/>
      <c r="F48" s="54" t="s">
        <v>43</v>
      </c>
      <c r="G48" s="201">
        <f>(E27*G30)/100</f>
        <v>0</v>
      </c>
      <c r="H48" s="201">
        <f>(E27*H30)/100</f>
        <v>0</v>
      </c>
      <c r="I48" s="201">
        <f>(E27*I30)/100</f>
        <v>0</v>
      </c>
      <c r="J48" s="201">
        <f>(E27*J30)/100</f>
        <v>0</v>
      </c>
      <c r="K48" s="201">
        <f>(E27*K30)/100</f>
        <v>0</v>
      </c>
      <c r="L48" s="201" t="s">
        <v>185</v>
      </c>
      <c r="M48" s="209">
        <f>SUM(G48:L48)</f>
        <v>0</v>
      </c>
      <c r="P48" s="155" t="s">
        <v>106</v>
      </c>
      <c r="Q48" s="154"/>
      <c r="R48" s="154"/>
      <c r="S48" s="156" t="s">
        <v>106</v>
      </c>
      <c r="T48" s="154"/>
      <c r="U48" s="154"/>
      <c r="V48" s="3"/>
      <c r="W48" s="3"/>
      <c r="X48" s="3"/>
      <c r="Y48" s="3"/>
      <c r="Z48" s="4"/>
    </row>
    <row r="49" spans="2:26" ht="15.75" thickBot="1" x14ac:dyDescent="0.3"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P49" s="135"/>
      <c r="Q49" s="136"/>
      <c r="R49" s="137"/>
      <c r="S49" s="154"/>
      <c r="T49" s="154"/>
      <c r="U49" s="154"/>
      <c r="V49" s="3"/>
      <c r="W49" s="3"/>
      <c r="X49" s="3"/>
      <c r="Y49" s="3"/>
      <c r="Z49" s="4"/>
    </row>
    <row r="50" spans="2:26" ht="15.75" thickBot="1" x14ac:dyDescent="0.3">
      <c r="B50" s="246" t="s">
        <v>225</v>
      </c>
      <c r="C50" s="246" t="s">
        <v>226</v>
      </c>
      <c r="D50" s="57"/>
      <c r="E50" s="57"/>
      <c r="F50" s="57"/>
      <c r="G50" s="57"/>
      <c r="H50" s="57"/>
      <c r="I50" s="57"/>
      <c r="J50" s="57"/>
      <c r="K50" s="57"/>
      <c r="L50" s="57"/>
      <c r="M50" s="57"/>
      <c r="P50" s="155"/>
      <c r="Q50" s="154"/>
      <c r="R50" s="154"/>
      <c r="S50" s="111" t="s">
        <v>171</v>
      </c>
      <c r="T50" s="186">
        <f>((T11)*(T18-T44+T46))</f>
        <v>21722.09375</v>
      </c>
      <c r="U50" s="154"/>
      <c r="V50" s="3"/>
      <c r="W50" s="3"/>
      <c r="X50" s="3"/>
      <c r="Y50" s="3"/>
      <c r="Z50" s="4"/>
    </row>
    <row r="51" spans="2:26" ht="15.75" thickBot="1" x14ac:dyDescent="0.3"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P51" s="155"/>
      <c r="Q51" s="154"/>
      <c r="R51" s="154"/>
      <c r="S51" s="111" t="s">
        <v>169</v>
      </c>
      <c r="T51" s="123">
        <f>0.1086105*100/100</f>
        <v>0.1086105</v>
      </c>
      <c r="U51" s="154"/>
      <c r="V51" s="3"/>
      <c r="W51" s="3"/>
      <c r="X51" s="3"/>
      <c r="Y51" s="3"/>
      <c r="Z51" s="4"/>
    </row>
    <row r="52" spans="2:26" ht="15.75" thickBot="1" x14ac:dyDescent="0.3"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P52" s="155"/>
      <c r="Q52" s="154"/>
      <c r="R52" s="154"/>
      <c r="S52" s="154"/>
      <c r="T52" s="154"/>
      <c r="U52" s="154"/>
      <c r="V52" s="3"/>
      <c r="W52" s="3"/>
      <c r="X52" s="3"/>
      <c r="Y52" s="3"/>
      <c r="Z52" s="4"/>
    </row>
    <row r="53" spans="2:26" ht="15.75" thickBot="1" x14ac:dyDescent="0.3"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P53" s="105" t="s">
        <v>170</v>
      </c>
      <c r="Q53" s="106"/>
      <c r="R53" s="106"/>
      <c r="S53" s="107"/>
      <c r="T53" s="154"/>
      <c r="U53" s="154"/>
      <c r="V53" s="3"/>
      <c r="W53" s="3"/>
      <c r="X53" s="3"/>
      <c r="Y53" s="3"/>
      <c r="Z53" s="4"/>
    </row>
    <row r="54" spans="2:26" ht="15.75" thickBot="1" x14ac:dyDescent="0.3"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P54" s="105" t="s">
        <v>162</v>
      </c>
      <c r="Q54" s="106"/>
      <c r="R54" s="106"/>
      <c r="S54" s="106"/>
      <c r="T54" s="141">
        <f>G9</f>
        <v>5.5E-2</v>
      </c>
      <c r="U54" s="141">
        <f>H9</f>
        <v>3.5000000000000003E-2</v>
      </c>
      <c r="V54" s="141">
        <f>I9</f>
        <v>0.12740000000000001</v>
      </c>
      <c r="W54" s="141">
        <f>J9</f>
        <v>2.76E-2</v>
      </c>
      <c r="X54" s="141">
        <f>K9</f>
        <v>0.42</v>
      </c>
      <c r="Y54" s="141">
        <v>0</v>
      </c>
      <c r="Z54" s="143">
        <f>T54+U54+V54+W54+X54+Y54</f>
        <v>0.66500000000000004</v>
      </c>
    </row>
    <row r="55" spans="2:26" ht="15.75" thickBot="1" x14ac:dyDescent="0.3"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P55" s="105" t="s">
        <v>172</v>
      </c>
      <c r="Q55" s="106"/>
      <c r="R55" s="106"/>
      <c r="S55" s="106"/>
      <c r="T55" s="144" t="s">
        <v>106</v>
      </c>
      <c r="U55" s="139" t="s">
        <v>106</v>
      </c>
      <c r="V55" s="139" t="s">
        <v>106</v>
      </c>
      <c r="W55" s="139" t="s">
        <v>106</v>
      </c>
      <c r="X55" s="139" t="s">
        <v>106</v>
      </c>
      <c r="Y55" s="141">
        <f>L10</f>
        <v>0.33500000000000002</v>
      </c>
      <c r="Z55" s="143">
        <f>Y55</f>
        <v>0.33500000000000002</v>
      </c>
    </row>
    <row r="56" spans="2:26" ht="15.75" thickBot="1" x14ac:dyDescent="0.3"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P56" s="105" t="s">
        <v>163</v>
      </c>
      <c r="Q56" s="106"/>
      <c r="R56" s="106"/>
      <c r="S56" s="106"/>
      <c r="T56" s="187">
        <f>T54*T51</f>
        <v>5.9735774999999996E-3</v>
      </c>
      <c r="U56" s="187">
        <f>T51*U54</f>
        <v>3.8013675000000001E-3</v>
      </c>
      <c r="V56" s="187">
        <f>T51*V54</f>
        <v>1.3836977700000001E-2</v>
      </c>
      <c r="W56" s="187">
        <f>T51*W54</f>
        <v>2.9976498000000001E-3</v>
      </c>
      <c r="X56" s="187">
        <f>T51*X54</f>
        <v>4.5616409999999996E-2</v>
      </c>
      <c r="Y56" s="187">
        <f>T51*Y55</f>
        <v>3.6384517500000005E-2</v>
      </c>
      <c r="Z56" s="147">
        <f>T56+U56+V56+W56+X56+Y56</f>
        <v>0.10861050000000001</v>
      </c>
    </row>
    <row r="57" spans="2:26" ht="15.75" thickBot="1" x14ac:dyDescent="0.3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P57" s="105" t="s">
        <v>136</v>
      </c>
      <c r="Q57" s="106"/>
      <c r="R57" s="106"/>
      <c r="S57" s="106"/>
      <c r="T57" s="184">
        <f>T11*T56</f>
        <v>1194.7155</v>
      </c>
      <c r="U57" s="184">
        <f>T11*U56</f>
        <v>760.27350000000001</v>
      </c>
      <c r="V57" s="184">
        <f>T11*V56</f>
        <v>2767.39554</v>
      </c>
      <c r="W57" s="184">
        <f>T11*W56</f>
        <v>599.52995999999996</v>
      </c>
      <c r="X57" s="184">
        <f>T11*X56</f>
        <v>9123.2819999999992</v>
      </c>
      <c r="Y57" s="184">
        <f>T11*Y56</f>
        <v>7276.9035000000013</v>
      </c>
      <c r="Z57" s="188">
        <f>T57+U57+V57+W57+X57+Y57</f>
        <v>21722.1</v>
      </c>
    </row>
    <row r="58" spans="2:26" x14ac:dyDescent="0.25"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</row>
    <row r="59" spans="2:26" ht="15.75" x14ac:dyDescent="0.25"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P59" s="164" t="s">
        <v>173</v>
      </c>
      <c r="Q59" s="165"/>
      <c r="R59" s="165"/>
      <c r="S59" s="165"/>
      <c r="T59" s="166">
        <f>Z37+Z57</f>
        <v>33293.974999999999</v>
      </c>
    </row>
    <row r="60" spans="2:26" x14ac:dyDescent="0.25"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</row>
    <row r="61" spans="2:26" x14ac:dyDescent="0.25"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T61" s="195" t="s">
        <v>106</v>
      </c>
    </row>
    <row r="62" spans="2:26" x14ac:dyDescent="0.25"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</row>
    <row r="63" spans="2:26" x14ac:dyDescent="0.25"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</row>
    <row r="64" spans="2:26" x14ac:dyDescent="0.25"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</row>
    <row r="65" spans="2:13" x14ac:dyDescent="0.25"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</row>
    <row r="66" spans="2:13" x14ac:dyDescent="0.25"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</row>
    <row r="67" spans="2:13" x14ac:dyDescent="0.25"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</row>
    <row r="68" spans="2:13" x14ac:dyDescent="0.25"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</row>
    <row r="69" spans="2:13" x14ac:dyDescent="0.25"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</row>
    <row r="70" spans="2:13" x14ac:dyDescent="0.25"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</row>
    <row r="71" spans="2:13" x14ac:dyDescent="0.25"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</row>
    <row r="72" spans="2:13" x14ac:dyDescent="0.25"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</row>
    <row r="73" spans="2:13" x14ac:dyDescent="0.25"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</row>
    <row r="74" spans="2:13" x14ac:dyDescent="0.25"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</row>
    <row r="75" spans="2:13" x14ac:dyDescent="0.25"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</row>
    <row r="76" spans="2:13" x14ac:dyDescent="0.25"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</row>
    <row r="77" spans="2:13" x14ac:dyDescent="0.25"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</row>
    <row r="78" spans="2:13" x14ac:dyDescent="0.25"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</row>
    <row r="79" spans="2:13" x14ac:dyDescent="0.25"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</row>
    <row r="80" spans="2:13" x14ac:dyDescent="0.25"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</row>
    <row r="81" spans="2:13" x14ac:dyDescent="0.25"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</row>
    <row r="82" spans="2:13" x14ac:dyDescent="0.25"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</row>
    <row r="83" spans="2:13" x14ac:dyDescent="0.25"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</row>
    <row r="84" spans="2:13" x14ac:dyDescent="0.25"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</row>
    <row r="85" spans="2:13" x14ac:dyDescent="0.25"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</row>
  </sheetData>
  <mergeCells count="2">
    <mergeCell ref="B5:C5"/>
    <mergeCell ref="D14:D22"/>
  </mergeCells>
  <pageMargins left="0" right="0" top="0.19685039370078741" bottom="0" header="0.31496062992125984" footer="0.31496062992125984"/>
  <pageSetup paperSize="3" orientation="landscape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59"/>
  <sheetViews>
    <sheetView topLeftCell="A4" workbookViewId="0">
      <selection activeCell="C37" sqref="C37"/>
    </sheetView>
  </sheetViews>
  <sheetFormatPr defaultRowHeight="15" x14ac:dyDescent="0.25"/>
  <cols>
    <col min="1" max="1" width="3.28515625" customWidth="1"/>
    <col min="2" max="2" width="21" customWidth="1"/>
    <col min="3" max="3" width="24" customWidth="1"/>
    <col min="4" max="4" width="7.5703125" customWidth="1"/>
    <col min="5" max="5" width="12.85546875" customWidth="1"/>
    <col min="6" max="6" width="6.28515625" customWidth="1"/>
    <col min="7" max="7" width="7.42578125" customWidth="1"/>
    <col min="8" max="8" width="8" customWidth="1"/>
    <col min="9" max="9" width="7.42578125" customWidth="1"/>
    <col min="10" max="10" width="8.5703125" customWidth="1"/>
    <col min="11" max="11" width="7.140625" customWidth="1"/>
    <col min="12" max="12" width="6.7109375" customWidth="1"/>
    <col min="13" max="13" width="7.42578125" customWidth="1"/>
    <col min="14" max="14" width="7" customWidth="1"/>
    <col min="18" max="18" width="7.5703125" customWidth="1"/>
    <col min="19" max="19" width="47.42578125" customWidth="1"/>
    <col min="20" max="20" width="11.85546875" customWidth="1"/>
    <col min="27" max="27" width="10.7109375" customWidth="1"/>
  </cols>
  <sheetData>
    <row r="1" spans="2:27" ht="25.5" x14ac:dyDescent="0.35">
      <c r="B1" s="6" t="s">
        <v>12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2:27" x14ac:dyDescent="0.2">
      <c r="B2" s="7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2:27" ht="39" thickBot="1" x14ac:dyDescent="0.3">
      <c r="B3" s="8" t="s">
        <v>11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P3" t="s">
        <v>174</v>
      </c>
    </row>
    <row r="4" spans="2:27" ht="16.5" thickBot="1" x14ac:dyDescent="0.3">
      <c r="B4" s="7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  <c r="P4" s="151" t="s">
        <v>175</v>
      </c>
      <c r="Q4" s="152"/>
      <c r="R4" s="152"/>
      <c r="S4" s="152"/>
      <c r="T4" s="152"/>
      <c r="U4" s="152"/>
      <c r="V4" s="152"/>
      <c r="W4" s="152" t="s">
        <v>159</v>
      </c>
      <c r="X4" s="152"/>
      <c r="Y4" s="152"/>
      <c r="Z4" s="152"/>
      <c r="AA4" s="153"/>
    </row>
    <row r="5" spans="2:27" ht="34.5" thickBot="1" x14ac:dyDescent="0.3">
      <c r="B5" s="238" t="s">
        <v>1</v>
      </c>
      <c r="C5" s="239"/>
      <c r="D5" s="74" t="s">
        <v>2</v>
      </c>
      <c r="E5" s="74" t="s">
        <v>3</v>
      </c>
      <c r="F5" s="11"/>
      <c r="G5" s="13" t="s">
        <v>58</v>
      </c>
      <c r="H5" s="13" t="s">
        <v>59</v>
      </c>
      <c r="I5" s="13" t="s">
        <v>60</v>
      </c>
      <c r="J5" s="14" t="s">
        <v>61</v>
      </c>
      <c r="K5" s="13" t="s">
        <v>62</v>
      </c>
      <c r="L5" s="13" t="s">
        <v>63</v>
      </c>
      <c r="M5" s="15" t="s">
        <v>64</v>
      </c>
      <c r="N5" s="12"/>
      <c r="O5" s="57"/>
      <c r="P5" s="7"/>
      <c r="Q5" s="3"/>
      <c r="R5" s="3"/>
      <c r="S5" s="157" t="s">
        <v>140</v>
      </c>
      <c r="T5" s="3"/>
      <c r="U5" s="3"/>
      <c r="V5" s="3"/>
      <c r="W5" s="3"/>
      <c r="X5" s="3"/>
      <c r="Y5" s="3"/>
      <c r="Z5" s="3"/>
      <c r="AA5" s="4"/>
    </row>
    <row r="6" spans="2:27" ht="15.75" thickBot="1" x14ac:dyDescent="0.3">
      <c r="B6" s="16" t="s">
        <v>96</v>
      </c>
      <c r="C6" s="17" t="s">
        <v>4</v>
      </c>
      <c r="D6" s="18">
        <v>4.4999999999999998E-2</v>
      </c>
      <c r="E6" s="19">
        <v>0</v>
      </c>
      <c r="F6" s="11"/>
      <c r="G6" s="100">
        <v>5.5E-2</v>
      </c>
      <c r="H6" s="100">
        <v>3.5000000000000003E-2</v>
      </c>
      <c r="I6" s="100">
        <v>0.11509999999999999</v>
      </c>
      <c r="J6" s="100">
        <v>2.4899999999999999E-2</v>
      </c>
      <c r="K6" s="100">
        <v>0.375</v>
      </c>
      <c r="L6" s="100">
        <v>7.4999999999999997E-2</v>
      </c>
      <c r="M6" s="101">
        <v>0.32</v>
      </c>
      <c r="N6" s="12"/>
      <c r="O6" s="57"/>
      <c r="P6" s="105" t="s">
        <v>107</v>
      </c>
      <c r="Q6" s="106"/>
      <c r="R6" s="106"/>
      <c r="S6" s="107"/>
      <c r="T6" s="108">
        <v>1500000</v>
      </c>
      <c r="U6" s="154"/>
      <c r="V6" s="3"/>
      <c r="W6" s="3"/>
      <c r="X6" s="3"/>
      <c r="Y6" s="3"/>
      <c r="Z6" s="3"/>
      <c r="AA6" s="4"/>
    </row>
    <row r="7" spans="2:27" ht="15.75" thickBot="1" x14ac:dyDescent="0.3">
      <c r="B7" s="16" t="s">
        <v>97</v>
      </c>
      <c r="C7" s="17" t="s">
        <v>5</v>
      </c>
      <c r="D7" s="18">
        <v>7.8E-2</v>
      </c>
      <c r="E7" s="19">
        <v>5940</v>
      </c>
      <c r="F7" s="11"/>
      <c r="G7" s="20">
        <v>5.5E-2</v>
      </c>
      <c r="H7" s="20">
        <v>3.5000000000000003E-2</v>
      </c>
      <c r="I7" s="20">
        <v>0.11509999999999999</v>
      </c>
      <c r="J7" s="20">
        <v>2.4899999999999999E-2</v>
      </c>
      <c r="K7" s="20">
        <v>0.375</v>
      </c>
      <c r="L7" s="20">
        <v>7.4999999999999997E-2</v>
      </c>
      <c r="M7" s="21">
        <v>0.32</v>
      </c>
      <c r="N7" s="12"/>
      <c r="O7" s="57"/>
      <c r="P7" s="105" t="s">
        <v>108</v>
      </c>
      <c r="Q7" s="106"/>
      <c r="R7" s="106"/>
      <c r="S7" s="107"/>
      <c r="T7" s="108">
        <v>3200000</v>
      </c>
      <c r="U7" s="154"/>
      <c r="V7" s="3"/>
      <c r="W7" s="3"/>
      <c r="X7" s="3"/>
      <c r="Y7" s="3"/>
      <c r="Z7" s="3"/>
      <c r="AA7" s="4"/>
    </row>
    <row r="8" spans="2:27" ht="15.75" thickBot="1" x14ac:dyDescent="0.3">
      <c r="B8" s="16" t="s">
        <v>98</v>
      </c>
      <c r="C8" s="17" t="s">
        <v>6</v>
      </c>
      <c r="D8" s="18">
        <v>0.1</v>
      </c>
      <c r="E8" s="19">
        <v>13860</v>
      </c>
      <c r="F8" s="11"/>
      <c r="G8" s="20">
        <v>5.5E-2</v>
      </c>
      <c r="H8" s="20">
        <v>3.5000000000000003E-2</v>
      </c>
      <c r="I8" s="20">
        <v>0.11509999999999999</v>
      </c>
      <c r="J8" s="20">
        <v>2.4899999999999999E-2</v>
      </c>
      <c r="K8" s="20">
        <v>0.375</v>
      </c>
      <c r="L8" s="20">
        <v>7.4999999999999997E-2</v>
      </c>
      <c r="M8" s="21">
        <v>0.32</v>
      </c>
      <c r="N8" s="12"/>
      <c r="O8" s="57"/>
      <c r="P8" s="105" t="s">
        <v>109</v>
      </c>
      <c r="Q8" s="106"/>
      <c r="R8" s="106"/>
      <c r="S8" s="107"/>
      <c r="T8" s="108">
        <v>2000000</v>
      </c>
      <c r="U8" s="154"/>
      <c r="V8" s="3"/>
      <c r="W8" s="3"/>
      <c r="X8" s="3"/>
      <c r="Y8" s="3"/>
      <c r="Z8" s="3"/>
      <c r="AA8" s="4"/>
    </row>
    <row r="9" spans="2:27" ht="15.75" thickBot="1" x14ac:dyDescent="0.3">
      <c r="B9" s="16" t="s">
        <v>99</v>
      </c>
      <c r="C9" s="17" t="s">
        <v>7</v>
      </c>
      <c r="D9" s="18">
        <v>0.112</v>
      </c>
      <c r="E9" s="19">
        <v>22500</v>
      </c>
      <c r="F9" s="11"/>
      <c r="G9" s="20">
        <v>5.5E-2</v>
      </c>
      <c r="H9" s="20">
        <v>3.5000000000000003E-2</v>
      </c>
      <c r="I9" s="20">
        <v>0.11509999999999999</v>
      </c>
      <c r="J9" s="20">
        <v>2.4899999999999999E-2</v>
      </c>
      <c r="K9" s="20">
        <v>0.375</v>
      </c>
      <c r="L9" s="20">
        <v>7.4999999999999997E-2</v>
      </c>
      <c r="M9" s="21">
        <v>0.32</v>
      </c>
      <c r="N9" s="12"/>
      <c r="O9" s="57"/>
      <c r="P9" s="105" t="s">
        <v>110</v>
      </c>
      <c r="Q9" s="106"/>
      <c r="R9" s="106"/>
      <c r="S9" s="107"/>
      <c r="T9" s="108">
        <v>300000</v>
      </c>
      <c r="U9" s="154"/>
      <c r="V9" s="3"/>
      <c r="W9" s="3"/>
      <c r="X9" s="3"/>
      <c r="Y9" s="3"/>
      <c r="Z9" s="3"/>
      <c r="AA9" s="4"/>
    </row>
    <row r="10" spans="2:27" ht="15.75" thickBot="1" x14ac:dyDescent="0.3">
      <c r="B10" s="16" t="s">
        <v>100</v>
      </c>
      <c r="C10" s="17" t="s">
        <v>8</v>
      </c>
      <c r="D10" s="18">
        <v>0.14699999999999999</v>
      </c>
      <c r="E10" s="19">
        <v>85500</v>
      </c>
      <c r="F10" s="11"/>
      <c r="G10" s="20">
        <v>5.5E-2</v>
      </c>
      <c r="H10" s="20">
        <v>3.5000000000000003E-2</v>
      </c>
      <c r="I10" s="20">
        <v>0.11509999999999999</v>
      </c>
      <c r="J10" s="20">
        <v>2.4899999999999999E-2</v>
      </c>
      <c r="K10" s="20">
        <v>0.375</v>
      </c>
      <c r="L10" s="20">
        <v>7.4999999999999997E-2</v>
      </c>
      <c r="M10" s="21">
        <v>0.32</v>
      </c>
      <c r="N10" s="12"/>
      <c r="O10" s="57"/>
      <c r="P10" s="105" t="s">
        <v>145</v>
      </c>
      <c r="Q10" s="106"/>
      <c r="R10" s="106"/>
      <c r="S10" s="107"/>
      <c r="T10" s="108">
        <v>1800000</v>
      </c>
      <c r="U10" s="154"/>
      <c r="V10" s="3"/>
      <c r="W10" s="3"/>
      <c r="X10" s="3"/>
      <c r="Y10" s="3"/>
      <c r="Z10" s="3"/>
      <c r="AA10" s="4"/>
    </row>
    <row r="11" spans="2:27" ht="15.75" thickBot="1" x14ac:dyDescent="0.3">
      <c r="B11" s="16" t="s">
        <v>101</v>
      </c>
      <c r="C11" s="17" t="s">
        <v>9</v>
      </c>
      <c r="D11" s="18">
        <v>0.3</v>
      </c>
      <c r="E11" s="19">
        <v>720000</v>
      </c>
      <c r="F11" s="11"/>
      <c r="G11" s="22">
        <v>8.5000000000000006E-2</v>
      </c>
      <c r="H11" s="22">
        <v>7.4999999999999997E-2</v>
      </c>
      <c r="I11" s="22">
        <v>0.20960000000000001</v>
      </c>
      <c r="J11" s="22">
        <v>4.5400000000000003E-2</v>
      </c>
      <c r="K11" s="22">
        <v>0.23499999999999999</v>
      </c>
      <c r="L11" s="22">
        <v>0.35</v>
      </c>
      <c r="M11" s="23">
        <v>0</v>
      </c>
      <c r="N11" s="12"/>
      <c r="O11" s="57"/>
      <c r="P11" s="105" t="s">
        <v>111</v>
      </c>
      <c r="Q11" s="106"/>
      <c r="R11" s="106"/>
      <c r="S11" s="107"/>
      <c r="T11" s="109">
        <f>T8-T10</f>
        <v>200000</v>
      </c>
      <c r="U11" s="154"/>
      <c r="V11" s="3"/>
      <c r="W11" s="3"/>
      <c r="X11" s="3"/>
      <c r="Y11" s="3"/>
      <c r="Z11" s="3"/>
      <c r="AA11" s="4"/>
    </row>
    <row r="12" spans="2:27" ht="15.75" thickBot="1" x14ac:dyDescent="0.3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2"/>
      <c r="O12" s="57"/>
      <c r="P12" s="105" t="s">
        <v>112</v>
      </c>
      <c r="Q12" s="106"/>
      <c r="R12" s="106"/>
      <c r="S12" s="107"/>
      <c r="T12" s="109">
        <f>T9-T11</f>
        <v>100000</v>
      </c>
      <c r="U12" s="154"/>
      <c r="V12" s="3"/>
      <c r="W12" s="3"/>
      <c r="X12" s="3"/>
      <c r="Y12" s="3"/>
      <c r="Z12" s="3"/>
      <c r="AA12" s="4"/>
    </row>
    <row r="13" spans="2:27" ht="15.75" thickBot="1" x14ac:dyDescent="0.3">
      <c r="B13" s="103" t="s">
        <v>94</v>
      </c>
      <c r="C13" s="11"/>
      <c r="D13" s="11"/>
      <c r="E13" s="11" t="s">
        <v>69</v>
      </c>
      <c r="F13" s="11"/>
      <c r="G13" s="11"/>
      <c r="H13" s="11"/>
      <c r="I13" s="11"/>
      <c r="J13" s="11"/>
      <c r="K13" s="11"/>
      <c r="L13" s="11"/>
      <c r="M13" s="11"/>
      <c r="N13" s="12"/>
      <c r="O13" s="57"/>
      <c r="P13" s="155"/>
      <c r="Q13" s="157" t="s">
        <v>141</v>
      </c>
      <c r="R13" s="157"/>
      <c r="S13" s="157"/>
      <c r="T13" s="154"/>
      <c r="U13" s="154"/>
      <c r="V13" s="3"/>
      <c r="W13" s="3"/>
      <c r="X13" s="3"/>
      <c r="Y13" s="3"/>
      <c r="Z13" s="3"/>
      <c r="AA13" s="4"/>
    </row>
    <row r="14" spans="2:27" ht="23.25" thickBot="1" x14ac:dyDescent="0.3">
      <c r="B14" s="79" t="s">
        <v>16</v>
      </c>
      <c r="C14" s="80" t="s">
        <v>17</v>
      </c>
      <c r="D14" s="242"/>
      <c r="E14" s="81">
        <v>2500000</v>
      </c>
      <c r="F14" s="11"/>
      <c r="G14" s="11"/>
      <c r="H14" s="11" t="s">
        <v>51</v>
      </c>
      <c r="I14" s="11"/>
      <c r="J14" s="11"/>
      <c r="K14" s="11"/>
      <c r="L14" s="11"/>
      <c r="M14" s="11"/>
      <c r="N14" s="12"/>
      <c r="O14" s="57"/>
      <c r="P14" s="105" t="s">
        <v>113</v>
      </c>
      <c r="Q14" s="106"/>
      <c r="R14" s="106"/>
      <c r="S14" s="107"/>
      <c r="T14" s="112">
        <f>D10</f>
        <v>0.14699999999999999</v>
      </c>
      <c r="U14" s="154"/>
      <c r="V14" s="3"/>
      <c r="W14" s="3"/>
      <c r="X14" s="3"/>
      <c r="Y14" s="3"/>
      <c r="Z14" s="3"/>
      <c r="AA14" s="4"/>
    </row>
    <row r="15" spans="2:27" ht="15.75" thickBot="1" x14ac:dyDescent="0.3">
      <c r="B15" s="24" t="s">
        <v>88</v>
      </c>
      <c r="C15" s="85" t="s">
        <v>2</v>
      </c>
      <c r="D15" s="240"/>
      <c r="E15" s="62">
        <f>IF(E14&lt;=180000,D6, IF(E14&lt;=360000,D7, IF(E14&lt;=720000,D8,IF(E14&lt;=1800000,D9,IF(E14&lt;=3600000,D10,IF(E14&lt;=4800000,D11, "excluido"))))))</f>
        <v>0.14699999999999999</v>
      </c>
      <c r="F15" s="68"/>
      <c r="G15" s="69" t="s">
        <v>32</v>
      </c>
      <c r="H15" s="69" t="s">
        <v>33</v>
      </c>
      <c r="I15" s="69" t="s">
        <v>34</v>
      </c>
      <c r="J15" s="69" t="s">
        <v>35</v>
      </c>
      <c r="K15" s="69" t="s">
        <v>36</v>
      </c>
      <c r="L15" s="69" t="s">
        <v>65</v>
      </c>
      <c r="M15" s="69" t="s">
        <v>66</v>
      </c>
      <c r="N15" s="70" t="s">
        <v>67</v>
      </c>
      <c r="O15" s="57"/>
      <c r="P15" s="105" t="s">
        <v>114</v>
      </c>
      <c r="Q15" s="106"/>
      <c r="R15" s="106"/>
      <c r="S15" s="107"/>
      <c r="T15" s="110">
        <f>E10</f>
        <v>85500</v>
      </c>
      <c r="U15" s="154"/>
      <c r="V15" s="3"/>
      <c r="W15" s="3"/>
      <c r="X15" s="3"/>
      <c r="Y15" s="3"/>
      <c r="Z15" s="3"/>
      <c r="AA15" s="4"/>
    </row>
    <row r="16" spans="2:27" ht="15.75" thickBot="1" x14ac:dyDescent="0.3">
      <c r="B16" s="28" t="s">
        <v>89</v>
      </c>
      <c r="C16" s="35" t="s">
        <v>18</v>
      </c>
      <c r="D16" s="240"/>
      <c r="E16" s="58">
        <f>E14*E15</f>
        <v>367500</v>
      </c>
      <c r="F16" s="42" t="s">
        <v>38</v>
      </c>
      <c r="G16" s="45">
        <f>E22*G6</f>
        <v>6.2040000000000003E-3</v>
      </c>
      <c r="H16" s="45">
        <f>E22*H6</f>
        <v>3.9480000000000001E-3</v>
      </c>
      <c r="I16" s="45">
        <f>E22*I6</f>
        <v>1.298328E-2</v>
      </c>
      <c r="J16" s="45">
        <f>E22*J6</f>
        <v>2.8087199999999998E-3</v>
      </c>
      <c r="K16" s="45">
        <f>E22*K6</f>
        <v>4.2299999999999997E-2</v>
      </c>
      <c r="L16" s="45">
        <f>E22*L6</f>
        <v>8.4599999999999988E-3</v>
      </c>
      <c r="M16" s="45">
        <f>E22*M6</f>
        <v>3.6096000000000003E-2</v>
      </c>
      <c r="N16" s="71">
        <f t="shared" ref="N16:N21" si="0">SUM(G16:M16)</f>
        <v>0.1128</v>
      </c>
      <c r="O16" s="57"/>
      <c r="P16" s="105" t="s">
        <v>176</v>
      </c>
      <c r="Q16" s="106"/>
      <c r="R16" s="106"/>
      <c r="S16" s="107"/>
      <c r="T16" s="108">
        <f>(T7*T14)</f>
        <v>470400</v>
      </c>
      <c r="U16" s="154"/>
      <c r="V16" s="3"/>
      <c r="W16" s="3"/>
      <c r="X16" s="3"/>
      <c r="Y16" s="3"/>
      <c r="Z16" s="3"/>
      <c r="AA16" s="4"/>
    </row>
    <row r="17" spans="2:27" ht="15.75" thickBot="1" x14ac:dyDescent="0.3">
      <c r="B17" s="31">
        <v>10000</v>
      </c>
      <c r="C17" s="35" t="s">
        <v>19</v>
      </c>
      <c r="D17" s="240"/>
      <c r="E17" s="59">
        <f>IF(E14&lt;=180000,E6, IF(E14&lt;=360000,E7, IF(E14&lt;=720000,E8,IF(E14&lt;=1800000,E9,IF(E14&lt;=3600000,E10,IF(E14&lt;=4800000,E11, "excluido"))))))</f>
        <v>85500</v>
      </c>
      <c r="F17" s="42" t="s">
        <v>39</v>
      </c>
      <c r="G17" s="45">
        <f>E22*G7</f>
        <v>6.2040000000000003E-3</v>
      </c>
      <c r="H17" s="45">
        <f>E22*H7</f>
        <v>3.9480000000000001E-3</v>
      </c>
      <c r="I17" s="45">
        <f>E22*I7</f>
        <v>1.298328E-2</v>
      </c>
      <c r="J17" s="45">
        <f>E22*J7</f>
        <v>2.8087199999999998E-3</v>
      </c>
      <c r="K17" s="45">
        <f>E22*K7</f>
        <v>4.2299999999999997E-2</v>
      </c>
      <c r="L17" s="45">
        <f>E22*L7</f>
        <v>8.4599999999999988E-3</v>
      </c>
      <c r="M17" s="45">
        <f>E22*M7</f>
        <v>3.6096000000000003E-2</v>
      </c>
      <c r="N17" s="71">
        <f t="shared" si="0"/>
        <v>0.1128</v>
      </c>
      <c r="O17" s="57"/>
      <c r="P17" s="155"/>
      <c r="Q17" s="154"/>
      <c r="R17" s="154"/>
      <c r="S17" s="110" t="s">
        <v>137</v>
      </c>
      <c r="T17" s="109">
        <f>T16-T15</f>
        <v>384900</v>
      </c>
      <c r="U17" s="154"/>
      <c r="V17" s="3"/>
      <c r="W17" s="3"/>
      <c r="X17" s="3"/>
      <c r="Y17" s="3"/>
      <c r="Z17" s="3"/>
      <c r="AA17" s="4"/>
    </row>
    <row r="18" spans="2:27" ht="15.75" thickBot="1" x14ac:dyDescent="0.3">
      <c r="B18" s="32">
        <v>12</v>
      </c>
      <c r="C18" s="35" t="s">
        <v>24</v>
      </c>
      <c r="D18" s="240"/>
      <c r="E18" s="58">
        <f>E16-E17</f>
        <v>282000</v>
      </c>
      <c r="F18" s="42" t="s">
        <v>40</v>
      </c>
      <c r="G18" s="45">
        <f>E22*G8</f>
        <v>6.2040000000000003E-3</v>
      </c>
      <c r="H18" s="45">
        <f>E22*H8</f>
        <v>3.9480000000000001E-3</v>
      </c>
      <c r="I18" s="45">
        <f>E22*I8</f>
        <v>1.298328E-2</v>
      </c>
      <c r="J18" s="45">
        <f>E22*J8</f>
        <v>2.8087199999999998E-3</v>
      </c>
      <c r="K18" s="45">
        <f>E22*K8</f>
        <v>4.2299999999999997E-2</v>
      </c>
      <c r="L18" s="45">
        <f>E22*L8</f>
        <v>8.4599999999999988E-3</v>
      </c>
      <c r="M18" s="45">
        <f>E22*M8</f>
        <v>3.6096000000000003E-2</v>
      </c>
      <c r="N18" s="71">
        <f t="shared" si="0"/>
        <v>0.1128</v>
      </c>
      <c r="O18" s="57"/>
      <c r="P18" s="155"/>
      <c r="Q18" s="154"/>
      <c r="R18" s="154"/>
      <c r="S18" s="111" t="s">
        <v>116</v>
      </c>
      <c r="T18" s="161">
        <f>T17/T7</f>
        <v>0.12028125000000001</v>
      </c>
      <c r="U18" s="154"/>
      <c r="V18" s="3"/>
      <c r="W18" s="3"/>
      <c r="X18" s="3"/>
      <c r="Y18" s="3"/>
      <c r="Z18" s="3"/>
      <c r="AA18" s="4"/>
    </row>
    <row r="19" spans="2:27" ht="15.75" thickBot="1" x14ac:dyDescent="0.3">
      <c r="B19" s="86">
        <f>B17*B18</f>
        <v>120000</v>
      </c>
      <c r="C19" s="35" t="s">
        <v>20</v>
      </c>
      <c r="D19" s="240"/>
      <c r="E19" s="60">
        <f>E18/E14</f>
        <v>0.1128</v>
      </c>
      <c r="F19" s="42" t="s">
        <v>41</v>
      </c>
      <c r="G19" s="45">
        <f>E22*G9</f>
        <v>6.2040000000000003E-3</v>
      </c>
      <c r="H19" s="45">
        <f>E22*H9</f>
        <v>3.9480000000000001E-3</v>
      </c>
      <c r="I19" s="45">
        <f>E22*I9</f>
        <v>1.298328E-2</v>
      </c>
      <c r="J19" s="45">
        <f>E22*J9</f>
        <v>2.8087199999999998E-3</v>
      </c>
      <c r="K19" s="45">
        <f>E22*K9</f>
        <v>4.2299999999999997E-2</v>
      </c>
      <c r="L19" s="45">
        <f>E22*L9</f>
        <v>8.4599999999999988E-3</v>
      </c>
      <c r="M19" s="45">
        <f>E22*M9</f>
        <v>3.6096000000000003E-2</v>
      </c>
      <c r="N19" s="71">
        <f t="shared" si="0"/>
        <v>0.1128</v>
      </c>
      <c r="O19" s="57"/>
      <c r="P19" s="155"/>
      <c r="Q19" s="154"/>
      <c r="R19" s="154"/>
      <c r="S19" s="111" t="s">
        <v>117</v>
      </c>
      <c r="T19" s="112">
        <f>D10</f>
        <v>0.14699999999999999</v>
      </c>
      <c r="U19" s="154"/>
      <c r="V19" s="3"/>
      <c r="W19" s="3"/>
      <c r="X19" s="3"/>
      <c r="Y19" s="3"/>
      <c r="Z19" s="3"/>
      <c r="AA19" s="4"/>
    </row>
    <row r="20" spans="2:27" ht="15.75" thickBot="1" x14ac:dyDescent="0.3">
      <c r="B20" s="10"/>
      <c r="C20" s="35" t="s">
        <v>21</v>
      </c>
      <c r="D20" s="240"/>
      <c r="E20" s="60">
        <f>E19*100</f>
        <v>11.28</v>
      </c>
      <c r="F20" s="42" t="s">
        <v>42</v>
      </c>
      <c r="G20" s="45">
        <f>E22*G10</f>
        <v>6.2040000000000003E-3</v>
      </c>
      <c r="H20" s="45">
        <f>E22*H10</f>
        <v>3.9480000000000001E-3</v>
      </c>
      <c r="I20" s="45">
        <f>E22*I10</f>
        <v>1.298328E-2</v>
      </c>
      <c r="J20" s="45">
        <f>E22*J10</f>
        <v>2.8087199999999998E-3</v>
      </c>
      <c r="K20" s="45">
        <f>E22*K10</f>
        <v>4.2299999999999997E-2</v>
      </c>
      <c r="L20" s="45">
        <f>E22*L10</f>
        <v>8.4599999999999988E-3</v>
      </c>
      <c r="M20" s="45">
        <f>E22*M10</f>
        <v>3.6096000000000003E-2</v>
      </c>
      <c r="N20" s="71">
        <f t="shared" si="0"/>
        <v>0.1128</v>
      </c>
      <c r="O20" s="57"/>
      <c r="P20" s="155"/>
      <c r="Q20" s="154"/>
      <c r="R20" s="154"/>
      <c r="S20" s="154"/>
      <c r="T20" s="154"/>
      <c r="U20" s="154"/>
      <c r="V20" s="3"/>
      <c r="W20" s="3"/>
      <c r="X20" s="3"/>
      <c r="Y20" s="3"/>
      <c r="Z20" s="3"/>
      <c r="AA20" s="4"/>
    </row>
    <row r="21" spans="2:27" ht="15.75" thickBot="1" x14ac:dyDescent="0.3">
      <c r="B21" s="24" t="s">
        <v>93</v>
      </c>
      <c r="C21" s="91" t="s">
        <v>23</v>
      </c>
      <c r="D21" s="240"/>
      <c r="E21" s="61">
        <v>1</v>
      </c>
      <c r="F21" s="54" t="s">
        <v>43</v>
      </c>
      <c r="G21" s="55">
        <f>E22*G11</f>
        <v>9.588000000000001E-3</v>
      </c>
      <c r="H21" s="55">
        <f>E22*H11</f>
        <v>8.4599999999999988E-3</v>
      </c>
      <c r="I21" s="55">
        <f>E22*I11</f>
        <v>2.3642880000000002E-2</v>
      </c>
      <c r="J21" s="55">
        <f>E22*J11</f>
        <v>5.1211199999999998E-3</v>
      </c>
      <c r="K21" s="55">
        <f>E22*K11</f>
        <v>2.6507999999999997E-2</v>
      </c>
      <c r="L21" s="55">
        <f>E22*L11</f>
        <v>3.9479999999999994E-2</v>
      </c>
      <c r="M21" s="55">
        <f>E22*M11</f>
        <v>0</v>
      </c>
      <c r="N21" s="72">
        <f t="shared" si="0"/>
        <v>0.11279999999999998</v>
      </c>
      <c r="O21" s="57"/>
      <c r="P21" s="155"/>
      <c r="Q21" s="154"/>
      <c r="R21" s="154"/>
      <c r="S21" s="156" t="s">
        <v>106</v>
      </c>
      <c r="T21" s="154"/>
      <c r="U21" s="154"/>
      <c r="V21" s="3"/>
      <c r="W21" s="3"/>
      <c r="X21" s="3"/>
      <c r="Y21" s="3"/>
      <c r="Z21" s="3"/>
      <c r="AA21" s="4"/>
    </row>
    <row r="22" spans="2:27" ht="15.75" thickBot="1" x14ac:dyDescent="0.3">
      <c r="B22" s="28" t="s">
        <v>90</v>
      </c>
      <c r="C22" s="35" t="s">
        <v>22</v>
      </c>
      <c r="D22" s="241"/>
      <c r="E22" s="30">
        <f>E21*E20%</f>
        <v>0.1128</v>
      </c>
      <c r="F22" s="37"/>
      <c r="G22" s="11"/>
      <c r="H22" s="11" t="s">
        <v>51</v>
      </c>
      <c r="I22" s="11"/>
      <c r="J22" s="11"/>
      <c r="K22" s="11"/>
      <c r="L22" s="11"/>
      <c r="M22" s="11"/>
      <c r="N22" s="12"/>
      <c r="O22" s="57"/>
      <c r="P22" s="155" t="s">
        <v>106</v>
      </c>
      <c r="Q22" s="154" t="s">
        <v>106</v>
      </c>
      <c r="R22" s="154" t="s">
        <v>106</v>
      </c>
      <c r="S22" s="154"/>
      <c r="T22" s="154"/>
      <c r="U22" s="154"/>
      <c r="V22" s="3"/>
      <c r="W22" s="3"/>
      <c r="X22" s="3"/>
      <c r="Y22" s="3"/>
      <c r="Z22" s="3"/>
      <c r="AA22" s="4"/>
    </row>
    <row r="23" spans="2:27" ht="15.75" thickBot="1" x14ac:dyDescent="0.25">
      <c r="B23" s="32" t="s">
        <v>91</v>
      </c>
      <c r="C23" s="11"/>
      <c r="D23" s="11"/>
      <c r="E23" s="11"/>
      <c r="F23" s="38"/>
      <c r="G23" s="26"/>
      <c r="H23" s="39" t="s">
        <v>45</v>
      </c>
      <c r="I23" s="26" t="s">
        <v>44</v>
      </c>
      <c r="J23" s="26"/>
      <c r="K23" s="26"/>
      <c r="L23" s="26"/>
      <c r="M23" s="27"/>
      <c r="N23" s="27" t="s">
        <v>67</v>
      </c>
      <c r="O23" s="57"/>
      <c r="P23" s="155" t="s">
        <v>106</v>
      </c>
      <c r="Q23" s="154" t="s">
        <v>106</v>
      </c>
      <c r="R23" s="154" t="s">
        <v>106</v>
      </c>
      <c r="S23" s="154"/>
      <c r="T23" s="189" t="s">
        <v>106</v>
      </c>
      <c r="U23" s="154"/>
      <c r="V23" s="3"/>
      <c r="W23" s="3"/>
      <c r="X23" s="3"/>
      <c r="Y23" s="3"/>
      <c r="Z23" s="3"/>
      <c r="AA23" s="4"/>
    </row>
    <row r="24" spans="2:27" ht="15.75" thickBot="1" x14ac:dyDescent="0.3">
      <c r="B24" s="31">
        <v>10000</v>
      </c>
      <c r="C24" s="93" t="s">
        <v>47</v>
      </c>
      <c r="D24" s="26"/>
      <c r="E24" s="94">
        <v>15000</v>
      </c>
      <c r="F24" s="102"/>
      <c r="G24" s="69" t="s">
        <v>32</v>
      </c>
      <c r="H24" s="69" t="s">
        <v>33</v>
      </c>
      <c r="I24" s="69" t="s">
        <v>34</v>
      </c>
      <c r="J24" s="69" t="s">
        <v>35</v>
      </c>
      <c r="K24" s="69" t="s">
        <v>36</v>
      </c>
      <c r="L24" s="69" t="s">
        <v>65</v>
      </c>
      <c r="M24" s="69" t="s">
        <v>66</v>
      </c>
      <c r="N24" s="70" t="s">
        <v>68</v>
      </c>
      <c r="O24" s="57"/>
      <c r="P24" s="155"/>
      <c r="Q24" s="154"/>
      <c r="R24" s="154"/>
      <c r="S24" s="154" t="s">
        <v>106</v>
      </c>
      <c r="T24" s="189" t="s">
        <v>106</v>
      </c>
      <c r="U24" s="154"/>
      <c r="V24" s="3"/>
      <c r="W24" s="3"/>
      <c r="X24" s="3"/>
      <c r="Y24" s="3"/>
      <c r="Z24" s="3"/>
      <c r="AA24" s="4"/>
    </row>
    <row r="25" spans="2:27" x14ac:dyDescent="0.2">
      <c r="B25" s="31">
        <v>10000</v>
      </c>
      <c r="C25" s="96" t="s">
        <v>48</v>
      </c>
      <c r="D25" s="11"/>
      <c r="E25" s="11">
        <f>E20</f>
        <v>11.28</v>
      </c>
      <c r="F25" s="42" t="s">
        <v>38</v>
      </c>
      <c r="G25" s="45">
        <f t="shared" ref="G25:L30" si="1">G16*100</f>
        <v>0.62040000000000006</v>
      </c>
      <c r="H25" s="45">
        <f t="shared" si="1"/>
        <v>0.39480000000000004</v>
      </c>
      <c r="I25" s="45">
        <f t="shared" si="1"/>
        <v>1.2983279999999999</v>
      </c>
      <c r="J25" s="45">
        <f t="shared" si="1"/>
        <v>0.28087199999999996</v>
      </c>
      <c r="K25" s="45">
        <f t="shared" si="1"/>
        <v>4.2299999999999995</v>
      </c>
      <c r="L25" s="45">
        <f t="shared" si="1"/>
        <v>0.84599999999999986</v>
      </c>
      <c r="M25" s="45">
        <f t="shared" ref="M25:M30" si="2">M16*100</f>
        <v>3.6096000000000004</v>
      </c>
      <c r="N25" s="46">
        <f t="shared" ref="N25:N30" si="3">SUM(G25:M25)</f>
        <v>11.28</v>
      </c>
      <c r="O25" s="57"/>
      <c r="P25" s="155"/>
      <c r="Q25" s="154"/>
      <c r="R25" s="154"/>
      <c r="S25" s="154" t="s">
        <v>106</v>
      </c>
      <c r="T25" s="189" t="s">
        <v>106</v>
      </c>
      <c r="U25" s="154"/>
      <c r="V25" s="3"/>
      <c r="W25" s="3"/>
      <c r="X25" s="3"/>
      <c r="Y25" s="3"/>
      <c r="Z25" s="3"/>
      <c r="AA25" s="4"/>
    </row>
    <row r="26" spans="2:27" ht="15.75" thickBot="1" x14ac:dyDescent="0.25">
      <c r="B26" s="47">
        <f>B24+B25</f>
        <v>20000</v>
      </c>
      <c r="C26" s="97" t="s">
        <v>46</v>
      </c>
      <c r="D26" s="49"/>
      <c r="E26" s="50">
        <f>E24*E25%</f>
        <v>1692</v>
      </c>
      <c r="F26" s="42" t="s">
        <v>39</v>
      </c>
      <c r="G26" s="45">
        <f t="shared" si="1"/>
        <v>0.62040000000000006</v>
      </c>
      <c r="H26" s="45">
        <f t="shared" si="1"/>
        <v>0.39480000000000004</v>
      </c>
      <c r="I26" s="45">
        <f t="shared" si="1"/>
        <v>1.2983279999999999</v>
      </c>
      <c r="J26" s="45">
        <f t="shared" si="1"/>
        <v>0.28087199999999996</v>
      </c>
      <c r="K26" s="45">
        <f t="shared" si="1"/>
        <v>4.2299999999999995</v>
      </c>
      <c r="L26" s="45">
        <f t="shared" si="1"/>
        <v>0.84599999999999986</v>
      </c>
      <c r="M26" s="45">
        <f t="shared" si="2"/>
        <v>3.6096000000000004</v>
      </c>
      <c r="N26" s="46">
        <f t="shared" si="3"/>
        <v>11.28</v>
      </c>
      <c r="O26" s="57"/>
      <c r="P26" s="155"/>
      <c r="Q26" s="154"/>
      <c r="R26" s="154"/>
      <c r="S26" s="154" t="s">
        <v>106</v>
      </c>
      <c r="T26" s="190" t="s">
        <v>106</v>
      </c>
      <c r="U26" s="154"/>
      <c r="V26" s="3"/>
      <c r="W26" s="3"/>
      <c r="X26" s="3"/>
      <c r="Y26" s="3"/>
      <c r="Z26" s="3"/>
      <c r="AA26" s="4"/>
    </row>
    <row r="27" spans="2:27" x14ac:dyDescent="0.2">
      <c r="B27" s="28" t="s">
        <v>95</v>
      </c>
      <c r="C27" s="11"/>
      <c r="D27" s="11"/>
      <c r="E27" s="11"/>
      <c r="F27" s="42" t="s">
        <v>40</v>
      </c>
      <c r="G27" s="45">
        <f t="shared" si="1"/>
        <v>0.62040000000000006</v>
      </c>
      <c r="H27" s="45">
        <f t="shared" si="1"/>
        <v>0.39480000000000004</v>
      </c>
      <c r="I27" s="45">
        <f t="shared" si="1"/>
        <v>1.2983279999999999</v>
      </c>
      <c r="J27" s="45">
        <f t="shared" si="1"/>
        <v>0.28087199999999996</v>
      </c>
      <c r="K27" s="45">
        <f t="shared" si="1"/>
        <v>4.2299999999999995</v>
      </c>
      <c r="L27" s="45">
        <f t="shared" si="1"/>
        <v>0.84599999999999986</v>
      </c>
      <c r="M27" s="45">
        <f t="shared" si="2"/>
        <v>3.6096000000000004</v>
      </c>
      <c r="N27" s="46">
        <f t="shared" si="3"/>
        <v>11.28</v>
      </c>
      <c r="O27" s="57"/>
      <c r="P27" s="155"/>
      <c r="Q27" s="154"/>
      <c r="R27" s="154"/>
      <c r="S27" s="154" t="s">
        <v>106</v>
      </c>
      <c r="T27" s="191" t="s">
        <v>106</v>
      </c>
      <c r="U27" s="154"/>
      <c r="V27" s="3"/>
      <c r="W27" s="3"/>
      <c r="X27" s="3"/>
      <c r="Y27" s="3"/>
      <c r="Z27" s="3"/>
      <c r="AA27" s="4"/>
    </row>
    <row r="28" spans="2:27" x14ac:dyDescent="0.2">
      <c r="B28" s="47">
        <f>B26/2</f>
        <v>10000</v>
      </c>
      <c r="C28" s="11"/>
      <c r="D28" s="11"/>
      <c r="E28" s="11"/>
      <c r="F28" s="42" t="s">
        <v>41</v>
      </c>
      <c r="G28" s="45">
        <f t="shared" si="1"/>
        <v>0.62040000000000006</v>
      </c>
      <c r="H28" s="45">
        <f t="shared" si="1"/>
        <v>0.39480000000000004</v>
      </c>
      <c r="I28" s="45">
        <f t="shared" si="1"/>
        <v>1.2983279999999999</v>
      </c>
      <c r="J28" s="45">
        <f t="shared" si="1"/>
        <v>0.28087199999999996</v>
      </c>
      <c r="K28" s="45">
        <f t="shared" si="1"/>
        <v>4.2299999999999995</v>
      </c>
      <c r="L28" s="45">
        <f t="shared" si="1"/>
        <v>0.84599999999999986</v>
      </c>
      <c r="M28" s="45">
        <f t="shared" si="2"/>
        <v>3.6096000000000004</v>
      </c>
      <c r="N28" s="46">
        <f t="shared" si="3"/>
        <v>11.28</v>
      </c>
      <c r="O28" s="57"/>
      <c r="P28" s="155"/>
      <c r="Q28" s="154"/>
      <c r="R28" s="154"/>
      <c r="S28" s="154" t="s">
        <v>106</v>
      </c>
      <c r="T28" s="154"/>
      <c r="U28" s="154"/>
      <c r="V28" s="3"/>
      <c r="W28" s="3"/>
      <c r="X28" s="3"/>
      <c r="Y28" s="3"/>
      <c r="Z28" s="3"/>
      <c r="AA28" s="4"/>
    </row>
    <row r="29" spans="2:27" x14ac:dyDescent="0.2">
      <c r="B29" s="28" t="s">
        <v>92</v>
      </c>
      <c r="C29" s="11"/>
      <c r="D29" s="11"/>
      <c r="E29" s="11"/>
      <c r="F29" s="42" t="s">
        <v>42</v>
      </c>
      <c r="G29" s="45">
        <f t="shared" si="1"/>
        <v>0.62040000000000006</v>
      </c>
      <c r="H29" s="45">
        <f t="shared" si="1"/>
        <v>0.39480000000000004</v>
      </c>
      <c r="I29" s="45">
        <f t="shared" si="1"/>
        <v>1.2983279999999999</v>
      </c>
      <c r="J29" s="45">
        <f t="shared" si="1"/>
        <v>0.28087199999999996</v>
      </c>
      <c r="K29" s="45">
        <f t="shared" si="1"/>
        <v>4.2299999999999995</v>
      </c>
      <c r="L29" s="45">
        <f t="shared" si="1"/>
        <v>0.84599999999999986</v>
      </c>
      <c r="M29" s="45">
        <f t="shared" si="2"/>
        <v>3.6096000000000004</v>
      </c>
      <c r="N29" s="46">
        <f t="shared" si="3"/>
        <v>11.28</v>
      </c>
      <c r="O29" s="57"/>
      <c r="P29" s="155"/>
      <c r="Q29" s="154"/>
      <c r="R29" s="154"/>
      <c r="S29" s="192" t="s">
        <v>106</v>
      </c>
      <c r="T29" s="193" t="s">
        <v>106</v>
      </c>
      <c r="U29" s="154"/>
      <c r="V29" s="3"/>
      <c r="W29" s="3"/>
      <c r="X29" s="3"/>
      <c r="Y29" s="3"/>
      <c r="Z29" s="3"/>
      <c r="AA29" s="4"/>
    </row>
    <row r="30" spans="2:27" ht="15.75" thickBot="1" x14ac:dyDescent="0.25">
      <c r="B30" s="86">
        <f>B28*12</f>
        <v>120000</v>
      </c>
      <c r="C30" s="49"/>
      <c r="D30" s="49"/>
      <c r="E30" s="49"/>
      <c r="F30" s="54" t="s">
        <v>43</v>
      </c>
      <c r="G30" s="55">
        <f t="shared" si="1"/>
        <v>0.9588000000000001</v>
      </c>
      <c r="H30" s="55">
        <f t="shared" si="1"/>
        <v>0.84599999999999986</v>
      </c>
      <c r="I30" s="55">
        <f t="shared" si="1"/>
        <v>2.3642880000000002</v>
      </c>
      <c r="J30" s="55">
        <f t="shared" si="1"/>
        <v>0.51211200000000001</v>
      </c>
      <c r="K30" s="55">
        <f t="shared" si="1"/>
        <v>2.6507999999999998</v>
      </c>
      <c r="L30" s="55">
        <f t="shared" si="1"/>
        <v>3.9479999999999995</v>
      </c>
      <c r="M30" s="55">
        <f t="shared" si="2"/>
        <v>0</v>
      </c>
      <c r="N30" s="56">
        <f t="shared" si="3"/>
        <v>11.280000000000001</v>
      </c>
      <c r="O30" s="57"/>
      <c r="P30" s="155" t="s">
        <v>106</v>
      </c>
      <c r="Q30" s="154"/>
      <c r="R30" s="154"/>
      <c r="S30" s="156" t="s">
        <v>106</v>
      </c>
      <c r="T30" s="154"/>
      <c r="U30" s="154"/>
      <c r="V30" s="3"/>
      <c r="W30" s="3"/>
      <c r="X30" s="3"/>
      <c r="Y30" s="3"/>
      <c r="Z30" s="3"/>
      <c r="AA30" s="4"/>
    </row>
    <row r="31" spans="2:27" x14ac:dyDescent="0.2"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155"/>
      <c r="Q31" s="154"/>
      <c r="R31" s="154"/>
      <c r="S31" s="154"/>
      <c r="T31" s="154"/>
      <c r="U31" s="154"/>
      <c r="V31" s="3"/>
      <c r="W31" s="3"/>
      <c r="X31" s="3"/>
      <c r="Y31" s="3"/>
      <c r="Z31" s="3"/>
      <c r="AA31" s="4"/>
    </row>
    <row r="32" spans="2:27" x14ac:dyDescent="0.25">
      <c r="B32" s="246" t="s">
        <v>225</v>
      </c>
      <c r="C32" s="246" t="s">
        <v>226</v>
      </c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155"/>
      <c r="Q32" s="154"/>
      <c r="R32" s="154"/>
      <c r="S32" s="154" t="s">
        <v>106</v>
      </c>
      <c r="T32" s="194" t="s">
        <v>106</v>
      </c>
      <c r="U32" s="154"/>
      <c r="V32" s="3"/>
      <c r="W32" s="3"/>
      <c r="X32" s="3"/>
      <c r="Y32" s="3"/>
      <c r="Z32" s="3"/>
      <c r="AA32" s="4"/>
    </row>
    <row r="33" spans="2:27" ht="15.75" thickBot="1" x14ac:dyDescent="0.3">
      <c r="B33" s="246" t="s">
        <v>225</v>
      </c>
      <c r="C33" s="246" t="s">
        <v>226</v>
      </c>
      <c r="P33" s="155"/>
      <c r="Q33" s="154"/>
      <c r="R33" s="154"/>
      <c r="S33" s="154" t="s">
        <v>106</v>
      </c>
      <c r="T33" s="154"/>
      <c r="U33" s="154"/>
      <c r="V33" s="3"/>
      <c r="W33" s="3"/>
      <c r="X33" s="3"/>
      <c r="Y33" s="3"/>
      <c r="Z33" s="3"/>
      <c r="AA33" s="4"/>
    </row>
    <row r="34" spans="2:27" ht="15.75" thickBot="1" x14ac:dyDescent="0.3">
      <c r="P34" s="105" t="s">
        <v>164</v>
      </c>
      <c r="Q34" s="106"/>
      <c r="R34" s="106"/>
      <c r="S34" s="107"/>
      <c r="T34" s="154"/>
      <c r="U34" s="154"/>
      <c r="V34" s="3"/>
      <c r="W34" s="3"/>
      <c r="X34" s="3"/>
      <c r="Y34" s="3"/>
      <c r="Z34" s="3"/>
      <c r="AA34" s="4"/>
    </row>
    <row r="35" spans="2:27" ht="15.75" thickBot="1" x14ac:dyDescent="0.3">
      <c r="P35" s="105" t="s">
        <v>162</v>
      </c>
      <c r="Q35" s="106"/>
      <c r="R35" s="106"/>
      <c r="S35" s="106"/>
      <c r="T35" s="141">
        <f t="shared" ref="T35:X35" si="4">G10</f>
        <v>5.5E-2</v>
      </c>
      <c r="U35" s="142">
        <f t="shared" si="4"/>
        <v>3.5000000000000003E-2</v>
      </c>
      <c r="V35" s="142">
        <f t="shared" si="4"/>
        <v>0.11509999999999999</v>
      </c>
      <c r="W35" s="142">
        <f t="shared" si="4"/>
        <v>2.4899999999999999E-2</v>
      </c>
      <c r="X35" s="142">
        <f t="shared" si="4"/>
        <v>0.375</v>
      </c>
      <c r="Y35" s="142">
        <f>L10</f>
        <v>7.4999999999999997E-2</v>
      </c>
      <c r="Z35" s="142">
        <f>M10</f>
        <v>0.32</v>
      </c>
      <c r="AA35" s="143">
        <f>T35+U35+V35+W35+X35+Y35+Z35</f>
        <v>1</v>
      </c>
    </row>
    <row r="36" spans="2:27" ht="15.75" thickBot="1" x14ac:dyDescent="0.3">
      <c r="P36" s="105" t="s">
        <v>163</v>
      </c>
      <c r="Q36" s="246" t="s">
        <v>225</v>
      </c>
      <c r="R36" s="246" t="s">
        <v>226</v>
      </c>
      <c r="S36" s="106"/>
      <c r="T36" s="144">
        <f>T18*T35</f>
        <v>6.6154687500000007E-3</v>
      </c>
      <c r="U36" s="139">
        <f>T18*U35</f>
        <v>4.2098437500000009E-3</v>
      </c>
      <c r="V36" s="139">
        <f>T18*V35</f>
        <v>1.3844371875000001E-2</v>
      </c>
      <c r="W36" s="139">
        <f>T18*W35</f>
        <v>2.9950031249999999E-3</v>
      </c>
      <c r="X36" s="139">
        <f>T18*X35</f>
        <v>4.5105468750000002E-2</v>
      </c>
      <c r="Y36" s="139">
        <f>T18*Y35</f>
        <v>9.0210937500000005E-3</v>
      </c>
      <c r="Z36" s="129">
        <f>T18*Z35</f>
        <v>3.8490000000000003E-2</v>
      </c>
      <c r="AA36" s="147">
        <f>T36+U36+V36+W36+X36+Y36+Z36</f>
        <v>0.12028125000000001</v>
      </c>
    </row>
    <row r="37" spans="2:27" ht="15.75" thickBot="1" x14ac:dyDescent="0.3">
      <c r="P37" s="105" t="s">
        <v>136</v>
      </c>
      <c r="Q37" s="106"/>
      <c r="R37" s="106"/>
      <c r="S37" s="106"/>
      <c r="T37" s="184">
        <f>T12*T36</f>
        <v>661.54687500000011</v>
      </c>
      <c r="U37" s="184">
        <f>T12*U36</f>
        <v>420.98437500000011</v>
      </c>
      <c r="V37" s="184">
        <f>T12*V36</f>
        <v>1384.4371875000002</v>
      </c>
      <c r="W37" s="184">
        <f>T12*W36</f>
        <v>299.50031250000001</v>
      </c>
      <c r="X37" s="184">
        <f>T12*X36</f>
        <v>4510.546875</v>
      </c>
      <c r="Y37" s="184">
        <f>T12*Y36</f>
        <v>902.109375</v>
      </c>
      <c r="Z37" s="184">
        <f>T12*Z36</f>
        <v>3849.0000000000005</v>
      </c>
      <c r="AA37" s="150">
        <f>T37+U37+V37+W37+X37+Y37+Z37</f>
        <v>12028.125</v>
      </c>
    </row>
    <row r="38" spans="2:27" ht="15.75" thickBot="1" x14ac:dyDescent="0.3">
      <c r="P38" s="104"/>
      <c r="Q38" s="104"/>
      <c r="R38" s="104"/>
      <c r="S38" s="104"/>
      <c r="T38" s="104"/>
      <c r="U38" s="104"/>
    </row>
    <row r="39" spans="2:27" ht="15.75" thickBot="1" x14ac:dyDescent="0.3">
      <c r="P39" s="105"/>
      <c r="Q39" s="159" t="s">
        <v>142</v>
      </c>
      <c r="R39" s="159"/>
      <c r="S39" s="159"/>
      <c r="T39" s="107"/>
      <c r="U39" s="115"/>
      <c r="V39" s="1"/>
      <c r="W39" s="1"/>
      <c r="X39" s="1"/>
      <c r="Y39" s="1"/>
      <c r="Z39" s="1"/>
      <c r="AA39" s="2"/>
    </row>
    <row r="40" spans="2:27" ht="15.75" thickBot="1" x14ac:dyDescent="0.3">
      <c r="P40" s="105" t="s">
        <v>165</v>
      </c>
      <c r="Q40" s="106"/>
      <c r="R40" s="106"/>
      <c r="S40" s="107"/>
      <c r="T40" s="112">
        <f>M10</f>
        <v>0.32</v>
      </c>
      <c r="U40" s="154"/>
      <c r="V40" s="3"/>
      <c r="W40" s="3"/>
      <c r="X40" s="3"/>
      <c r="Y40" s="3"/>
      <c r="Z40" s="3"/>
      <c r="AA40" s="4"/>
    </row>
    <row r="41" spans="2:27" ht="15.75" thickBot="1" x14ac:dyDescent="0.3">
      <c r="P41" s="105" t="s">
        <v>114</v>
      </c>
      <c r="Q41" s="106"/>
      <c r="R41" s="106"/>
      <c r="S41" s="107"/>
      <c r="T41" s="110">
        <f>E10</f>
        <v>85500</v>
      </c>
      <c r="U41" s="154"/>
      <c r="V41" s="3"/>
      <c r="W41" s="3"/>
      <c r="X41" s="3"/>
      <c r="Y41" s="3"/>
      <c r="Z41" s="3"/>
      <c r="AA41" s="4"/>
    </row>
    <row r="42" spans="2:27" ht="15.75" thickBot="1" x14ac:dyDescent="0.3">
      <c r="P42" s="105" t="s">
        <v>179</v>
      </c>
      <c r="Q42" s="106"/>
      <c r="R42" s="106"/>
      <c r="S42" s="107"/>
      <c r="T42" s="108">
        <f>T7*T14</f>
        <v>470400</v>
      </c>
      <c r="U42" s="154"/>
      <c r="V42" s="3"/>
      <c r="W42" s="3"/>
      <c r="X42" s="3"/>
      <c r="Y42" s="3"/>
      <c r="Z42" s="3"/>
      <c r="AA42" s="4"/>
    </row>
    <row r="43" spans="2:27" ht="15.75" thickBot="1" x14ac:dyDescent="0.3">
      <c r="P43" s="155"/>
      <c r="Q43" s="154"/>
      <c r="R43" s="154"/>
      <c r="S43" s="110" t="s">
        <v>137</v>
      </c>
      <c r="T43" s="109">
        <f>T42-T41</f>
        <v>384900</v>
      </c>
      <c r="U43" s="154"/>
      <c r="V43" s="3"/>
      <c r="W43" s="3"/>
      <c r="X43" s="3"/>
      <c r="Y43" s="3"/>
      <c r="Z43" s="3"/>
      <c r="AA43" s="4"/>
    </row>
    <row r="44" spans="2:27" ht="15.75" thickBot="1" x14ac:dyDescent="0.3">
      <c r="P44" s="155"/>
      <c r="Q44" s="154"/>
      <c r="R44" s="154"/>
      <c r="S44" s="111" t="s">
        <v>116</v>
      </c>
      <c r="T44" s="185">
        <f>((T7*T14)-(T41))*(T40)/(T7)*100/100</f>
        <v>3.8490000000000003E-2</v>
      </c>
      <c r="U44" s="154"/>
      <c r="V44" s="3"/>
      <c r="W44" s="3"/>
      <c r="X44" s="3"/>
      <c r="Y44" s="3"/>
      <c r="Z44" s="3"/>
      <c r="AA44" s="4"/>
    </row>
    <row r="45" spans="2:27" ht="15.75" thickBot="1" x14ac:dyDescent="0.3">
      <c r="P45" s="105" t="s">
        <v>167</v>
      </c>
      <c r="Q45" s="106"/>
      <c r="R45" s="106"/>
      <c r="S45" s="107"/>
      <c r="T45" s="161" t="s">
        <v>106</v>
      </c>
      <c r="U45" s="154"/>
      <c r="V45" s="3"/>
      <c r="W45" s="3"/>
      <c r="X45" s="3"/>
      <c r="Y45" s="3"/>
      <c r="Z45" s="3"/>
      <c r="AA45" s="4"/>
    </row>
    <row r="46" spans="2:27" ht="15.75" thickBot="1" x14ac:dyDescent="0.3">
      <c r="P46" s="105" t="s">
        <v>168</v>
      </c>
      <c r="Q46" s="106"/>
      <c r="R46" s="106"/>
      <c r="S46" s="107"/>
      <c r="T46" s="185">
        <f>((T10*D9)-(E9))*(T40)/(T10)*100/100</f>
        <v>3.184E-2</v>
      </c>
      <c r="U46" s="154"/>
      <c r="V46" s="3"/>
      <c r="W46" s="3"/>
      <c r="X46" s="3"/>
      <c r="Y46" s="3"/>
      <c r="Z46" s="3"/>
      <c r="AA46" s="4"/>
    </row>
    <row r="47" spans="2:27" ht="15.75" thickBot="1" x14ac:dyDescent="0.3">
      <c r="P47" s="155"/>
      <c r="Q47" s="154"/>
      <c r="R47" s="154"/>
      <c r="S47" s="162" t="s">
        <v>106</v>
      </c>
      <c r="T47" s="125" t="s">
        <v>106</v>
      </c>
      <c r="U47" s="154"/>
      <c r="V47" s="3"/>
      <c r="W47" s="3"/>
      <c r="X47" s="3"/>
      <c r="Y47" s="3"/>
      <c r="Z47" s="3"/>
      <c r="AA47" s="4"/>
    </row>
    <row r="48" spans="2:27" x14ac:dyDescent="0.25">
      <c r="P48" s="155" t="s">
        <v>106</v>
      </c>
      <c r="Q48" s="154"/>
      <c r="R48" s="154"/>
      <c r="S48" s="156" t="s">
        <v>106</v>
      </c>
      <c r="T48" s="154"/>
      <c r="U48" s="154"/>
      <c r="V48" s="3"/>
      <c r="W48" s="3"/>
      <c r="X48" s="3"/>
      <c r="Y48" s="3"/>
      <c r="Z48" s="3"/>
      <c r="AA48" s="4"/>
    </row>
    <row r="49" spans="16:27" ht="15.75" thickBot="1" x14ac:dyDescent="0.3">
      <c r="P49" s="135"/>
      <c r="Q49" s="136"/>
      <c r="R49" s="137"/>
      <c r="S49" s="154"/>
      <c r="T49" s="154"/>
      <c r="U49" s="154"/>
      <c r="V49" s="3"/>
      <c r="W49" s="3"/>
      <c r="X49" s="3"/>
      <c r="Y49" s="3"/>
      <c r="Z49" s="3"/>
      <c r="AA49" s="4"/>
    </row>
    <row r="50" spans="16:27" ht="15.75" thickBot="1" x14ac:dyDescent="0.3">
      <c r="P50" s="155"/>
      <c r="Q50" s="154"/>
      <c r="R50" s="154"/>
      <c r="S50" s="111" t="s">
        <v>178</v>
      </c>
      <c r="T50" s="186">
        <f>((T11)*(T18-T44+T46))</f>
        <v>22726.250000000004</v>
      </c>
      <c r="U50" s="154"/>
      <c r="V50" s="3"/>
      <c r="W50" s="3"/>
      <c r="X50" s="3"/>
      <c r="Y50" s="3"/>
      <c r="Z50" s="3"/>
      <c r="AA50" s="4"/>
    </row>
    <row r="51" spans="16:27" ht="15.75" thickBot="1" x14ac:dyDescent="0.3">
      <c r="P51" s="155"/>
      <c r="Q51" s="154"/>
      <c r="R51" s="154"/>
      <c r="S51" s="111" t="s">
        <v>177</v>
      </c>
      <c r="T51" s="123">
        <f>0.1086105*100/100</f>
        <v>0.1086105</v>
      </c>
      <c r="U51" s="154"/>
      <c r="V51" s="3"/>
      <c r="W51" s="3"/>
      <c r="X51" s="3"/>
      <c r="Y51" s="3"/>
      <c r="Z51" s="3"/>
      <c r="AA51" s="4"/>
    </row>
    <row r="52" spans="16:27" ht="15.75" thickBot="1" x14ac:dyDescent="0.3">
      <c r="P52" s="155"/>
      <c r="Q52" s="154"/>
      <c r="R52" s="154"/>
      <c r="S52" s="154"/>
      <c r="T52" s="154"/>
      <c r="U52" s="154"/>
      <c r="V52" s="3"/>
      <c r="W52" s="3"/>
      <c r="X52" s="3"/>
      <c r="Y52" s="3"/>
      <c r="Z52" s="3"/>
      <c r="AA52" s="4"/>
    </row>
    <row r="53" spans="16:27" ht="15.75" thickBot="1" x14ac:dyDescent="0.3">
      <c r="P53" s="105" t="s">
        <v>170</v>
      </c>
      <c r="Q53" s="106"/>
      <c r="R53" s="106"/>
      <c r="S53" s="107"/>
      <c r="T53" s="154"/>
      <c r="U53" s="154"/>
      <c r="V53" s="3"/>
      <c r="W53" s="3"/>
      <c r="X53" s="3"/>
      <c r="Y53" s="3"/>
      <c r="Z53" s="3"/>
      <c r="AA53" s="4"/>
    </row>
    <row r="54" spans="16:27" ht="15.75" thickBot="1" x14ac:dyDescent="0.3">
      <c r="P54" s="105" t="s">
        <v>162</v>
      </c>
      <c r="Q54" s="106"/>
      <c r="R54" s="106"/>
      <c r="S54" s="106"/>
      <c r="T54" s="141">
        <f t="shared" ref="T54:Y54" si="5">G10</f>
        <v>5.5E-2</v>
      </c>
      <c r="U54" s="141">
        <f t="shared" si="5"/>
        <v>3.5000000000000003E-2</v>
      </c>
      <c r="V54" s="141">
        <f t="shared" si="5"/>
        <v>0.11509999999999999</v>
      </c>
      <c r="W54" s="141">
        <f t="shared" si="5"/>
        <v>2.4899999999999999E-2</v>
      </c>
      <c r="X54" s="141">
        <f t="shared" si="5"/>
        <v>0.375</v>
      </c>
      <c r="Y54" s="141">
        <f t="shared" si="5"/>
        <v>7.4999999999999997E-2</v>
      </c>
      <c r="Z54" s="141">
        <v>0</v>
      </c>
      <c r="AA54" s="143">
        <f>T54+U54+V54+W54+X54+Y54+Z54</f>
        <v>0.67999999999999994</v>
      </c>
    </row>
    <row r="55" spans="16:27" ht="15.75" thickBot="1" x14ac:dyDescent="0.3">
      <c r="P55" s="105" t="s">
        <v>172</v>
      </c>
      <c r="Q55" s="106"/>
      <c r="R55" s="106"/>
      <c r="S55" s="106"/>
      <c r="T55" s="144" t="s">
        <v>106</v>
      </c>
      <c r="U55" s="139" t="s">
        <v>106</v>
      </c>
      <c r="V55" s="139" t="s">
        <v>106</v>
      </c>
      <c r="W55" s="139" t="s">
        <v>106</v>
      </c>
      <c r="X55" s="139" t="s">
        <v>106</v>
      </c>
      <c r="Y55" s="196"/>
      <c r="Z55" s="141">
        <f>M9</f>
        <v>0.32</v>
      </c>
      <c r="AA55" s="143">
        <f>Z55</f>
        <v>0.32</v>
      </c>
    </row>
    <row r="56" spans="16:27" ht="15.75" thickBot="1" x14ac:dyDescent="0.3">
      <c r="P56" s="105" t="s">
        <v>163</v>
      </c>
      <c r="Q56" s="106"/>
      <c r="R56" s="106"/>
      <c r="S56" s="106"/>
      <c r="T56" s="187">
        <f>T51*T54</f>
        <v>5.9735774999999996E-3</v>
      </c>
      <c r="U56" s="187">
        <f>T51*U54</f>
        <v>3.8013675000000001E-3</v>
      </c>
      <c r="V56" s="187">
        <f>T51*V54</f>
        <v>1.2501068549999999E-2</v>
      </c>
      <c r="W56" s="187">
        <f>T51*W54</f>
        <v>2.7044014499999999E-3</v>
      </c>
      <c r="X56" s="187">
        <f>T51*X54</f>
        <v>4.07289375E-2</v>
      </c>
      <c r="Y56" s="187">
        <f>T51*Y54</f>
        <v>8.1457874999999996E-3</v>
      </c>
      <c r="Z56" s="187">
        <f>T51*Z55</f>
        <v>3.4755359999999999E-2</v>
      </c>
      <c r="AA56" s="147">
        <f>T56+U56+V56+W56+X56+Y56+Z56</f>
        <v>0.1086105</v>
      </c>
    </row>
    <row r="57" spans="16:27" ht="15.75" thickBot="1" x14ac:dyDescent="0.3">
      <c r="P57" s="105" t="s">
        <v>136</v>
      </c>
      <c r="Q57" s="106"/>
      <c r="R57" s="106"/>
      <c r="S57" s="106"/>
      <c r="T57" s="184">
        <f>T11*T56</f>
        <v>1194.7155</v>
      </c>
      <c r="U57" s="184">
        <f>T11*U56</f>
        <v>760.27350000000001</v>
      </c>
      <c r="V57" s="184">
        <f>T11*V56</f>
        <v>2500.21371</v>
      </c>
      <c r="W57" s="184">
        <f>T11*W56</f>
        <v>540.88028999999995</v>
      </c>
      <c r="X57" s="184">
        <f>T11*X56</f>
        <v>8145.7874999999995</v>
      </c>
      <c r="Y57" s="184">
        <f>T11*Y56</f>
        <v>1629.1574999999998</v>
      </c>
      <c r="Z57" s="184">
        <f>T11*Z56</f>
        <v>6951.0720000000001</v>
      </c>
      <c r="AA57" s="188">
        <f>T57+U57+V57+W57+X57+Y57+Z57</f>
        <v>21722.1</v>
      </c>
    </row>
    <row r="59" spans="16:27" ht="15.75" x14ac:dyDescent="0.25">
      <c r="P59" s="164" t="s">
        <v>173</v>
      </c>
      <c r="Q59" s="165"/>
      <c r="R59" s="165"/>
      <c r="S59" s="165"/>
      <c r="T59" s="166">
        <f>AA37+AA57</f>
        <v>33750.224999999999</v>
      </c>
    </row>
  </sheetData>
  <mergeCells count="2">
    <mergeCell ref="B5:C5"/>
    <mergeCell ref="D14:D22"/>
  </mergeCells>
  <pageMargins left="0" right="0" top="0" bottom="0" header="0.31496062992125984" footer="0.31496062992125984"/>
  <pageSetup scale="90" orientation="landscape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78"/>
  <sheetViews>
    <sheetView topLeftCell="A4" workbookViewId="0">
      <selection activeCell="C37" sqref="C37"/>
    </sheetView>
  </sheetViews>
  <sheetFormatPr defaultRowHeight="15" x14ac:dyDescent="0.25"/>
  <cols>
    <col min="1" max="1" width="3.28515625" customWidth="1"/>
    <col min="2" max="2" width="31.140625" customWidth="1"/>
    <col min="3" max="3" width="31.7109375" customWidth="1"/>
    <col min="4" max="4" width="8.7109375" customWidth="1"/>
    <col min="5" max="5" width="17.42578125" customWidth="1"/>
    <col min="7" max="7" width="10.5703125" customWidth="1"/>
    <col min="8" max="8" width="11.28515625" customWidth="1"/>
    <col min="9" max="9" width="11.7109375" customWidth="1"/>
    <col min="10" max="10" width="10" customWidth="1"/>
    <col min="11" max="11" width="11.140625" customWidth="1"/>
    <col min="12" max="12" width="9.7109375" customWidth="1"/>
    <col min="13" max="14" width="8.42578125" customWidth="1"/>
    <col min="15" max="15" width="4.140625" customWidth="1"/>
    <col min="17" max="17" width="10.28515625" customWidth="1"/>
    <col min="19" max="19" width="43.85546875" customWidth="1"/>
    <col min="20" max="20" width="13" customWidth="1"/>
    <col min="21" max="22" width="11.5703125" bestFit="1" customWidth="1"/>
    <col min="23" max="23" width="10.7109375" bestFit="1" customWidth="1"/>
    <col min="24" max="25" width="11.5703125" bestFit="1" customWidth="1"/>
    <col min="26" max="26" width="13.85546875" customWidth="1"/>
  </cols>
  <sheetData>
    <row r="1" spans="2:26" ht="25.5" x14ac:dyDescent="0.35">
      <c r="B1" s="6" t="s">
        <v>13</v>
      </c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spans="2:26" x14ac:dyDescent="0.2">
      <c r="B2" s="7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3"/>
    </row>
    <row r="3" spans="2:26" ht="48" customHeight="1" thickBot="1" x14ac:dyDescent="0.3">
      <c r="B3" s="126" t="s">
        <v>138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3"/>
    </row>
    <row r="4" spans="2:26" ht="15.75" thickBot="1" x14ac:dyDescent="0.25">
      <c r="B4" s="7"/>
      <c r="C4" s="3"/>
      <c r="D4" s="3"/>
      <c r="E4" s="3"/>
      <c r="F4" s="3"/>
      <c r="G4" s="3"/>
      <c r="H4" s="3" t="s">
        <v>31</v>
      </c>
      <c r="I4" s="3"/>
      <c r="J4" s="3"/>
      <c r="K4" s="3"/>
      <c r="L4" s="3"/>
      <c r="M4" s="4"/>
      <c r="N4" s="3"/>
      <c r="P4" s="151" t="s">
        <v>139</v>
      </c>
      <c r="Q4" s="152"/>
      <c r="R4" s="152"/>
      <c r="S4" s="152"/>
      <c r="T4" s="152"/>
      <c r="U4" s="152"/>
      <c r="V4" s="152"/>
      <c r="W4" s="152" t="s">
        <v>158</v>
      </c>
      <c r="X4" s="152"/>
      <c r="Y4" s="152"/>
      <c r="Z4" s="153"/>
    </row>
    <row r="5" spans="2:26" ht="23.25" thickBot="1" x14ac:dyDescent="0.3">
      <c r="B5" s="238" t="s">
        <v>1</v>
      </c>
      <c r="C5" s="239"/>
      <c r="D5" s="73" t="s">
        <v>2</v>
      </c>
      <c r="E5" s="73" t="s">
        <v>3</v>
      </c>
      <c r="F5" s="11"/>
      <c r="G5" s="13" t="s">
        <v>25</v>
      </c>
      <c r="H5" s="13" t="s">
        <v>26</v>
      </c>
      <c r="I5" s="13" t="s">
        <v>27</v>
      </c>
      <c r="J5" s="14" t="s">
        <v>28</v>
      </c>
      <c r="K5" s="13" t="s">
        <v>29</v>
      </c>
      <c r="L5" s="75" t="s">
        <v>30</v>
      </c>
      <c r="M5" s="12"/>
      <c r="N5" s="11"/>
      <c r="P5" s="7"/>
      <c r="Q5" s="3"/>
      <c r="R5" s="3"/>
      <c r="S5" s="157" t="s">
        <v>140</v>
      </c>
      <c r="T5" s="3"/>
      <c r="U5" s="3"/>
      <c r="V5" s="3"/>
      <c r="W5" s="3"/>
      <c r="X5" s="3"/>
      <c r="Y5" s="3"/>
      <c r="Z5" s="4"/>
    </row>
    <row r="6" spans="2:26" ht="15.75" thickBot="1" x14ac:dyDescent="0.3">
      <c r="B6" s="16" t="s">
        <v>96</v>
      </c>
      <c r="C6" s="17" t="s">
        <v>4</v>
      </c>
      <c r="D6" s="18">
        <v>0.06</v>
      </c>
      <c r="E6" s="19">
        <v>0</v>
      </c>
      <c r="F6" s="11"/>
      <c r="G6" s="20">
        <v>0.04</v>
      </c>
      <c r="H6" s="20">
        <v>3.5000000000000003E-2</v>
      </c>
      <c r="I6" s="20">
        <v>0.12820000000000001</v>
      </c>
      <c r="J6" s="20">
        <v>2.7799999999999998E-2</v>
      </c>
      <c r="K6" s="20">
        <v>0.434</v>
      </c>
      <c r="L6" s="76">
        <v>0.33500000000000002</v>
      </c>
      <c r="M6" s="12"/>
      <c r="N6" s="11"/>
      <c r="P6" s="105" t="s">
        <v>107</v>
      </c>
      <c r="Q6" s="106"/>
      <c r="R6" s="106"/>
      <c r="S6" s="107"/>
      <c r="T6" s="108">
        <v>4437295.97</v>
      </c>
      <c r="U6" s="154"/>
      <c r="V6" s="3"/>
      <c r="W6" s="3"/>
      <c r="X6" s="3"/>
      <c r="Y6" s="3"/>
      <c r="Z6" s="4"/>
    </row>
    <row r="7" spans="2:26" ht="15.75" thickBot="1" x14ac:dyDescent="0.3">
      <c r="B7" s="16" t="s">
        <v>97</v>
      </c>
      <c r="C7" s="17" t="s">
        <v>5</v>
      </c>
      <c r="D7" s="18">
        <v>0.112</v>
      </c>
      <c r="E7" s="19">
        <v>9360</v>
      </c>
      <c r="F7" s="11"/>
      <c r="G7" s="20">
        <v>0.04</v>
      </c>
      <c r="H7" s="20">
        <v>3.5000000000000003E-2</v>
      </c>
      <c r="I7" s="20">
        <v>0.14050000000000001</v>
      </c>
      <c r="J7" s="20">
        <v>3.0499999999999999E-2</v>
      </c>
      <c r="K7" s="20">
        <v>0.434</v>
      </c>
      <c r="L7" s="76">
        <v>0.32</v>
      </c>
      <c r="M7" s="12"/>
      <c r="N7" s="11"/>
      <c r="P7" s="105" t="s">
        <v>108</v>
      </c>
      <c r="Q7" s="106"/>
      <c r="R7" s="106"/>
      <c r="S7" s="107"/>
      <c r="T7" s="108">
        <v>4437295.97</v>
      </c>
      <c r="U7" s="154"/>
      <c r="V7" s="3"/>
      <c r="W7" s="3"/>
      <c r="X7" s="3"/>
      <c r="Y7" s="3"/>
      <c r="Z7" s="4"/>
    </row>
    <row r="8" spans="2:26" ht="15.75" thickBot="1" x14ac:dyDescent="0.3">
      <c r="B8" s="16" t="s">
        <v>98</v>
      </c>
      <c r="C8" s="17" t="s">
        <v>6</v>
      </c>
      <c r="D8" s="18">
        <v>0.13500000000000001</v>
      </c>
      <c r="E8" s="19">
        <v>17640</v>
      </c>
      <c r="F8" s="11"/>
      <c r="G8" s="20">
        <v>0.04</v>
      </c>
      <c r="H8" s="20">
        <v>3.5000000000000003E-2</v>
      </c>
      <c r="I8" s="20">
        <v>0.13639999999999999</v>
      </c>
      <c r="J8" s="20">
        <v>2.9600000000000001E-2</v>
      </c>
      <c r="K8" s="20">
        <v>0.434</v>
      </c>
      <c r="L8" s="76">
        <v>0.32500000000000001</v>
      </c>
      <c r="M8" s="12"/>
      <c r="N8" s="11"/>
      <c r="P8" s="105" t="s">
        <v>109</v>
      </c>
      <c r="Q8" s="106"/>
      <c r="R8" s="106"/>
      <c r="S8" s="107"/>
      <c r="T8" s="108">
        <v>1159429</v>
      </c>
      <c r="U8" s="154"/>
      <c r="V8" s="3"/>
      <c r="W8" s="3"/>
      <c r="X8" s="3"/>
      <c r="Y8" s="3"/>
      <c r="Z8" s="4"/>
    </row>
    <row r="9" spans="2:26" ht="15.75" thickBot="1" x14ac:dyDescent="0.3">
      <c r="B9" s="16" t="s">
        <v>99</v>
      </c>
      <c r="C9" s="17" t="s">
        <v>7</v>
      </c>
      <c r="D9" s="18">
        <v>0.16</v>
      </c>
      <c r="E9" s="19">
        <v>35640</v>
      </c>
      <c r="F9" s="11"/>
      <c r="G9" s="20">
        <v>0.04</v>
      </c>
      <c r="H9" s="20">
        <v>3.5000000000000003E-2</v>
      </c>
      <c r="I9" s="20">
        <v>0.13639999999999999</v>
      </c>
      <c r="J9" s="20">
        <v>2.9600000000000001E-2</v>
      </c>
      <c r="K9" s="20">
        <v>0.434</v>
      </c>
      <c r="L9" s="76">
        <v>0.32500000000000001</v>
      </c>
      <c r="M9" s="12"/>
      <c r="N9" s="11"/>
      <c r="P9" s="105" t="s">
        <v>110</v>
      </c>
      <c r="Q9" s="106"/>
      <c r="R9" s="106"/>
      <c r="S9" s="107"/>
      <c r="T9" s="108">
        <v>1159429</v>
      </c>
      <c r="U9" s="154"/>
      <c r="V9" s="3"/>
      <c r="W9" s="3"/>
      <c r="X9" s="3"/>
      <c r="Y9" s="3"/>
      <c r="Z9" s="4"/>
    </row>
    <row r="10" spans="2:26" ht="15.75" thickBot="1" x14ac:dyDescent="0.3">
      <c r="B10" s="16" t="s">
        <v>100</v>
      </c>
      <c r="C10" s="17" t="s">
        <v>8</v>
      </c>
      <c r="D10" s="18">
        <v>0.21</v>
      </c>
      <c r="E10" s="19">
        <v>125640</v>
      </c>
      <c r="F10" s="11"/>
      <c r="G10" s="20">
        <v>0.04</v>
      </c>
      <c r="H10" s="20">
        <v>3.5000000000000003E-2</v>
      </c>
      <c r="I10" s="20">
        <v>0.12820000000000001</v>
      </c>
      <c r="J10" s="20">
        <v>2.7799999999999998E-2</v>
      </c>
      <c r="K10" s="20">
        <v>0.434</v>
      </c>
      <c r="L10" s="76">
        <v>0.33500000000000002</v>
      </c>
      <c r="M10" s="12"/>
      <c r="N10" s="11"/>
      <c r="P10" s="105" t="s">
        <v>145</v>
      </c>
      <c r="Q10" s="106"/>
      <c r="R10" s="106"/>
      <c r="S10" s="107"/>
      <c r="T10" s="108">
        <v>3600000</v>
      </c>
      <c r="U10" s="154"/>
      <c r="V10" s="3"/>
      <c r="W10" s="3"/>
      <c r="X10" s="3"/>
      <c r="Y10" s="3"/>
      <c r="Z10" s="4"/>
    </row>
    <row r="11" spans="2:26" ht="15.75" thickBot="1" x14ac:dyDescent="0.3">
      <c r="B11" s="16" t="s">
        <v>101</v>
      </c>
      <c r="C11" s="17" t="s">
        <v>9</v>
      </c>
      <c r="D11" s="18">
        <v>0.33</v>
      </c>
      <c r="E11" s="19">
        <v>648000</v>
      </c>
      <c r="F11" s="11"/>
      <c r="G11" s="20">
        <v>0.35</v>
      </c>
      <c r="H11" s="20">
        <v>0.15</v>
      </c>
      <c r="I11" s="20">
        <v>0.1603</v>
      </c>
      <c r="J11" s="20">
        <v>3.4700000000000002E-2</v>
      </c>
      <c r="K11" s="20">
        <v>0.30499999999999999</v>
      </c>
      <c r="L11" s="77">
        <v>0</v>
      </c>
      <c r="M11" s="12"/>
      <c r="N11" s="11"/>
      <c r="P11" s="105" t="s">
        <v>111</v>
      </c>
      <c r="Q11" s="106"/>
      <c r="R11" s="106"/>
      <c r="S11" s="107"/>
      <c r="T11" s="109">
        <f>T10-T8</f>
        <v>2440571</v>
      </c>
      <c r="U11" s="154"/>
      <c r="V11" s="3"/>
      <c r="W11" s="3"/>
      <c r="X11" s="3"/>
      <c r="Y11" s="3"/>
      <c r="Z11" s="4"/>
    </row>
    <row r="12" spans="2:26" ht="15.75" thickBot="1" x14ac:dyDescent="0.3">
      <c r="B12" s="10"/>
      <c r="C12" s="11"/>
      <c r="D12" s="11"/>
      <c r="E12" s="11" t="s">
        <v>49</v>
      </c>
      <c r="F12" s="11"/>
      <c r="G12" s="11"/>
      <c r="H12" s="11" t="s">
        <v>51</v>
      </c>
      <c r="I12" s="11"/>
      <c r="J12" s="11"/>
      <c r="K12" s="11"/>
      <c r="L12" s="11"/>
      <c r="M12" s="12"/>
      <c r="N12" s="11"/>
      <c r="P12" s="105" t="s">
        <v>112</v>
      </c>
      <c r="Q12" s="106"/>
      <c r="R12" s="106"/>
      <c r="S12" s="107"/>
      <c r="T12" s="109">
        <f>T11-T9</f>
        <v>1281142</v>
      </c>
      <c r="U12" s="154"/>
      <c r="V12" s="3"/>
      <c r="W12" s="3"/>
      <c r="X12" s="3"/>
      <c r="Y12" s="3"/>
      <c r="Z12" s="4"/>
    </row>
    <row r="13" spans="2:26" ht="15.75" thickBot="1" x14ac:dyDescent="0.3">
      <c r="B13" s="10" t="s">
        <v>94</v>
      </c>
      <c r="C13" s="11"/>
      <c r="D13" s="11"/>
      <c r="E13" s="11" t="s">
        <v>50</v>
      </c>
      <c r="F13" s="78"/>
      <c r="G13" s="26" t="s">
        <v>32</v>
      </c>
      <c r="H13" s="26" t="s">
        <v>33</v>
      </c>
      <c r="I13" s="26" t="s">
        <v>34</v>
      </c>
      <c r="J13" s="26" t="s">
        <v>35</v>
      </c>
      <c r="K13" s="26" t="s">
        <v>36</v>
      </c>
      <c r="L13" s="26" t="s">
        <v>37</v>
      </c>
      <c r="M13" s="27"/>
      <c r="N13" s="11"/>
      <c r="P13" s="155"/>
      <c r="Q13" s="157" t="s">
        <v>141</v>
      </c>
      <c r="R13" s="157"/>
      <c r="S13" s="157"/>
      <c r="T13" s="154"/>
      <c r="U13" s="154"/>
      <c r="V13" s="3"/>
      <c r="W13" s="3"/>
      <c r="X13" s="3"/>
      <c r="Y13" s="3"/>
      <c r="Z13" s="4"/>
    </row>
    <row r="14" spans="2:26" ht="15.75" thickBot="1" x14ac:dyDescent="0.3">
      <c r="B14" s="79" t="s">
        <v>16</v>
      </c>
      <c r="C14" s="80" t="s">
        <v>17</v>
      </c>
      <c r="D14" s="243"/>
      <c r="E14" s="81">
        <v>4800000</v>
      </c>
      <c r="F14" s="82" t="s">
        <v>38</v>
      </c>
      <c r="G14" s="83">
        <f>E22*G6</f>
        <v>7.8000000000000005E-3</v>
      </c>
      <c r="H14" s="83">
        <f>E22*H6</f>
        <v>6.8250000000000012E-3</v>
      </c>
      <c r="I14" s="83">
        <f>E22*I6</f>
        <v>2.4999000000000004E-2</v>
      </c>
      <c r="J14" s="83">
        <f>E22*J6</f>
        <v>5.4209999999999996E-3</v>
      </c>
      <c r="K14" s="83">
        <f>E22*K6</f>
        <v>8.4629999999999997E-2</v>
      </c>
      <c r="L14" s="83">
        <f>E22*L6</f>
        <v>6.5325000000000008E-2</v>
      </c>
      <c r="M14" s="84">
        <f t="shared" ref="M14:M19" si="0">SUM(G14:L14)</f>
        <v>0.19500000000000001</v>
      </c>
      <c r="N14" s="210"/>
      <c r="P14" s="105" t="s">
        <v>113</v>
      </c>
      <c r="Q14" s="106"/>
      <c r="R14" s="106"/>
      <c r="S14" s="107"/>
      <c r="T14" s="112">
        <f>D11</f>
        <v>0.33</v>
      </c>
      <c r="U14" s="154"/>
      <c r="V14" s="3"/>
      <c r="W14" s="3"/>
      <c r="X14" s="3"/>
      <c r="Y14" s="3"/>
      <c r="Z14" s="4"/>
    </row>
    <row r="15" spans="2:26" ht="15.75" thickBot="1" x14ac:dyDescent="0.3">
      <c r="B15" s="24" t="s">
        <v>88</v>
      </c>
      <c r="C15" s="85" t="s">
        <v>2</v>
      </c>
      <c r="D15" s="244"/>
      <c r="E15" s="62">
        <f>IF(E14&lt;=180000,D6, IF(E14&lt;=360000,D7, IF(E14&lt;=720000,D8,IF(E14&lt;=1800000,D9,IF(E14&lt;=3600000,D10,IF(E14&lt;=4800000,D11, "excluido"))))))</f>
        <v>0.33</v>
      </c>
      <c r="F15" s="82" t="s">
        <v>39</v>
      </c>
      <c r="G15" s="83">
        <f t="shared" ref="G15:L15" si="1">$E22*G7</f>
        <v>7.8000000000000005E-3</v>
      </c>
      <c r="H15" s="83">
        <f t="shared" si="1"/>
        <v>6.8250000000000012E-3</v>
      </c>
      <c r="I15" s="83">
        <f t="shared" si="1"/>
        <v>2.7397500000000005E-2</v>
      </c>
      <c r="J15" s="83">
        <f t="shared" si="1"/>
        <v>5.9474999999999997E-3</v>
      </c>
      <c r="K15" s="83">
        <f t="shared" si="1"/>
        <v>8.4629999999999997E-2</v>
      </c>
      <c r="L15" s="83">
        <f t="shared" si="1"/>
        <v>6.2400000000000004E-2</v>
      </c>
      <c r="M15" s="84">
        <f t="shared" si="0"/>
        <v>0.19500000000000001</v>
      </c>
      <c r="N15" s="210"/>
      <c r="P15" s="105" t="s">
        <v>114</v>
      </c>
      <c r="Q15" s="106"/>
      <c r="R15" s="106"/>
      <c r="S15" s="107"/>
      <c r="T15" s="110">
        <f>E11</f>
        <v>648000</v>
      </c>
      <c r="U15" s="154"/>
      <c r="V15" s="3"/>
      <c r="W15" s="3"/>
      <c r="X15" s="3"/>
      <c r="Y15" s="3"/>
      <c r="Z15" s="4"/>
    </row>
    <row r="16" spans="2:26" ht="15.75" thickBot="1" x14ac:dyDescent="0.3">
      <c r="B16" s="28" t="s">
        <v>89</v>
      </c>
      <c r="C16" s="35" t="s">
        <v>18</v>
      </c>
      <c r="D16" s="244"/>
      <c r="E16" s="58">
        <f>E14*E15</f>
        <v>1584000</v>
      </c>
      <c r="F16" s="82" t="s">
        <v>40</v>
      </c>
      <c r="G16" s="83">
        <f t="shared" ref="G16:L16" si="2">$E22*G8</f>
        <v>7.8000000000000005E-3</v>
      </c>
      <c r="H16" s="83">
        <f t="shared" si="2"/>
        <v>6.8250000000000012E-3</v>
      </c>
      <c r="I16" s="83">
        <f t="shared" si="2"/>
        <v>2.6598E-2</v>
      </c>
      <c r="J16" s="83">
        <f t="shared" si="2"/>
        <v>5.7720000000000002E-3</v>
      </c>
      <c r="K16" s="83">
        <f t="shared" si="2"/>
        <v>8.4629999999999997E-2</v>
      </c>
      <c r="L16" s="83">
        <f t="shared" si="2"/>
        <v>6.3375000000000001E-2</v>
      </c>
      <c r="M16" s="84">
        <f t="shared" si="0"/>
        <v>0.19500000000000001</v>
      </c>
      <c r="N16" s="210"/>
      <c r="P16" s="105" t="s">
        <v>115</v>
      </c>
      <c r="Q16" s="106"/>
      <c r="R16" s="106"/>
      <c r="S16" s="107"/>
      <c r="T16" s="108">
        <f>(T7*T14)</f>
        <v>1464307.6701</v>
      </c>
      <c r="U16" s="154"/>
      <c r="V16" s="3"/>
      <c r="W16" s="3"/>
      <c r="X16" s="3"/>
      <c r="Y16" s="3"/>
      <c r="Z16" s="4"/>
    </row>
    <row r="17" spans="2:26" ht="15.75" thickBot="1" x14ac:dyDescent="0.3">
      <c r="B17" s="31">
        <v>20000</v>
      </c>
      <c r="C17" s="35" t="s">
        <v>19</v>
      </c>
      <c r="D17" s="244"/>
      <c r="E17" s="59">
        <f>IF(E14&lt;=180000,E6, IF(E14&lt;=360000,E7, IF(E14&lt;=720000,E8,IF(E14&lt;=1800000,E9,IF(E14&lt;=3600000,E10,IF(E14&lt;=4800000,E11, "excluido"))))))</f>
        <v>648000</v>
      </c>
      <c r="F17" s="82" t="s">
        <v>41</v>
      </c>
      <c r="G17" s="83">
        <f>E22*G9</f>
        <v>7.8000000000000005E-3</v>
      </c>
      <c r="H17" s="83">
        <f>E22*H9</f>
        <v>6.8250000000000012E-3</v>
      </c>
      <c r="I17" s="83">
        <f>E22*I9</f>
        <v>2.6598E-2</v>
      </c>
      <c r="J17" s="83">
        <f>E22*J9</f>
        <v>5.7720000000000002E-3</v>
      </c>
      <c r="K17" s="83">
        <f>E22*K9</f>
        <v>8.4629999999999997E-2</v>
      </c>
      <c r="L17" s="83">
        <f>E22*L9</f>
        <v>6.3375000000000001E-2</v>
      </c>
      <c r="M17" s="84">
        <f t="shared" si="0"/>
        <v>0.19500000000000001</v>
      </c>
      <c r="N17" s="210"/>
      <c r="P17" s="155"/>
      <c r="Q17" s="154"/>
      <c r="R17" s="154"/>
      <c r="S17" s="110" t="s">
        <v>137</v>
      </c>
      <c r="T17" s="109">
        <f>T16-T15</f>
        <v>816307.67009999999</v>
      </c>
      <c r="U17" s="154"/>
      <c r="V17" s="3"/>
      <c r="W17" s="3"/>
      <c r="X17" s="3"/>
      <c r="Y17" s="3"/>
      <c r="Z17" s="4"/>
    </row>
    <row r="18" spans="2:26" ht="15.75" thickBot="1" x14ac:dyDescent="0.3">
      <c r="B18" s="32">
        <v>12</v>
      </c>
      <c r="C18" s="35" t="s">
        <v>24</v>
      </c>
      <c r="D18" s="244"/>
      <c r="E18" s="58">
        <f>E16-E17</f>
        <v>936000</v>
      </c>
      <c r="F18" s="82" t="s">
        <v>42</v>
      </c>
      <c r="G18" s="83">
        <f>E22*G10</f>
        <v>7.8000000000000005E-3</v>
      </c>
      <c r="H18" s="83">
        <f>E22*H10</f>
        <v>6.8250000000000012E-3</v>
      </c>
      <c r="I18" s="83">
        <f>E22*I10</f>
        <v>2.4999000000000004E-2</v>
      </c>
      <c r="J18" s="83">
        <f>E22*J10</f>
        <v>5.4209999999999996E-3</v>
      </c>
      <c r="K18" s="83">
        <f>E22*K10</f>
        <v>8.4629999999999997E-2</v>
      </c>
      <c r="L18" s="83">
        <f>E22*L10</f>
        <v>6.5325000000000008E-2</v>
      </c>
      <c r="M18" s="84">
        <f t="shared" si="0"/>
        <v>0.19500000000000001</v>
      </c>
      <c r="N18" s="210"/>
      <c r="P18" s="155"/>
      <c r="Q18" s="154"/>
      <c r="R18" s="154"/>
      <c r="S18" s="111" t="s">
        <v>116</v>
      </c>
      <c r="T18" s="113">
        <f>T17/T7</f>
        <v>0.18396511650765546</v>
      </c>
      <c r="U18" s="154"/>
      <c r="V18" s="3"/>
      <c r="W18" s="3"/>
      <c r="X18" s="3"/>
      <c r="Y18" s="3"/>
      <c r="Z18" s="4"/>
    </row>
    <row r="19" spans="2:26" ht="15.75" thickBot="1" x14ac:dyDescent="0.3">
      <c r="B19" s="86">
        <f>B17*B18</f>
        <v>240000</v>
      </c>
      <c r="C19" s="35" t="s">
        <v>20</v>
      </c>
      <c r="D19" s="244"/>
      <c r="E19" s="60">
        <f>E18/E14</f>
        <v>0.19500000000000001</v>
      </c>
      <c r="F19" s="87" t="s">
        <v>43</v>
      </c>
      <c r="G19" s="88">
        <f>E22*G11</f>
        <v>6.8249999999999991E-2</v>
      </c>
      <c r="H19" s="88">
        <f>E22*H11</f>
        <v>2.9249999999999998E-2</v>
      </c>
      <c r="I19" s="88">
        <f>E22*I11</f>
        <v>3.1258500000000002E-2</v>
      </c>
      <c r="J19" s="88">
        <f>E22*J11</f>
        <v>6.7665000000000008E-3</v>
      </c>
      <c r="K19" s="88">
        <f>E22*K11</f>
        <v>5.9475E-2</v>
      </c>
      <c r="L19" s="88">
        <f>E22*L11</f>
        <v>0</v>
      </c>
      <c r="M19" s="89">
        <f t="shared" si="0"/>
        <v>0.19500000000000001</v>
      </c>
      <c r="N19" s="210"/>
      <c r="P19" s="155"/>
      <c r="Q19" s="154"/>
      <c r="R19" s="154"/>
      <c r="S19" s="111" t="s">
        <v>117</v>
      </c>
      <c r="T19" s="112">
        <f>D10</f>
        <v>0.21</v>
      </c>
      <c r="U19" s="154"/>
      <c r="V19" s="3"/>
      <c r="W19" s="3"/>
      <c r="X19" s="3"/>
      <c r="Y19" s="3"/>
      <c r="Z19" s="4"/>
    </row>
    <row r="20" spans="2:26" ht="15.75" thickBot="1" x14ac:dyDescent="0.3">
      <c r="B20" s="10"/>
      <c r="C20" s="35" t="s">
        <v>21</v>
      </c>
      <c r="D20" s="244"/>
      <c r="E20" s="90">
        <f>E19*100</f>
        <v>19.5</v>
      </c>
      <c r="F20" s="37"/>
      <c r="G20" s="11"/>
      <c r="H20" s="11" t="s">
        <v>51</v>
      </c>
      <c r="I20" s="11"/>
      <c r="J20" s="11"/>
      <c r="K20" s="11"/>
      <c r="L20" s="11"/>
      <c r="M20" s="12"/>
      <c r="N20" s="11"/>
      <c r="P20" s="155"/>
      <c r="Q20" s="154"/>
      <c r="R20" s="154"/>
      <c r="S20" s="154"/>
      <c r="T20" s="154"/>
      <c r="U20" s="154"/>
      <c r="V20" s="3"/>
      <c r="W20" s="3"/>
      <c r="X20" s="3"/>
      <c r="Y20" s="3"/>
      <c r="Z20" s="4"/>
    </row>
    <row r="21" spans="2:26" ht="15.75" thickBot="1" x14ac:dyDescent="0.3">
      <c r="B21" s="24" t="s">
        <v>93</v>
      </c>
      <c r="C21" s="91" t="s">
        <v>23</v>
      </c>
      <c r="D21" s="244"/>
      <c r="E21" s="61">
        <v>1</v>
      </c>
      <c r="F21" s="38"/>
      <c r="G21" s="26"/>
      <c r="H21" s="39" t="s">
        <v>45</v>
      </c>
      <c r="I21" s="26" t="s">
        <v>44</v>
      </c>
      <c r="J21" s="26"/>
      <c r="K21" s="26"/>
      <c r="L21" s="26"/>
      <c r="M21" s="27"/>
      <c r="N21" s="11"/>
      <c r="P21" s="155"/>
      <c r="Q21" s="154"/>
      <c r="R21" s="154"/>
      <c r="S21" s="156" t="s">
        <v>118</v>
      </c>
      <c r="T21" s="154"/>
      <c r="U21" s="154"/>
      <c r="V21" s="3"/>
      <c r="W21" s="3"/>
      <c r="X21" s="3"/>
      <c r="Y21" s="3"/>
      <c r="Z21" s="4"/>
    </row>
    <row r="22" spans="2:26" x14ac:dyDescent="0.25">
      <c r="B22" s="28" t="s">
        <v>90</v>
      </c>
      <c r="C22" s="35" t="s">
        <v>22</v>
      </c>
      <c r="D22" s="245"/>
      <c r="E22" s="30">
        <f>E21*E20%</f>
        <v>0.19500000000000001</v>
      </c>
      <c r="F22" s="92"/>
      <c r="G22" s="34" t="s">
        <v>32</v>
      </c>
      <c r="H22" s="34" t="s">
        <v>33</v>
      </c>
      <c r="I22" s="34" t="s">
        <v>34</v>
      </c>
      <c r="J22" s="34" t="s">
        <v>35</v>
      </c>
      <c r="K22" s="34" t="s">
        <v>36</v>
      </c>
      <c r="L22" s="34" t="s">
        <v>37</v>
      </c>
      <c r="M22" s="43" t="s">
        <v>189</v>
      </c>
      <c r="N22" s="11"/>
      <c r="P22" s="114" t="s">
        <v>119</v>
      </c>
      <c r="Q22" s="115"/>
      <c r="R22" s="115"/>
      <c r="S22" s="116"/>
      <c r="T22" s="120"/>
      <c r="U22" s="154"/>
      <c r="V22" s="3"/>
      <c r="W22" s="3"/>
      <c r="X22" s="3"/>
      <c r="Y22" s="3"/>
      <c r="Z22" s="4"/>
    </row>
    <row r="23" spans="2:26" ht="15.75" thickBot="1" x14ac:dyDescent="0.25">
      <c r="B23" s="32" t="s">
        <v>91</v>
      </c>
      <c r="C23" s="11"/>
      <c r="D23" s="11"/>
      <c r="E23" s="11"/>
      <c r="F23" s="92" t="s">
        <v>38</v>
      </c>
      <c r="G23" s="45">
        <f t="shared" ref="G23:L28" si="3">G14*100</f>
        <v>0.78</v>
      </c>
      <c r="H23" s="45">
        <f t="shared" si="3"/>
        <v>0.68250000000000011</v>
      </c>
      <c r="I23" s="45">
        <f t="shared" si="3"/>
        <v>2.4999000000000002</v>
      </c>
      <c r="J23" s="45">
        <f t="shared" si="3"/>
        <v>0.54209999999999992</v>
      </c>
      <c r="K23" s="45">
        <f t="shared" si="3"/>
        <v>8.4629999999999992</v>
      </c>
      <c r="L23" s="45">
        <f t="shared" si="3"/>
        <v>6.5325000000000006</v>
      </c>
      <c r="M23" s="46">
        <f t="shared" ref="M23:M28" si="4">SUM(G23:L23)</f>
        <v>19.5</v>
      </c>
      <c r="N23" s="83"/>
      <c r="P23" s="117" t="s">
        <v>120</v>
      </c>
      <c r="Q23" s="118"/>
      <c r="R23" s="118"/>
      <c r="S23" s="119"/>
      <c r="T23" s="121">
        <f>T7*T19</f>
        <v>931832.15369999991</v>
      </c>
      <c r="U23" s="154"/>
      <c r="V23" s="3"/>
      <c r="W23" s="3"/>
      <c r="X23" s="3"/>
      <c r="Y23" s="3"/>
      <c r="Z23" s="4"/>
    </row>
    <row r="24" spans="2:26" ht="15.75" thickBot="1" x14ac:dyDescent="0.3">
      <c r="B24" s="31">
        <v>24000</v>
      </c>
      <c r="C24" s="93" t="s">
        <v>47</v>
      </c>
      <c r="D24" s="26"/>
      <c r="E24" s="94">
        <v>12860.06</v>
      </c>
      <c r="F24" s="95" t="s">
        <v>39</v>
      </c>
      <c r="G24" s="45">
        <f t="shared" si="3"/>
        <v>0.78</v>
      </c>
      <c r="H24" s="45">
        <f t="shared" si="3"/>
        <v>0.68250000000000011</v>
      </c>
      <c r="I24" s="45">
        <f t="shared" si="3"/>
        <v>2.7397500000000004</v>
      </c>
      <c r="J24" s="45">
        <f t="shared" si="3"/>
        <v>0.59475</v>
      </c>
      <c r="K24" s="45">
        <f t="shared" si="3"/>
        <v>8.4629999999999992</v>
      </c>
      <c r="L24" s="45">
        <f t="shared" si="3"/>
        <v>6.24</v>
      </c>
      <c r="M24" s="46">
        <f t="shared" si="4"/>
        <v>19.5</v>
      </c>
      <c r="N24" s="83"/>
      <c r="P24" s="155"/>
      <c r="Q24" s="154"/>
      <c r="R24" s="154"/>
      <c r="S24" s="111" t="s">
        <v>127</v>
      </c>
      <c r="T24" s="109">
        <f>T23-E10</f>
        <v>806192.15369999991</v>
      </c>
      <c r="U24" s="154"/>
      <c r="V24" s="3"/>
      <c r="W24" s="3"/>
      <c r="X24" s="3"/>
      <c r="Y24" s="3"/>
      <c r="Z24" s="4"/>
    </row>
    <row r="25" spans="2:26" ht="15.75" thickBot="1" x14ac:dyDescent="0.25">
      <c r="B25" s="31">
        <v>0</v>
      </c>
      <c r="C25" s="96" t="s">
        <v>48</v>
      </c>
      <c r="D25" s="11"/>
      <c r="E25" s="181">
        <f>E20</f>
        <v>19.5</v>
      </c>
      <c r="F25" s="95" t="s">
        <v>40</v>
      </c>
      <c r="G25" s="45">
        <f t="shared" si="3"/>
        <v>0.78</v>
      </c>
      <c r="H25" s="45">
        <f t="shared" si="3"/>
        <v>0.68250000000000011</v>
      </c>
      <c r="I25" s="45">
        <f t="shared" si="3"/>
        <v>2.6598000000000002</v>
      </c>
      <c r="J25" s="45">
        <f t="shared" si="3"/>
        <v>0.57720000000000005</v>
      </c>
      <c r="K25" s="45">
        <f t="shared" si="3"/>
        <v>8.4629999999999992</v>
      </c>
      <c r="L25" s="45">
        <f t="shared" si="3"/>
        <v>6.3375000000000004</v>
      </c>
      <c r="M25" s="46">
        <f t="shared" si="4"/>
        <v>19.5</v>
      </c>
      <c r="N25" s="83"/>
      <c r="P25" s="155"/>
      <c r="Q25" s="154"/>
      <c r="R25" s="154"/>
      <c r="S25" s="111" t="s">
        <v>127</v>
      </c>
      <c r="T25" s="109">
        <f>T24*L10</f>
        <v>270074.37148949999</v>
      </c>
      <c r="U25" s="154"/>
      <c r="V25" s="3"/>
      <c r="W25" s="3"/>
      <c r="X25" s="3"/>
      <c r="Y25" s="3"/>
      <c r="Z25" s="4"/>
    </row>
    <row r="26" spans="2:26" ht="15.75" thickBot="1" x14ac:dyDescent="0.25">
      <c r="B26" s="47">
        <v>0</v>
      </c>
      <c r="C26" s="97" t="s">
        <v>85</v>
      </c>
      <c r="D26" s="49"/>
      <c r="E26" s="98">
        <f>E24*E25%</f>
        <v>2507.7116999999998</v>
      </c>
      <c r="F26" s="95" t="s">
        <v>41</v>
      </c>
      <c r="G26" s="45">
        <f t="shared" si="3"/>
        <v>0.78</v>
      </c>
      <c r="H26" s="45">
        <f t="shared" si="3"/>
        <v>0.68250000000000011</v>
      </c>
      <c r="I26" s="45">
        <f t="shared" si="3"/>
        <v>2.6598000000000002</v>
      </c>
      <c r="J26" s="45">
        <f t="shared" si="3"/>
        <v>0.57720000000000005</v>
      </c>
      <c r="K26" s="45">
        <f t="shared" si="3"/>
        <v>8.4629999999999992</v>
      </c>
      <c r="L26" s="45">
        <f t="shared" si="3"/>
        <v>6.3375000000000004</v>
      </c>
      <c r="M26" s="46">
        <f t="shared" si="4"/>
        <v>19.5</v>
      </c>
      <c r="N26" s="83"/>
      <c r="P26" s="155"/>
      <c r="Q26" s="154"/>
      <c r="R26" s="154"/>
      <c r="S26" s="111" t="s">
        <v>121</v>
      </c>
      <c r="T26" s="123">
        <f>T25/T7</f>
        <v>6.0864628664718076E-2</v>
      </c>
      <c r="U26" s="154"/>
      <c r="V26" s="3"/>
      <c r="W26" s="3"/>
      <c r="X26" s="3"/>
      <c r="Y26" s="3"/>
      <c r="Z26" s="4"/>
    </row>
    <row r="27" spans="2:26" ht="15.75" thickBot="1" x14ac:dyDescent="0.25">
      <c r="B27" s="28" t="s">
        <v>95</v>
      </c>
      <c r="C27" s="11"/>
      <c r="D27" s="11"/>
      <c r="E27" s="11"/>
      <c r="F27" s="92" t="s">
        <v>42</v>
      </c>
      <c r="G27" s="45">
        <f t="shared" si="3"/>
        <v>0.78</v>
      </c>
      <c r="H27" s="45">
        <f t="shared" si="3"/>
        <v>0.68250000000000011</v>
      </c>
      <c r="I27" s="45">
        <f t="shared" si="3"/>
        <v>2.4999000000000002</v>
      </c>
      <c r="J27" s="45">
        <f t="shared" si="3"/>
        <v>0.54209999999999992</v>
      </c>
      <c r="K27" s="45">
        <f t="shared" si="3"/>
        <v>8.4629999999999992</v>
      </c>
      <c r="L27" s="45">
        <f t="shared" si="3"/>
        <v>6.5325000000000006</v>
      </c>
      <c r="M27" s="46">
        <f t="shared" si="4"/>
        <v>19.5</v>
      </c>
      <c r="N27" s="83"/>
      <c r="P27" s="155"/>
      <c r="Q27" s="154"/>
      <c r="R27" s="154"/>
      <c r="S27" s="120" t="s">
        <v>122</v>
      </c>
      <c r="T27" s="124">
        <v>0.05</v>
      </c>
      <c r="U27" s="154"/>
      <c r="V27" s="3"/>
      <c r="W27" s="3"/>
      <c r="X27" s="3"/>
      <c r="Y27" s="3"/>
      <c r="Z27" s="4"/>
    </row>
    <row r="28" spans="2:26" ht="15.75" thickBot="1" x14ac:dyDescent="0.25">
      <c r="B28" s="47">
        <f>B24/7</f>
        <v>3428.5714285714284</v>
      </c>
      <c r="C28" s="49"/>
      <c r="D28" s="49"/>
      <c r="E28" s="49"/>
      <c r="F28" s="99" t="s">
        <v>43</v>
      </c>
      <c r="G28" s="55">
        <f t="shared" si="3"/>
        <v>6.8249999999999993</v>
      </c>
      <c r="H28" s="55">
        <f t="shared" si="3"/>
        <v>2.9249999999999998</v>
      </c>
      <c r="I28" s="55">
        <f t="shared" si="3"/>
        <v>3.1258500000000002</v>
      </c>
      <c r="J28" s="55">
        <f t="shared" si="3"/>
        <v>0.67665000000000008</v>
      </c>
      <c r="K28" s="55">
        <f t="shared" si="3"/>
        <v>5.9474999999999998</v>
      </c>
      <c r="L28" s="55">
        <f t="shared" si="3"/>
        <v>0</v>
      </c>
      <c r="M28" s="56">
        <f t="shared" si="4"/>
        <v>19.5</v>
      </c>
      <c r="N28" s="83"/>
      <c r="P28" s="155"/>
      <c r="Q28" s="154"/>
      <c r="R28" s="154"/>
      <c r="S28" s="114" t="s">
        <v>124</v>
      </c>
      <c r="T28" s="120"/>
      <c r="U28" s="154"/>
      <c r="V28" s="3"/>
      <c r="W28" s="3"/>
      <c r="X28" s="3"/>
      <c r="Y28" s="3"/>
      <c r="Z28" s="4"/>
    </row>
    <row r="29" spans="2:26" ht="15.75" thickBot="1" x14ac:dyDescent="0.25">
      <c r="B29" s="28" t="s">
        <v>92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P29" s="155"/>
      <c r="Q29" s="154"/>
      <c r="R29" s="154"/>
      <c r="S29" s="122" t="s">
        <v>123</v>
      </c>
      <c r="T29" s="125">
        <f>T26-T27</f>
        <v>1.0864628664718073E-2</v>
      </c>
      <c r="U29" s="154"/>
      <c r="V29" s="3"/>
      <c r="W29" s="3"/>
      <c r="X29" s="3"/>
      <c r="Y29" s="3"/>
      <c r="Z29" s="4"/>
    </row>
    <row r="30" spans="2:26" ht="15.75" thickBot="1" x14ac:dyDescent="0.3">
      <c r="B30" s="86">
        <f>B28*12</f>
        <v>41142.857142857145</v>
      </c>
      <c r="C30" s="57"/>
      <c r="D30" s="57"/>
      <c r="E30" s="57"/>
      <c r="F30" s="38"/>
      <c r="G30" s="26"/>
      <c r="H30" s="39" t="s">
        <v>106</v>
      </c>
      <c r="I30" s="26" t="s">
        <v>190</v>
      </c>
      <c r="J30" s="26"/>
      <c r="K30" s="26"/>
      <c r="L30" s="26"/>
      <c r="M30" s="27"/>
      <c r="N30" s="11"/>
      <c r="P30" s="155" t="s">
        <v>106</v>
      </c>
      <c r="Q30" s="154"/>
      <c r="R30" s="154"/>
      <c r="S30" s="156" t="s">
        <v>125</v>
      </c>
      <c r="T30" s="154"/>
      <c r="U30" s="154"/>
      <c r="V30" s="3"/>
      <c r="W30" s="3"/>
      <c r="X30" s="3"/>
      <c r="Y30" s="3"/>
      <c r="Z30" s="4"/>
    </row>
    <row r="31" spans="2:26" ht="12" customHeight="1" x14ac:dyDescent="0.2">
      <c r="B31" s="167"/>
      <c r="C31" s="57"/>
      <c r="D31" s="57"/>
      <c r="E31" s="57"/>
      <c r="F31" s="42"/>
      <c r="G31" s="34" t="s">
        <v>32</v>
      </c>
      <c r="H31" s="34" t="s">
        <v>33</v>
      </c>
      <c r="I31" s="34" t="s">
        <v>34</v>
      </c>
      <c r="J31" s="34" t="s">
        <v>35</v>
      </c>
      <c r="K31" s="34" t="s">
        <v>36</v>
      </c>
      <c r="L31" s="34" t="s">
        <v>37</v>
      </c>
      <c r="M31" s="43" t="s">
        <v>189</v>
      </c>
      <c r="N31" s="11"/>
      <c r="P31" s="130" t="s">
        <v>128</v>
      </c>
      <c r="Q31" s="131" t="s">
        <v>126</v>
      </c>
      <c r="R31" s="132" t="s">
        <v>127</v>
      </c>
      <c r="S31" s="154"/>
      <c r="T31" s="154"/>
      <c r="U31" s="154"/>
      <c r="V31" s="3"/>
      <c r="W31" s="3"/>
      <c r="X31" s="3"/>
      <c r="Y31" s="3"/>
      <c r="Z31" s="4"/>
    </row>
    <row r="32" spans="2:26" ht="12" customHeight="1" x14ac:dyDescent="0.2">
      <c r="F32" s="42" t="s">
        <v>38</v>
      </c>
      <c r="G32" s="45">
        <f t="shared" ref="G32:L32" si="5">$E24*G23/100</f>
        <v>100.30846799999999</v>
      </c>
      <c r="H32" s="45">
        <f t="shared" si="5"/>
        <v>87.769909500000011</v>
      </c>
      <c r="I32" s="45">
        <f t="shared" si="5"/>
        <v>321.48863994000004</v>
      </c>
      <c r="J32" s="45">
        <f t="shared" si="5"/>
        <v>69.714385259999986</v>
      </c>
      <c r="K32" s="45">
        <f t="shared" si="5"/>
        <v>1088.3468777999997</v>
      </c>
      <c r="L32" s="45">
        <f t="shared" si="5"/>
        <v>840.08341949999999</v>
      </c>
      <c r="M32" s="71">
        <f t="shared" ref="M32:M37" si="6">SUM(G32:L32)</f>
        <v>2507.7116999999998</v>
      </c>
      <c r="N32" s="210"/>
      <c r="P32" s="133" t="s">
        <v>32</v>
      </c>
      <c r="Q32" s="127">
        <v>6.0199999999999997E-2</v>
      </c>
      <c r="R32" s="134">
        <f>Q32*T29</f>
        <v>6.5405064561602797E-4</v>
      </c>
      <c r="S32" s="154"/>
      <c r="T32" s="154"/>
      <c r="U32" s="154"/>
      <c r="V32" s="3"/>
      <c r="W32" s="3"/>
      <c r="X32" s="3"/>
      <c r="Y32" s="3"/>
      <c r="Z32" s="4"/>
    </row>
    <row r="33" spans="2:26" ht="12" customHeight="1" x14ac:dyDescent="0.25">
      <c r="B33" s="246" t="s">
        <v>225</v>
      </c>
      <c r="C33" s="246" t="s">
        <v>226</v>
      </c>
      <c r="F33" s="42" t="s">
        <v>39</v>
      </c>
      <c r="G33" s="45">
        <f t="shared" ref="G33:L33" si="7">$E24*G24/100</f>
        <v>100.30846799999999</v>
      </c>
      <c r="H33" s="45">
        <f t="shared" si="7"/>
        <v>87.769909500000011</v>
      </c>
      <c r="I33" s="45">
        <f t="shared" si="7"/>
        <v>352.33349385000002</v>
      </c>
      <c r="J33" s="45">
        <f t="shared" si="7"/>
        <v>76.485206849999997</v>
      </c>
      <c r="K33" s="45">
        <f t="shared" si="7"/>
        <v>1088.3468777999997</v>
      </c>
      <c r="L33" s="45">
        <f t="shared" si="7"/>
        <v>802.46774399999993</v>
      </c>
      <c r="M33" s="71">
        <f t="shared" si="6"/>
        <v>2507.7116999999994</v>
      </c>
      <c r="N33" s="210"/>
      <c r="P33" s="133" t="s">
        <v>33</v>
      </c>
      <c r="Q33" s="127">
        <v>5.2600000000000001E-2</v>
      </c>
      <c r="R33" s="134">
        <f>Q33*T29</f>
        <v>5.7147946776417067E-4</v>
      </c>
      <c r="S33" s="154"/>
      <c r="T33" s="154"/>
      <c r="U33" s="154"/>
      <c r="V33" s="3"/>
      <c r="W33" s="3"/>
      <c r="X33" s="3"/>
      <c r="Y33" s="3"/>
      <c r="Z33" s="4"/>
    </row>
    <row r="34" spans="2:26" ht="12" customHeight="1" x14ac:dyDescent="0.2">
      <c r="F34" s="42" t="s">
        <v>40</v>
      </c>
      <c r="G34" s="45">
        <f t="shared" ref="G34:L34" si="8">$E24*G25/100</f>
        <v>100.30846799999999</v>
      </c>
      <c r="H34" s="45">
        <f t="shared" si="8"/>
        <v>87.769909500000011</v>
      </c>
      <c r="I34" s="45">
        <f t="shared" si="8"/>
        <v>342.05187588000001</v>
      </c>
      <c r="J34" s="45">
        <f t="shared" si="8"/>
        <v>74.228266320000003</v>
      </c>
      <c r="K34" s="45">
        <f t="shared" si="8"/>
        <v>1088.3468777999997</v>
      </c>
      <c r="L34" s="45">
        <f t="shared" si="8"/>
        <v>815.00630250000006</v>
      </c>
      <c r="M34" s="71">
        <f t="shared" si="6"/>
        <v>2507.7116999999998</v>
      </c>
      <c r="N34" s="210"/>
      <c r="P34" s="133" t="s">
        <v>34</v>
      </c>
      <c r="Q34" s="127">
        <v>0.1928</v>
      </c>
      <c r="R34" s="134">
        <f>Q34*T29</f>
        <v>2.0947004065576444E-3</v>
      </c>
      <c r="S34" s="154"/>
      <c r="T34" s="154"/>
      <c r="U34" s="154"/>
      <c r="V34" s="3"/>
      <c r="W34" s="3"/>
      <c r="X34" s="3"/>
      <c r="Y34" s="3"/>
      <c r="Z34" s="4"/>
    </row>
    <row r="35" spans="2:26" ht="12" customHeight="1" x14ac:dyDescent="0.2">
      <c r="F35" s="42" t="s">
        <v>41</v>
      </c>
      <c r="G35" s="45">
        <f t="shared" ref="G35:L35" si="9">$E24*G26/100</f>
        <v>100.30846799999999</v>
      </c>
      <c r="H35" s="45">
        <f t="shared" si="9"/>
        <v>87.769909500000011</v>
      </c>
      <c r="I35" s="45">
        <f t="shared" si="9"/>
        <v>342.05187588000001</v>
      </c>
      <c r="J35" s="45">
        <f t="shared" si="9"/>
        <v>74.228266320000003</v>
      </c>
      <c r="K35" s="45">
        <f t="shared" si="9"/>
        <v>1088.3468777999997</v>
      </c>
      <c r="L35" s="45">
        <f t="shared" si="9"/>
        <v>815.00630250000006</v>
      </c>
      <c r="M35" s="71">
        <f t="shared" si="6"/>
        <v>2507.7116999999998</v>
      </c>
      <c r="N35" s="210"/>
      <c r="P35" s="133" t="s">
        <v>35</v>
      </c>
      <c r="Q35" s="127">
        <v>4.1799999999999997E-2</v>
      </c>
      <c r="R35" s="134">
        <f>Q35*T29</f>
        <v>4.5414147818521541E-4</v>
      </c>
      <c r="S35" s="154"/>
      <c r="T35" s="154"/>
      <c r="U35" s="154"/>
      <c r="V35" s="3"/>
      <c r="W35" s="3"/>
      <c r="X35" s="3"/>
      <c r="Y35" s="3"/>
      <c r="Z35" s="4"/>
    </row>
    <row r="36" spans="2:26" ht="12" customHeight="1" x14ac:dyDescent="0.2">
      <c r="F36" s="42" t="s">
        <v>42</v>
      </c>
      <c r="G36" s="45">
        <f t="shared" ref="G36:L36" si="10">$E24*G27/100</f>
        <v>100.30846799999999</v>
      </c>
      <c r="H36" s="45">
        <f t="shared" si="10"/>
        <v>87.769909500000011</v>
      </c>
      <c r="I36" s="45">
        <f t="shared" si="10"/>
        <v>321.48863994000004</v>
      </c>
      <c r="J36" s="45">
        <f t="shared" si="10"/>
        <v>69.714385259999986</v>
      </c>
      <c r="K36" s="45">
        <f t="shared" si="10"/>
        <v>1088.3468777999997</v>
      </c>
      <c r="L36" s="45">
        <f t="shared" si="10"/>
        <v>840.08341949999999</v>
      </c>
      <c r="M36" s="71">
        <f t="shared" si="6"/>
        <v>2507.7116999999998</v>
      </c>
      <c r="N36" s="210"/>
      <c r="P36" s="133" t="s">
        <v>36</v>
      </c>
      <c r="Q36" s="127">
        <v>0.65259999999999996</v>
      </c>
      <c r="R36" s="134">
        <f>Q36*T29</f>
        <v>7.0902566665950141E-3</v>
      </c>
      <c r="S36" s="154"/>
      <c r="T36" s="154"/>
      <c r="U36" s="154"/>
      <c r="V36" s="3"/>
      <c r="W36" s="3"/>
      <c r="X36" s="3"/>
      <c r="Y36" s="3"/>
      <c r="Z36" s="4"/>
    </row>
    <row r="37" spans="2:26" ht="12" customHeight="1" thickBot="1" x14ac:dyDescent="0.25">
      <c r="F37" s="54" t="s">
        <v>43</v>
      </c>
      <c r="G37" s="55">
        <f>$E24*G28/100</f>
        <v>877.69909499999994</v>
      </c>
      <c r="H37" s="55">
        <f>$E24*H28/100</f>
        <v>376.15675499999998</v>
      </c>
      <c r="I37" s="55">
        <f>$E24*I28/100</f>
        <v>401.98618550999998</v>
      </c>
      <c r="J37" s="55">
        <f>$E24*J28/100</f>
        <v>87.017595990000004</v>
      </c>
      <c r="K37" s="55">
        <f>$E24*K28/100</f>
        <v>764.85206849999986</v>
      </c>
      <c r="L37" s="55">
        <f t="shared" ref="L37" si="11">L28*100</f>
        <v>0</v>
      </c>
      <c r="M37" s="72">
        <f t="shared" si="6"/>
        <v>2507.7116999999998</v>
      </c>
      <c r="N37" s="210"/>
      <c r="P37" s="135" t="s">
        <v>67</v>
      </c>
      <c r="Q37" s="136">
        <f>SUM(Q32:Q36)</f>
        <v>1</v>
      </c>
      <c r="R37" s="137"/>
      <c r="S37" s="154"/>
      <c r="T37" s="154"/>
      <c r="U37" s="154"/>
      <c r="V37" s="3"/>
      <c r="W37" s="3"/>
      <c r="X37" s="3"/>
      <c r="Y37" s="3"/>
      <c r="Z37" s="4"/>
    </row>
    <row r="38" spans="2:26" ht="12" customHeight="1" thickBot="1" x14ac:dyDescent="0.25">
      <c r="P38" s="155"/>
      <c r="Q38" s="154"/>
      <c r="R38" s="154"/>
      <c r="S38" s="111" t="s">
        <v>129</v>
      </c>
      <c r="T38" s="123">
        <f>T18+T26</f>
        <v>0.24482974517237355</v>
      </c>
      <c r="U38" s="154"/>
      <c r="V38" s="3"/>
      <c r="W38" s="3"/>
      <c r="X38" s="3"/>
      <c r="Y38" s="3"/>
      <c r="Z38" s="4"/>
    </row>
    <row r="39" spans="2:26" ht="12" customHeight="1" thickBot="1" x14ac:dyDescent="0.25">
      <c r="P39" s="155"/>
      <c r="Q39" s="154"/>
      <c r="R39" s="154"/>
      <c r="S39" s="111" t="s">
        <v>130</v>
      </c>
      <c r="T39" s="138">
        <f>T12*T38</f>
        <v>313661.66938962496</v>
      </c>
      <c r="U39" s="154"/>
      <c r="V39" s="3"/>
      <c r="W39" s="3"/>
      <c r="X39" s="3"/>
      <c r="Y39" s="3"/>
      <c r="Z39" s="4"/>
    </row>
    <row r="40" spans="2:26" ht="7.5" customHeight="1" thickBot="1" x14ac:dyDescent="0.25">
      <c r="P40" s="155"/>
      <c r="Q40" s="154"/>
      <c r="R40" s="154"/>
      <c r="S40" s="154"/>
      <c r="T40" s="154"/>
      <c r="U40" s="154"/>
      <c r="V40" s="3"/>
      <c r="W40" s="3"/>
      <c r="X40" s="3"/>
      <c r="Y40" s="3"/>
      <c r="Z40" s="4"/>
    </row>
    <row r="41" spans="2:26" ht="15.75" thickBot="1" x14ac:dyDescent="0.3">
      <c r="P41" s="105" t="s">
        <v>131</v>
      </c>
      <c r="Q41" s="106"/>
      <c r="R41" s="106"/>
      <c r="S41" s="107"/>
      <c r="T41" s="154"/>
      <c r="U41" s="154"/>
      <c r="V41" s="3"/>
      <c r="W41" s="3"/>
      <c r="X41" s="3"/>
      <c r="Y41" s="3"/>
      <c r="Z41" s="4"/>
    </row>
    <row r="42" spans="2:26" ht="15.75" thickBot="1" x14ac:dyDescent="0.3">
      <c r="P42" s="105" t="s">
        <v>132</v>
      </c>
      <c r="Q42" s="106"/>
      <c r="R42" s="106"/>
      <c r="S42" s="106"/>
      <c r="T42" s="141">
        <f t="shared" ref="T42:Y42" si="12">G11</f>
        <v>0.35</v>
      </c>
      <c r="U42" s="142">
        <f t="shared" si="12"/>
        <v>0.15</v>
      </c>
      <c r="V42" s="142">
        <f t="shared" si="12"/>
        <v>0.1603</v>
      </c>
      <c r="W42" s="142">
        <f t="shared" si="12"/>
        <v>3.4700000000000002E-2</v>
      </c>
      <c r="X42" s="142">
        <f t="shared" si="12"/>
        <v>0.30499999999999999</v>
      </c>
      <c r="Y42" s="142">
        <f t="shared" si="12"/>
        <v>0</v>
      </c>
      <c r="Z42" s="143">
        <f>T42+U42+V42+W42+X42+Y42</f>
        <v>1</v>
      </c>
    </row>
    <row r="43" spans="2:26" ht="15.75" thickBot="1" x14ac:dyDescent="0.25">
      <c r="P43" s="105" t="s">
        <v>133</v>
      </c>
      <c r="Q43" s="106"/>
      <c r="R43" s="106"/>
      <c r="S43" s="106"/>
      <c r="T43" s="144">
        <f>T18*T42</f>
        <v>6.4387790777679407E-2</v>
      </c>
      <c r="U43" s="139">
        <f>T18*U42</f>
        <v>2.7594767476148318E-2</v>
      </c>
      <c r="V43" s="139">
        <f>T18*V42</f>
        <v>2.9489608176177171E-2</v>
      </c>
      <c r="W43" s="139">
        <f>T18*W42</f>
        <v>6.3835895428156443E-3</v>
      </c>
      <c r="X43" s="139">
        <f>T18*X42</f>
        <v>5.6109360534834916E-2</v>
      </c>
      <c r="Y43" s="129">
        <f>T18*Y42</f>
        <v>0</v>
      </c>
      <c r="Z43" s="145">
        <f>T43+U43+V43+W43+X43+Y43</f>
        <v>0.18396511650765546</v>
      </c>
    </row>
    <row r="44" spans="2:26" ht="15.75" thickBot="1" x14ac:dyDescent="0.25">
      <c r="P44" s="105" t="s">
        <v>134</v>
      </c>
      <c r="Q44" s="106"/>
      <c r="R44" s="106"/>
      <c r="S44" s="106"/>
      <c r="T44" s="146">
        <f>R32</f>
        <v>6.5405064561602797E-4</v>
      </c>
      <c r="U44" s="128">
        <f>R33</f>
        <v>5.7147946776417067E-4</v>
      </c>
      <c r="V44" s="128">
        <f>R34</f>
        <v>2.0947004065576444E-3</v>
      </c>
      <c r="W44" s="128">
        <f>R35</f>
        <v>4.5414147818521541E-4</v>
      </c>
      <c r="X44" s="128">
        <f>R36</f>
        <v>7.0902566665950141E-3</v>
      </c>
      <c r="Y44" s="140">
        <f>L11</f>
        <v>0</v>
      </c>
      <c r="Z44" s="147">
        <f>T44+U44+V44+W44+X44+Y44</f>
        <v>1.0864628664718073E-2</v>
      </c>
    </row>
    <row r="45" spans="2:26" ht="15.75" thickBot="1" x14ac:dyDescent="0.3">
      <c r="P45" s="105" t="s">
        <v>135</v>
      </c>
      <c r="Q45" s="106"/>
      <c r="R45" s="106"/>
      <c r="S45" s="106"/>
      <c r="T45" s="144">
        <f>SUM(T43:T44)</f>
        <v>6.504184142329543E-2</v>
      </c>
      <c r="U45" s="139">
        <f>SUM(U43:U44)</f>
        <v>2.8166246943912489E-2</v>
      </c>
      <c r="V45" s="139">
        <f>SUM(V43:V44)</f>
        <v>3.1584308582734817E-2</v>
      </c>
      <c r="W45" s="139">
        <f>SUM(W43:W44)</f>
        <v>6.8377310210008596E-3</v>
      </c>
      <c r="X45" s="139">
        <f>SUM(X43:X44)</f>
        <v>6.3199617201429928E-2</v>
      </c>
      <c r="Y45" s="139">
        <v>0.05</v>
      </c>
      <c r="Z45" s="147">
        <f>T45+U45+V45+W45+X45+Y45</f>
        <v>0.24482974517237349</v>
      </c>
    </row>
    <row r="46" spans="2:26" ht="15.75" thickBot="1" x14ac:dyDescent="0.25">
      <c r="P46" s="105" t="s">
        <v>136</v>
      </c>
      <c r="Q46" s="106"/>
      <c r="R46" s="106"/>
      <c r="S46" s="106"/>
      <c r="T46" s="148">
        <f>T12*T45</f>
        <v>83327.834804723549</v>
      </c>
      <c r="U46" s="149">
        <f>T12*U45</f>
        <v>36084.961942217931</v>
      </c>
      <c r="V46" s="149">
        <f>T12*V45</f>
        <v>40463.984266302046</v>
      </c>
      <c r="W46" s="149">
        <f>T12*W45</f>
        <v>8760.1043957070833</v>
      </c>
      <c r="X46" s="149">
        <f>T12*X45</f>
        <v>80967.683980674337</v>
      </c>
      <c r="Y46" s="149">
        <f>T12*Y45</f>
        <v>64057.100000000006</v>
      </c>
      <c r="Z46" s="150">
        <f>T46+U46+V46+W46+X46+Y46</f>
        <v>313661.66938962496</v>
      </c>
    </row>
    <row r="47" spans="2:26" x14ac:dyDescent="0.25">
      <c r="P47" s="104"/>
      <c r="Q47" s="104"/>
      <c r="R47" s="104"/>
      <c r="S47" s="104"/>
      <c r="T47" s="104"/>
      <c r="U47" s="104"/>
    </row>
    <row r="48" spans="2:26" x14ac:dyDescent="0.25">
      <c r="P48" s="104"/>
      <c r="Q48" s="104"/>
      <c r="R48" s="104"/>
      <c r="S48" s="104"/>
      <c r="T48" s="104"/>
      <c r="U48" s="104"/>
    </row>
    <row r="49" spans="16:26" ht="15.75" thickBot="1" x14ac:dyDescent="0.3">
      <c r="P49" s="104"/>
      <c r="Q49" s="104"/>
      <c r="R49" s="104"/>
      <c r="S49" s="104"/>
      <c r="T49" s="104"/>
      <c r="U49" s="104"/>
    </row>
    <row r="50" spans="16:26" ht="15.75" thickBot="1" x14ac:dyDescent="0.3">
      <c r="P50" s="105"/>
      <c r="Q50" s="159" t="s">
        <v>142</v>
      </c>
      <c r="R50" s="159"/>
      <c r="S50" s="159"/>
      <c r="T50" s="107"/>
      <c r="U50" s="115"/>
      <c r="V50" s="1"/>
      <c r="W50" s="1"/>
      <c r="X50" s="1"/>
      <c r="Y50" s="1"/>
      <c r="Z50" s="2"/>
    </row>
    <row r="51" spans="16:26" ht="15.75" thickBot="1" x14ac:dyDescent="0.3">
      <c r="P51" s="105" t="s">
        <v>143</v>
      </c>
      <c r="Q51" s="106"/>
      <c r="R51" s="106"/>
      <c r="S51" s="107"/>
      <c r="T51" s="112">
        <f>L10</f>
        <v>0.33500000000000002</v>
      </c>
      <c r="U51" s="154"/>
      <c r="V51" s="3"/>
      <c r="W51" s="3"/>
      <c r="X51" s="3"/>
      <c r="Y51" s="3"/>
      <c r="Z51" s="4"/>
    </row>
    <row r="52" spans="16:26" ht="15.75" thickBot="1" x14ac:dyDescent="0.3">
      <c r="P52" s="105" t="s">
        <v>114</v>
      </c>
      <c r="Q52" s="106"/>
      <c r="R52" s="106"/>
      <c r="S52" s="107"/>
      <c r="T52" s="110">
        <f>E10</f>
        <v>125640</v>
      </c>
      <c r="U52" s="154"/>
      <c r="V52" s="3"/>
      <c r="W52" s="3"/>
      <c r="X52" s="3"/>
      <c r="Y52" s="3"/>
      <c r="Z52" s="4"/>
    </row>
    <row r="53" spans="16:26" ht="15.75" thickBot="1" x14ac:dyDescent="0.3">
      <c r="P53" s="105" t="s">
        <v>144</v>
      </c>
      <c r="Q53" s="106"/>
      <c r="R53" s="106"/>
      <c r="S53" s="107"/>
      <c r="T53" s="108">
        <f>T10*T19</f>
        <v>756000</v>
      </c>
      <c r="U53" s="154"/>
      <c r="V53" s="3"/>
      <c r="W53" s="3"/>
      <c r="X53" s="3"/>
      <c r="Y53" s="3"/>
      <c r="Z53" s="4"/>
    </row>
    <row r="54" spans="16:26" ht="15.75" thickBot="1" x14ac:dyDescent="0.3">
      <c r="P54" s="155"/>
      <c r="Q54" s="154"/>
      <c r="R54" s="154"/>
      <c r="S54" s="110" t="s">
        <v>137</v>
      </c>
      <c r="T54" s="109">
        <f>T53-T52</f>
        <v>630360</v>
      </c>
      <c r="U54" s="154"/>
      <c r="V54" s="3"/>
      <c r="W54" s="3"/>
      <c r="X54" s="3"/>
      <c r="Y54" s="3"/>
      <c r="Z54" s="4"/>
    </row>
    <row r="55" spans="16:26" ht="15.75" thickBot="1" x14ac:dyDescent="0.3">
      <c r="P55" s="155"/>
      <c r="Q55" s="154"/>
      <c r="R55" s="154"/>
      <c r="S55" s="111" t="s">
        <v>116</v>
      </c>
      <c r="T55" s="160">
        <f>T54*T51</f>
        <v>211170.6</v>
      </c>
      <c r="U55" s="154"/>
      <c r="V55" s="3"/>
      <c r="W55" s="3"/>
      <c r="X55" s="3"/>
      <c r="Y55" s="3"/>
      <c r="Z55" s="4"/>
    </row>
    <row r="56" spans="16:26" ht="15.75" thickBot="1" x14ac:dyDescent="0.3">
      <c r="P56" s="155"/>
      <c r="Q56" s="154"/>
      <c r="R56" s="154"/>
      <c r="S56" s="111" t="s">
        <v>146</v>
      </c>
      <c r="T56" s="161">
        <f>T55/T10</f>
        <v>5.8658500000000002E-2</v>
      </c>
      <c r="U56" s="154"/>
      <c r="V56" s="3"/>
      <c r="W56" s="3"/>
      <c r="X56" s="3"/>
      <c r="Y56" s="3"/>
      <c r="Z56" s="4"/>
    </row>
    <row r="57" spans="16:26" ht="15.75" thickBot="1" x14ac:dyDescent="0.3">
      <c r="P57" s="155"/>
      <c r="Q57" s="154"/>
      <c r="R57" s="154"/>
      <c r="S57" s="111" t="s">
        <v>147</v>
      </c>
      <c r="T57" s="112">
        <v>0.05</v>
      </c>
      <c r="U57" s="154"/>
      <c r="V57" s="3"/>
      <c r="W57" s="3"/>
      <c r="X57" s="3"/>
      <c r="Y57" s="3"/>
      <c r="Z57" s="4"/>
    </row>
    <row r="58" spans="16:26" x14ac:dyDescent="0.25">
      <c r="P58" s="155"/>
      <c r="Q58" s="154"/>
      <c r="R58" s="154"/>
      <c r="S58" s="120" t="s">
        <v>148</v>
      </c>
      <c r="T58" s="120"/>
      <c r="U58" s="154"/>
      <c r="V58" s="3"/>
      <c r="W58" s="3"/>
      <c r="X58" s="3"/>
      <c r="Y58" s="3"/>
      <c r="Z58" s="4"/>
    </row>
    <row r="59" spans="16:26" ht="15.75" thickBot="1" x14ac:dyDescent="0.3">
      <c r="P59" s="155"/>
      <c r="Q59" s="154"/>
      <c r="R59" s="154"/>
      <c r="S59" s="162" t="s">
        <v>149</v>
      </c>
      <c r="T59" s="125">
        <f>T56-T57</f>
        <v>8.6584999999999995E-3</v>
      </c>
      <c r="U59" s="154"/>
      <c r="V59" s="3"/>
      <c r="W59" s="3"/>
      <c r="X59" s="3"/>
      <c r="Y59" s="3"/>
      <c r="Z59" s="4"/>
    </row>
    <row r="60" spans="16:26" ht="15.75" thickBot="1" x14ac:dyDescent="0.3">
      <c r="P60" s="155" t="s">
        <v>106</v>
      </c>
      <c r="Q60" s="154"/>
      <c r="R60" s="154"/>
      <c r="S60" s="156" t="s">
        <v>125</v>
      </c>
      <c r="T60" s="154"/>
      <c r="U60" s="154"/>
      <c r="V60" s="3"/>
      <c r="W60" s="3"/>
      <c r="X60" s="3"/>
      <c r="Y60" s="3"/>
      <c r="Z60" s="4"/>
    </row>
    <row r="61" spans="16:26" x14ac:dyDescent="0.25">
      <c r="P61" s="130" t="s">
        <v>128</v>
      </c>
      <c r="Q61" s="131" t="s">
        <v>126</v>
      </c>
      <c r="R61" s="132" t="s">
        <v>127</v>
      </c>
      <c r="S61" s="154"/>
      <c r="T61" s="154"/>
      <c r="U61" s="154"/>
      <c r="V61" s="3"/>
      <c r="W61" s="3"/>
      <c r="X61" s="3"/>
      <c r="Y61" s="3"/>
      <c r="Z61" s="4"/>
    </row>
    <row r="62" spans="16:26" x14ac:dyDescent="0.25">
      <c r="P62" s="133" t="s">
        <v>32</v>
      </c>
      <c r="Q62" s="127">
        <v>6.0199999999999997E-2</v>
      </c>
      <c r="R62" s="134">
        <f>Q62*T59</f>
        <v>5.2124169999999989E-4</v>
      </c>
      <c r="S62" s="154"/>
      <c r="T62" s="154"/>
      <c r="U62" s="154"/>
      <c r="V62" s="3"/>
      <c r="W62" s="3"/>
      <c r="X62" s="3"/>
      <c r="Y62" s="3"/>
      <c r="Z62" s="4"/>
    </row>
    <row r="63" spans="16:26" x14ac:dyDescent="0.25">
      <c r="P63" s="133" t="s">
        <v>33</v>
      </c>
      <c r="Q63" s="127">
        <v>5.2600000000000001E-2</v>
      </c>
      <c r="R63" s="134">
        <f>Q63*T59</f>
        <v>4.5543709999999998E-4</v>
      </c>
      <c r="S63" s="154"/>
      <c r="T63" s="154"/>
      <c r="U63" s="154"/>
      <c r="V63" s="3"/>
      <c r="W63" s="3"/>
      <c r="X63" s="3"/>
      <c r="Y63" s="3"/>
      <c r="Z63" s="4"/>
    </row>
    <row r="64" spans="16:26" x14ac:dyDescent="0.25">
      <c r="P64" s="133" t="s">
        <v>34</v>
      </c>
      <c r="Q64" s="127">
        <v>0.1928</v>
      </c>
      <c r="R64" s="134">
        <f>Q64*T59</f>
        <v>1.6693588E-3</v>
      </c>
      <c r="S64" s="154"/>
      <c r="T64" s="154"/>
      <c r="U64" s="154"/>
      <c r="V64" s="3"/>
      <c r="W64" s="3"/>
      <c r="X64" s="3"/>
      <c r="Y64" s="3"/>
      <c r="Z64" s="4"/>
    </row>
    <row r="65" spans="16:26" x14ac:dyDescent="0.25">
      <c r="P65" s="133" t="s">
        <v>35</v>
      </c>
      <c r="Q65" s="127">
        <v>4.1799999999999997E-2</v>
      </c>
      <c r="R65" s="134">
        <f>Q65*T59</f>
        <v>3.6192529999999997E-4</v>
      </c>
      <c r="S65" s="154"/>
      <c r="T65" s="154"/>
      <c r="U65" s="154"/>
      <c r="V65" s="3"/>
      <c r="W65" s="3"/>
      <c r="X65" s="3"/>
      <c r="Y65" s="3"/>
      <c r="Z65" s="4"/>
    </row>
    <row r="66" spans="16:26" x14ac:dyDescent="0.25">
      <c r="P66" s="133" t="s">
        <v>36</v>
      </c>
      <c r="Q66" s="127">
        <v>0.65259999999999996</v>
      </c>
      <c r="R66" s="134">
        <f>Q66*T59</f>
        <v>5.6505370999999993E-3</v>
      </c>
      <c r="S66" s="154"/>
      <c r="T66" s="154"/>
      <c r="U66" s="154"/>
      <c r="V66" s="3"/>
      <c r="W66" s="3"/>
      <c r="X66" s="3"/>
      <c r="Y66" s="3"/>
      <c r="Z66" s="4"/>
    </row>
    <row r="67" spans="16:26" ht="15.75" thickBot="1" x14ac:dyDescent="0.3">
      <c r="P67" s="135" t="s">
        <v>67</v>
      </c>
      <c r="Q67" s="136">
        <f>SUM(Q62:Q66)</f>
        <v>1</v>
      </c>
      <c r="R67" s="137"/>
      <c r="S67" s="154"/>
      <c r="T67" s="154"/>
      <c r="U67" s="154"/>
      <c r="V67" s="3"/>
      <c r="W67" s="3"/>
      <c r="X67" s="3"/>
      <c r="Y67" s="3"/>
      <c r="Z67" s="4"/>
    </row>
    <row r="68" spans="16:26" ht="15.75" thickBot="1" x14ac:dyDescent="0.3">
      <c r="P68" s="155"/>
      <c r="Q68" s="154"/>
      <c r="R68" s="154"/>
      <c r="S68" s="111" t="s">
        <v>150</v>
      </c>
      <c r="T68" s="123">
        <f>T18+T56</f>
        <v>0.24262361650765546</v>
      </c>
      <c r="U68" s="154"/>
      <c r="V68" s="3"/>
      <c r="W68" s="3"/>
      <c r="X68" s="3"/>
      <c r="Y68" s="3"/>
      <c r="Z68" s="4"/>
    </row>
    <row r="69" spans="16:26" ht="15.75" thickBot="1" x14ac:dyDescent="0.3">
      <c r="P69" s="155"/>
      <c r="Q69" s="154"/>
      <c r="R69" s="154"/>
      <c r="S69" s="111" t="s">
        <v>151</v>
      </c>
      <c r="T69" s="138">
        <f>T11*T68</f>
        <v>592140.16236370523</v>
      </c>
      <c r="U69" s="154"/>
      <c r="V69" s="3"/>
      <c r="W69" s="3"/>
      <c r="X69" s="3"/>
      <c r="Y69" s="3"/>
      <c r="Z69" s="4"/>
    </row>
    <row r="70" spans="16:26" ht="15.75" thickBot="1" x14ac:dyDescent="0.3">
      <c r="P70" s="155"/>
      <c r="Q70" s="154"/>
      <c r="R70" s="154"/>
      <c r="S70" s="154"/>
      <c r="T70" s="154"/>
      <c r="U70" s="154"/>
      <c r="V70" s="3"/>
      <c r="W70" s="3"/>
      <c r="X70" s="3"/>
      <c r="Y70" s="3"/>
      <c r="Z70" s="4"/>
    </row>
    <row r="71" spans="16:26" ht="15.75" thickBot="1" x14ac:dyDescent="0.3">
      <c r="P71" s="105" t="s">
        <v>152</v>
      </c>
      <c r="Q71" s="106"/>
      <c r="R71" s="106"/>
      <c r="S71" s="107"/>
      <c r="T71" s="154"/>
      <c r="U71" s="154"/>
      <c r="V71" s="3"/>
      <c r="W71" s="3"/>
      <c r="X71" s="3"/>
      <c r="Y71" s="3"/>
      <c r="Z71" s="4"/>
    </row>
    <row r="72" spans="16:26" ht="15.75" thickBot="1" x14ac:dyDescent="0.3">
      <c r="P72" s="105" t="s">
        <v>132</v>
      </c>
      <c r="Q72" s="106"/>
      <c r="R72" s="106"/>
      <c r="S72" s="106"/>
      <c r="T72" s="141">
        <f t="shared" ref="T72:Y72" si="13">G11</f>
        <v>0.35</v>
      </c>
      <c r="U72" s="142">
        <f t="shared" si="13"/>
        <v>0.15</v>
      </c>
      <c r="V72" s="142">
        <f t="shared" si="13"/>
        <v>0.1603</v>
      </c>
      <c r="W72" s="142">
        <f t="shared" si="13"/>
        <v>3.4700000000000002E-2</v>
      </c>
      <c r="X72" s="142">
        <f t="shared" si="13"/>
        <v>0.30499999999999999</v>
      </c>
      <c r="Y72" s="163">
        <f t="shared" si="13"/>
        <v>0</v>
      </c>
      <c r="Z72" s="143">
        <f>T72+U72+V72+W72+X72+Y72</f>
        <v>1</v>
      </c>
    </row>
    <row r="73" spans="16:26" ht="15.75" thickBot="1" x14ac:dyDescent="0.3">
      <c r="P73" s="105" t="s">
        <v>133</v>
      </c>
      <c r="Q73" s="106"/>
      <c r="R73" s="106"/>
      <c r="S73" s="106"/>
      <c r="T73" s="144">
        <f>T18*T72</f>
        <v>6.4387790777679407E-2</v>
      </c>
      <c r="U73" s="139">
        <f>T18*U72</f>
        <v>2.7594767476148318E-2</v>
      </c>
      <c r="V73" s="139">
        <f>T18*V72</f>
        <v>2.9489608176177171E-2</v>
      </c>
      <c r="W73" s="139">
        <f>T18*W72</f>
        <v>6.3835895428156443E-3</v>
      </c>
      <c r="X73" s="139">
        <f>T18*X72</f>
        <v>5.6109360534834916E-2</v>
      </c>
      <c r="Y73" s="129">
        <f>T18*Y72</f>
        <v>0</v>
      </c>
      <c r="Z73" s="145">
        <f>T73+U73+V73+W73+X73+Y73</f>
        <v>0.18396511650765546</v>
      </c>
    </row>
    <row r="74" spans="16:26" ht="15.75" thickBot="1" x14ac:dyDescent="0.3">
      <c r="P74" s="105" t="s">
        <v>134</v>
      </c>
      <c r="Q74" s="106"/>
      <c r="R74" s="106"/>
      <c r="S74" s="106"/>
      <c r="T74" s="146">
        <f>R62</f>
        <v>5.2124169999999989E-4</v>
      </c>
      <c r="U74" s="128">
        <f>R63</f>
        <v>4.5543709999999998E-4</v>
      </c>
      <c r="V74" s="128">
        <f>R64</f>
        <v>1.6693588E-3</v>
      </c>
      <c r="W74" s="128">
        <f>R65</f>
        <v>3.6192529999999997E-4</v>
      </c>
      <c r="X74" s="128">
        <f>R66</f>
        <v>5.6505370999999993E-3</v>
      </c>
      <c r="Y74" s="140">
        <f>L46</f>
        <v>0</v>
      </c>
      <c r="Z74" s="147">
        <f>T74+U74+V74+W74+X74+Y74</f>
        <v>8.6584999999999995E-3</v>
      </c>
    </row>
    <row r="75" spans="16:26" ht="15.75" thickBot="1" x14ac:dyDescent="0.3">
      <c r="P75" s="105" t="s">
        <v>153</v>
      </c>
      <c r="Q75" s="106"/>
      <c r="R75" s="106"/>
      <c r="S75" s="106"/>
      <c r="T75" s="144">
        <f>SUM(T73:T74)</f>
        <v>6.4909032477679401E-2</v>
      </c>
      <c r="U75" s="139">
        <f>SUM(U73:U74)</f>
        <v>2.8050204576148319E-2</v>
      </c>
      <c r="V75" s="139">
        <f>SUM(V73:V74)</f>
        <v>3.115896697617717E-2</v>
      </c>
      <c r="W75" s="139">
        <f>SUM(W73:W74)</f>
        <v>6.7455148428156439E-3</v>
      </c>
      <c r="X75" s="139">
        <f>SUM(X73:X74)</f>
        <v>6.1759897634834915E-2</v>
      </c>
      <c r="Y75" s="139">
        <v>0.05</v>
      </c>
      <c r="Z75" s="147">
        <f>T75+U75+V75+W75+X75+Y75</f>
        <v>0.24262361650765546</v>
      </c>
    </row>
    <row r="76" spans="16:26" ht="15.75" thickBot="1" x14ac:dyDescent="0.3">
      <c r="P76" s="105" t="s">
        <v>136</v>
      </c>
      <c r="Q76" s="106"/>
      <c r="R76" s="106"/>
      <c r="S76" s="106"/>
      <c r="T76" s="148">
        <f>T11*T75</f>
        <v>158415.1023030825</v>
      </c>
      <c r="U76" s="149">
        <f>T11*U75</f>
        <v>68458.515832614881</v>
      </c>
      <c r="V76" s="149">
        <f>T11*V75</f>
        <v>76045.671192015696</v>
      </c>
      <c r="W76" s="149">
        <f>T11*W75</f>
        <v>16462.90790544542</v>
      </c>
      <c r="X76" s="149">
        <f>T11*X75</f>
        <v>150729.41513054669</v>
      </c>
      <c r="Y76" s="149">
        <f>T11*Y75</f>
        <v>122028.55</v>
      </c>
      <c r="Z76" s="150">
        <f>T76+U76+V76+W76+X76+Y76</f>
        <v>592140.16236370523</v>
      </c>
    </row>
    <row r="78" spans="16:26" ht="15.75" x14ac:dyDescent="0.25">
      <c r="P78" s="164" t="s">
        <v>154</v>
      </c>
      <c r="Q78" s="165"/>
      <c r="R78" s="165"/>
      <c r="S78" s="165"/>
      <c r="T78" s="166">
        <f>Z46+Z76</f>
        <v>905801.83175333019</v>
      </c>
    </row>
  </sheetData>
  <mergeCells count="2">
    <mergeCell ref="B5:C5"/>
    <mergeCell ref="D14:D22"/>
  </mergeCells>
  <pageMargins left="0" right="0" top="0" bottom="0" header="0.31496062992125984" footer="0.31496062992125984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"/>
  <sheetViews>
    <sheetView topLeftCell="A7" workbookViewId="0">
      <selection activeCell="B32" sqref="B32:C32"/>
    </sheetView>
  </sheetViews>
  <sheetFormatPr defaultRowHeight="15" x14ac:dyDescent="0.25"/>
  <cols>
    <col min="1" max="1" width="3.28515625" customWidth="1"/>
    <col min="2" max="2" width="26.28515625" customWidth="1"/>
    <col min="3" max="3" width="25.28515625" customWidth="1"/>
    <col min="4" max="4" width="7.7109375" customWidth="1"/>
    <col min="5" max="5" width="15.42578125" customWidth="1"/>
    <col min="6" max="6" width="7.140625" customWidth="1"/>
    <col min="7" max="7" width="9.7109375" customWidth="1"/>
    <col min="8" max="8" width="7.85546875" customWidth="1"/>
    <col min="9" max="9" width="11.28515625" customWidth="1"/>
    <col min="10" max="10" width="11.5703125" customWidth="1"/>
    <col min="11" max="11" width="7" customWidth="1"/>
    <col min="12" max="12" width="5.42578125" customWidth="1"/>
    <col min="13" max="13" width="6.28515625" customWidth="1"/>
  </cols>
  <sheetData>
    <row r="1" spans="2:14" ht="25.5" x14ac:dyDescent="0.35">
      <c r="B1" s="5" t="s">
        <v>14</v>
      </c>
    </row>
    <row r="3" spans="2:14" ht="56.25" x14ac:dyDescent="0.25">
      <c r="B3" s="168" t="s">
        <v>155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2:14" ht="15.75" thickBot="1" x14ac:dyDescent="0.25"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2:14" ht="22.5" customHeight="1" thickBot="1" x14ac:dyDescent="0.3">
      <c r="B5" s="238" t="s">
        <v>1</v>
      </c>
      <c r="C5" s="239"/>
      <c r="D5" s="158" t="s">
        <v>2</v>
      </c>
      <c r="E5" s="158" t="s">
        <v>3</v>
      </c>
      <c r="F5" s="57"/>
      <c r="G5" s="13" t="s">
        <v>70</v>
      </c>
      <c r="H5" s="13" t="s">
        <v>71</v>
      </c>
      <c r="I5" s="13" t="s">
        <v>72</v>
      </c>
      <c r="J5" s="14" t="s">
        <v>73</v>
      </c>
      <c r="K5" s="15" t="s">
        <v>74</v>
      </c>
      <c r="L5" s="57"/>
      <c r="M5" s="57"/>
      <c r="N5" s="57"/>
    </row>
    <row r="6" spans="2:14" ht="15.75" thickBot="1" x14ac:dyDescent="0.3">
      <c r="B6" s="16" t="s">
        <v>96</v>
      </c>
      <c r="C6" s="17" t="s">
        <v>4</v>
      </c>
      <c r="D6" s="18">
        <v>4.4999999999999998E-2</v>
      </c>
      <c r="E6" s="19">
        <v>0</v>
      </c>
      <c r="F6" s="57"/>
      <c r="G6" s="20">
        <v>0.188</v>
      </c>
      <c r="H6" s="20">
        <v>0.152</v>
      </c>
      <c r="I6" s="20">
        <v>0.1767</v>
      </c>
      <c r="J6" s="20">
        <v>3.8300000000000001E-2</v>
      </c>
      <c r="K6" s="21">
        <v>0.44500000000000001</v>
      </c>
      <c r="L6" s="57"/>
      <c r="M6" s="57"/>
      <c r="N6" s="57"/>
    </row>
    <row r="7" spans="2:14" ht="15.75" thickBot="1" x14ac:dyDescent="0.3">
      <c r="B7" s="16" t="s">
        <v>97</v>
      </c>
      <c r="C7" s="17" t="s">
        <v>5</v>
      </c>
      <c r="D7" s="18">
        <v>0.09</v>
      </c>
      <c r="E7" s="19">
        <v>8100</v>
      </c>
      <c r="F7" s="57"/>
      <c r="G7" s="20">
        <v>0.19800000000000001</v>
      </c>
      <c r="H7" s="20">
        <v>0.152</v>
      </c>
      <c r="I7" s="20">
        <v>0.20549999999999999</v>
      </c>
      <c r="J7" s="20">
        <v>4.4499999999999998E-2</v>
      </c>
      <c r="K7" s="21">
        <v>0.4</v>
      </c>
      <c r="L7" s="57"/>
      <c r="M7" s="57"/>
      <c r="N7" s="57"/>
    </row>
    <row r="8" spans="2:14" ht="15.75" thickBot="1" x14ac:dyDescent="0.3">
      <c r="B8" s="16" t="s">
        <v>98</v>
      </c>
      <c r="C8" s="17" t="s">
        <v>6</v>
      </c>
      <c r="D8" s="18">
        <v>0.10199999999999999</v>
      </c>
      <c r="E8" s="19">
        <v>12420</v>
      </c>
      <c r="F8" s="57"/>
      <c r="G8" s="20">
        <v>0.20799999999999999</v>
      </c>
      <c r="H8" s="20">
        <v>0.152</v>
      </c>
      <c r="I8" s="20">
        <v>0.1973</v>
      </c>
      <c r="J8" s="20">
        <v>4.2700000000000002E-2</v>
      </c>
      <c r="K8" s="21">
        <v>0.4</v>
      </c>
      <c r="L8" s="57"/>
      <c r="M8" s="57"/>
      <c r="N8" s="57"/>
    </row>
    <row r="9" spans="2:14" ht="15.75" thickBot="1" x14ac:dyDescent="0.3">
      <c r="B9" s="16" t="s">
        <v>99</v>
      </c>
      <c r="C9" s="17" t="s">
        <v>7</v>
      </c>
      <c r="D9" s="18">
        <v>0.14000000000000001</v>
      </c>
      <c r="E9" s="19">
        <v>39780</v>
      </c>
      <c r="F9" s="57"/>
      <c r="G9" s="20">
        <v>0.17799999999999999</v>
      </c>
      <c r="H9" s="20">
        <v>0.192</v>
      </c>
      <c r="I9" s="20">
        <v>0.189</v>
      </c>
      <c r="J9" s="20">
        <v>4.1000000000000002E-2</v>
      </c>
      <c r="K9" s="21">
        <v>0.4</v>
      </c>
      <c r="L9" s="57"/>
      <c r="M9" s="57"/>
      <c r="N9" s="57"/>
    </row>
    <row r="10" spans="2:14" ht="15.75" thickBot="1" x14ac:dyDescent="0.3">
      <c r="B10" s="16" t="s">
        <v>100</v>
      </c>
      <c r="C10" s="17" t="s">
        <v>8</v>
      </c>
      <c r="D10" s="18">
        <v>0.22</v>
      </c>
      <c r="E10" s="19">
        <v>183780</v>
      </c>
      <c r="F10" s="57"/>
      <c r="G10" s="20">
        <v>0.188</v>
      </c>
      <c r="H10" s="20">
        <v>0.192</v>
      </c>
      <c r="I10" s="20">
        <v>0.18079999999999999</v>
      </c>
      <c r="J10" s="20">
        <v>3.9199999999999999E-2</v>
      </c>
      <c r="K10" s="21">
        <v>0.4</v>
      </c>
      <c r="L10" s="57"/>
      <c r="M10" s="57"/>
      <c r="N10" s="57"/>
    </row>
    <row r="11" spans="2:14" ht="15.75" thickBot="1" x14ac:dyDescent="0.3">
      <c r="B11" s="16" t="s">
        <v>101</v>
      </c>
      <c r="C11" s="17" t="s">
        <v>9</v>
      </c>
      <c r="D11" s="18">
        <v>0.33</v>
      </c>
      <c r="E11" s="19">
        <v>828000</v>
      </c>
      <c r="F11" s="57"/>
      <c r="G11" s="20">
        <v>0.53500000000000003</v>
      </c>
      <c r="H11" s="20">
        <v>0.215</v>
      </c>
      <c r="I11" s="20">
        <v>0.20549999999999999</v>
      </c>
      <c r="J11" s="20">
        <v>4.4499999999999998E-2</v>
      </c>
      <c r="K11" s="77">
        <v>0</v>
      </c>
      <c r="L11" s="57"/>
      <c r="M11" s="57"/>
      <c r="N11" s="57"/>
    </row>
    <row r="12" spans="2:14" x14ac:dyDescent="0.2"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</row>
    <row r="13" spans="2:14" ht="15.75" thickBot="1" x14ac:dyDescent="0.3">
      <c r="B13" s="10" t="s">
        <v>94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</row>
    <row r="14" spans="2:14" ht="23.25" thickBot="1" x14ac:dyDescent="0.3">
      <c r="B14" s="80" t="s">
        <v>16</v>
      </c>
      <c r="C14" s="80" t="s">
        <v>17</v>
      </c>
      <c r="D14" s="243"/>
      <c r="E14" s="81">
        <v>1110759.2</v>
      </c>
      <c r="F14" s="78"/>
      <c r="G14" s="78" t="s">
        <v>32</v>
      </c>
      <c r="H14" s="26" t="s">
        <v>33</v>
      </c>
      <c r="I14" s="26" t="s">
        <v>34</v>
      </c>
      <c r="J14" s="26" t="s">
        <v>35</v>
      </c>
      <c r="K14" s="26" t="s">
        <v>37</v>
      </c>
      <c r="L14" s="26" t="s">
        <v>36</v>
      </c>
      <c r="M14" s="27"/>
      <c r="N14" s="57"/>
    </row>
    <row r="15" spans="2:14" x14ac:dyDescent="0.25">
      <c r="B15" s="24" t="s">
        <v>88</v>
      </c>
      <c r="C15" s="85" t="s">
        <v>2</v>
      </c>
      <c r="D15" s="244"/>
      <c r="E15" s="169">
        <f>IF(E14&lt;=180000,D6, IF(E14&lt;=360000,D7, IF(E14&lt;=720000,D8,IF(E14&lt;=1800000,D9,IF(E14&lt;=3600000,D10,IF(E14&lt;=4800000,D11, "excluido"))))))</f>
        <v>0.14000000000000001</v>
      </c>
      <c r="F15" s="82" t="s">
        <v>38</v>
      </c>
      <c r="G15" s="170">
        <f>E22*G6</f>
        <v>1.9587091553236742E-2</v>
      </c>
      <c r="H15" s="83">
        <f>E22*H6</f>
        <v>1.5836371894106301E-2</v>
      </c>
      <c r="I15" s="83">
        <f>E22*I6</f>
        <v>1.8409782326898574E-2</v>
      </c>
      <c r="J15" s="83">
        <f>E22*J6</f>
        <v>3.9903489706859955E-3</v>
      </c>
      <c r="K15" s="83">
        <f>E22*K6</f>
        <v>4.6363062453140161E-2</v>
      </c>
      <c r="L15" s="83">
        <f>E23*L7</f>
        <v>0</v>
      </c>
      <c r="M15" s="84">
        <f t="shared" ref="M15:M20" si="0">SUM(G15:L15)</f>
        <v>0.10418665719806777</v>
      </c>
      <c r="N15" s="57"/>
    </row>
    <row r="16" spans="2:14" x14ac:dyDescent="0.25">
      <c r="B16" s="28" t="s">
        <v>89</v>
      </c>
      <c r="C16" s="35" t="s">
        <v>18</v>
      </c>
      <c r="D16" s="244"/>
      <c r="E16" s="30">
        <f>E14*E15</f>
        <v>155506.288</v>
      </c>
      <c r="F16" s="82" t="s">
        <v>39</v>
      </c>
      <c r="G16" s="170">
        <f>E22*G7</f>
        <v>2.0628958125217419E-2</v>
      </c>
      <c r="H16" s="83">
        <f>E22*H7</f>
        <v>1.5836371894106301E-2</v>
      </c>
      <c r="I16" s="83">
        <f>E22*I7</f>
        <v>2.1410358054202928E-2</v>
      </c>
      <c r="J16" s="83">
        <f>E22*J7</f>
        <v>4.6363062453140154E-3</v>
      </c>
      <c r="K16" s="83">
        <f>E22*K7</f>
        <v>4.1674662879227109E-2</v>
      </c>
      <c r="L16" s="83">
        <f>$E23*L8</f>
        <v>0</v>
      </c>
      <c r="M16" s="84">
        <f t="shared" si="0"/>
        <v>0.10418665719806777</v>
      </c>
      <c r="N16" s="57"/>
    </row>
    <row r="17" spans="2:14" x14ac:dyDescent="0.25">
      <c r="B17" s="31">
        <v>10000</v>
      </c>
      <c r="C17" s="35" t="s">
        <v>19</v>
      </c>
      <c r="D17" s="244"/>
      <c r="E17" s="171">
        <f>IF(E14&lt;=180000,E6, IF(E14&lt;=360000,E7, IF(E14&lt;=720000,E8,IF(E14&lt;=1800000,E9,IF(E14&lt;=3600000,E10,IF(E14&lt;=4800000,E11, "excluido"))))))</f>
        <v>39780</v>
      </c>
      <c r="F17" s="82" t="s">
        <v>40</v>
      </c>
      <c r="G17" s="170">
        <f>E22*G8</f>
        <v>2.1670824697198096E-2</v>
      </c>
      <c r="H17" s="83">
        <f>E22*H8</f>
        <v>1.5836371894106301E-2</v>
      </c>
      <c r="I17" s="83">
        <f>E22*I8</f>
        <v>2.0556027465178772E-2</v>
      </c>
      <c r="J17" s="83">
        <f>E22*J8</f>
        <v>4.4487702623574937E-3</v>
      </c>
      <c r="K17" s="83">
        <f>E22*K8</f>
        <v>4.1674662879227109E-2</v>
      </c>
      <c r="L17" s="83">
        <f>$E23*L9</f>
        <v>0</v>
      </c>
      <c r="M17" s="84">
        <f t="shared" si="0"/>
        <v>0.10418665719806777</v>
      </c>
      <c r="N17" s="57"/>
    </row>
    <row r="18" spans="2:14" x14ac:dyDescent="0.25">
      <c r="B18" s="32">
        <v>12</v>
      </c>
      <c r="C18" s="35" t="s">
        <v>24</v>
      </c>
      <c r="D18" s="244"/>
      <c r="E18" s="30">
        <f>E16-E17</f>
        <v>115726.288</v>
      </c>
      <c r="F18" s="82" t="s">
        <v>41</v>
      </c>
      <c r="G18" s="170">
        <f>E22*G9</f>
        <v>1.8545224981256062E-2</v>
      </c>
      <c r="H18" s="83">
        <f>E22*H9</f>
        <v>2.0003838182029013E-2</v>
      </c>
      <c r="I18" s="83">
        <f>E22*I9</f>
        <v>1.9691278210434808E-2</v>
      </c>
      <c r="J18" s="83">
        <f>E22*J9</f>
        <v>4.2716529451207784E-3</v>
      </c>
      <c r="K18" s="83">
        <f>E22*K9</f>
        <v>4.1674662879227109E-2</v>
      </c>
      <c r="L18" s="83">
        <f>E23*L10</f>
        <v>0</v>
      </c>
      <c r="M18" s="84">
        <f t="shared" si="0"/>
        <v>0.10418665719806777</v>
      </c>
      <c r="N18" s="57"/>
    </row>
    <row r="19" spans="2:14" ht="15.75" thickBot="1" x14ac:dyDescent="0.3">
      <c r="B19" s="86">
        <f>B17*B18</f>
        <v>120000</v>
      </c>
      <c r="C19" s="35" t="s">
        <v>20</v>
      </c>
      <c r="D19" s="244"/>
      <c r="E19" s="172">
        <f>E18/E14</f>
        <v>0.10418665719806777</v>
      </c>
      <c r="F19" s="82" t="s">
        <v>42</v>
      </c>
      <c r="G19" s="170">
        <f>E22*G10</f>
        <v>1.9587091553236742E-2</v>
      </c>
      <c r="H19" s="83">
        <f>E22*H10</f>
        <v>2.0003838182029013E-2</v>
      </c>
      <c r="I19" s="83">
        <f>E22*I10</f>
        <v>1.8836947621410652E-2</v>
      </c>
      <c r="J19" s="83">
        <f>E22*J10</f>
        <v>4.0841169621642567E-3</v>
      </c>
      <c r="K19" s="83">
        <f>E22*K10</f>
        <v>4.1674662879227109E-2</v>
      </c>
      <c r="L19" s="83">
        <f>E23*L11</f>
        <v>0</v>
      </c>
      <c r="M19" s="84">
        <f t="shared" si="0"/>
        <v>0.10418665719806777</v>
      </c>
      <c r="N19" s="57"/>
    </row>
    <row r="20" spans="2:14" ht="15.75" thickBot="1" x14ac:dyDescent="0.3">
      <c r="B20" s="10"/>
      <c r="C20" s="35" t="s">
        <v>21</v>
      </c>
      <c r="D20" s="244"/>
      <c r="E20" s="90">
        <f>E19*100</f>
        <v>10.418665719806777</v>
      </c>
      <c r="F20" s="87" t="s">
        <v>43</v>
      </c>
      <c r="G20" s="173">
        <f>E22*G11</f>
        <v>5.5739861600966265E-2</v>
      </c>
      <c r="H20" s="88">
        <f>E22*H11</f>
        <v>2.2400131297584572E-2</v>
      </c>
      <c r="I20" s="88">
        <f>E22*I11</f>
        <v>2.1410358054202928E-2</v>
      </c>
      <c r="J20" s="88">
        <f>E22*J11</f>
        <v>4.6363062453140154E-3</v>
      </c>
      <c r="K20" s="88">
        <f>E22*K11</f>
        <v>0</v>
      </c>
      <c r="L20" s="88">
        <f>E23*L12</f>
        <v>0</v>
      </c>
      <c r="M20" s="89">
        <f t="shared" si="0"/>
        <v>0.10418665719806777</v>
      </c>
      <c r="N20" s="57"/>
    </row>
    <row r="21" spans="2:14" ht="15.75" thickBot="1" x14ac:dyDescent="0.3">
      <c r="B21" s="24" t="s">
        <v>93</v>
      </c>
      <c r="C21" s="91" t="s">
        <v>23</v>
      </c>
      <c r="D21" s="244"/>
      <c r="E21" s="174">
        <v>1</v>
      </c>
      <c r="F21" s="175"/>
      <c r="G21" s="57"/>
      <c r="H21" s="57" t="s">
        <v>51</v>
      </c>
      <c r="I21" s="57"/>
      <c r="J21" s="57"/>
      <c r="K21" s="57"/>
      <c r="L21" s="57"/>
      <c r="M21" s="57"/>
      <c r="N21" s="57"/>
    </row>
    <row r="22" spans="2:14" x14ac:dyDescent="0.25">
      <c r="B22" s="28" t="s">
        <v>90</v>
      </c>
      <c r="C22" s="35" t="s">
        <v>22</v>
      </c>
      <c r="D22" s="245"/>
      <c r="E22" s="58">
        <f>E21*E20%</f>
        <v>0.10418665719806777</v>
      </c>
      <c r="F22" s="38"/>
      <c r="G22" s="26"/>
      <c r="H22" s="39" t="s">
        <v>45</v>
      </c>
      <c r="I22" s="26" t="s">
        <v>44</v>
      </c>
      <c r="J22" s="26"/>
      <c r="K22" s="26"/>
      <c r="L22" s="26"/>
      <c r="M22" s="27"/>
      <c r="N22" s="57"/>
    </row>
    <row r="23" spans="2:14" ht="15.75" thickBot="1" x14ac:dyDescent="0.25">
      <c r="B23" s="32" t="s">
        <v>91</v>
      </c>
      <c r="C23" s="57"/>
      <c r="D23" s="57"/>
      <c r="E23" s="57"/>
      <c r="F23" s="42"/>
      <c r="G23" s="34" t="s">
        <v>32</v>
      </c>
      <c r="H23" s="34" t="s">
        <v>33</v>
      </c>
      <c r="I23" s="34" t="s">
        <v>34</v>
      </c>
      <c r="J23" s="34" t="s">
        <v>35</v>
      </c>
      <c r="K23" s="34" t="s">
        <v>37</v>
      </c>
      <c r="L23" s="34" t="s">
        <v>36</v>
      </c>
      <c r="M23" s="43" t="s">
        <v>191</v>
      </c>
      <c r="N23" s="57"/>
    </row>
    <row r="24" spans="2:14" ht="15.75" thickBot="1" x14ac:dyDescent="0.3">
      <c r="B24" s="31">
        <v>17894.919999999998</v>
      </c>
      <c r="C24" s="93" t="s">
        <v>47</v>
      </c>
      <c r="D24" s="26"/>
      <c r="E24" s="94">
        <v>18459.16</v>
      </c>
      <c r="F24" s="42" t="s">
        <v>38</v>
      </c>
      <c r="G24" s="45">
        <f t="shared" ref="G24:L29" si="1">G15*100</f>
        <v>1.9587091553236742</v>
      </c>
      <c r="H24" s="45">
        <f t="shared" si="1"/>
        <v>1.58363718941063</v>
      </c>
      <c r="I24" s="45">
        <f t="shared" si="1"/>
        <v>1.8409782326898574</v>
      </c>
      <c r="J24" s="45">
        <f t="shared" si="1"/>
        <v>0.39903489706859957</v>
      </c>
      <c r="K24" s="45">
        <f t="shared" si="1"/>
        <v>4.6363062453140165</v>
      </c>
      <c r="L24" s="45">
        <f t="shared" si="1"/>
        <v>0</v>
      </c>
      <c r="M24" s="46">
        <f t="shared" ref="M24:M29" si="2">SUM(G24:L24)</f>
        <v>10.418665719806778</v>
      </c>
      <c r="N24" s="57"/>
    </row>
    <row r="25" spans="2:14" x14ac:dyDescent="0.2">
      <c r="B25" s="31">
        <v>0</v>
      </c>
      <c r="C25" s="96" t="s">
        <v>195</v>
      </c>
      <c r="D25" s="11"/>
      <c r="E25" s="51">
        <f>E20-K27</f>
        <v>6.251199431884066</v>
      </c>
      <c r="F25" s="42" t="s">
        <v>39</v>
      </c>
      <c r="G25" s="45">
        <f t="shared" si="1"/>
        <v>2.062895812521742</v>
      </c>
      <c r="H25" s="45">
        <f t="shared" si="1"/>
        <v>1.58363718941063</v>
      </c>
      <c r="I25" s="45">
        <f t="shared" si="1"/>
        <v>2.1410358054202927</v>
      </c>
      <c r="J25" s="45">
        <f t="shared" si="1"/>
        <v>0.46363062453140153</v>
      </c>
      <c r="K25" s="45">
        <f t="shared" si="1"/>
        <v>4.1674662879227107</v>
      </c>
      <c r="L25" s="45">
        <f t="shared" si="1"/>
        <v>0</v>
      </c>
      <c r="M25" s="46">
        <f t="shared" si="2"/>
        <v>10.418665719806778</v>
      </c>
      <c r="N25" s="57"/>
    </row>
    <row r="26" spans="2:14" ht="15.75" thickBot="1" x14ac:dyDescent="0.25">
      <c r="B26" s="47">
        <v>0</v>
      </c>
      <c r="C26" s="97" t="s">
        <v>46</v>
      </c>
      <c r="D26" s="49"/>
      <c r="E26" s="50">
        <f>E24*E25%</f>
        <v>1153.9189050505709</v>
      </c>
      <c r="F26" s="42" t="s">
        <v>40</v>
      </c>
      <c r="G26" s="45">
        <f t="shared" si="1"/>
        <v>2.1670824697198094</v>
      </c>
      <c r="H26" s="45">
        <f t="shared" si="1"/>
        <v>1.58363718941063</v>
      </c>
      <c r="I26" s="45">
        <f t="shared" si="1"/>
        <v>2.0556027465178772</v>
      </c>
      <c r="J26" s="45">
        <f t="shared" si="1"/>
        <v>0.44487702623574937</v>
      </c>
      <c r="K26" s="45">
        <f t="shared" si="1"/>
        <v>4.1674662879227107</v>
      </c>
      <c r="L26" s="45">
        <f t="shared" si="1"/>
        <v>0</v>
      </c>
      <c r="M26" s="46">
        <f t="shared" si="2"/>
        <v>10.418665719806777</v>
      </c>
      <c r="N26" s="57"/>
    </row>
    <row r="27" spans="2:14" x14ac:dyDescent="0.2">
      <c r="B27" s="28" t="s">
        <v>95</v>
      </c>
      <c r="C27" s="57" t="s">
        <v>194</v>
      </c>
      <c r="D27" s="57"/>
      <c r="E27" s="57"/>
      <c r="F27" s="42" t="s">
        <v>41</v>
      </c>
      <c r="G27" s="45">
        <f t="shared" si="1"/>
        <v>1.8545224981256061</v>
      </c>
      <c r="H27" s="45">
        <f t="shared" si="1"/>
        <v>2.0003838182029012</v>
      </c>
      <c r="I27" s="45">
        <f t="shared" si="1"/>
        <v>1.9691278210434808</v>
      </c>
      <c r="J27" s="45">
        <f t="shared" si="1"/>
        <v>0.42716529451207785</v>
      </c>
      <c r="K27" s="45">
        <f t="shared" si="1"/>
        <v>4.1674662879227107</v>
      </c>
      <c r="L27" s="45">
        <f t="shared" si="1"/>
        <v>0</v>
      </c>
      <c r="M27" s="46">
        <f t="shared" si="2"/>
        <v>10.418665719806777</v>
      </c>
      <c r="N27" s="57"/>
    </row>
    <row r="28" spans="2:14" x14ac:dyDescent="0.2">
      <c r="B28" s="47">
        <f>B24/10</f>
        <v>1789.4919999999997</v>
      </c>
      <c r="C28" s="57"/>
      <c r="D28" s="57"/>
      <c r="E28" s="57"/>
      <c r="F28" s="42" t="s">
        <v>42</v>
      </c>
      <c r="G28" s="45">
        <f t="shared" si="1"/>
        <v>1.9587091553236742</v>
      </c>
      <c r="H28" s="45">
        <f t="shared" si="1"/>
        <v>2.0003838182029012</v>
      </c>
      <c r="I28" s="45">
        <f t="shared" si="1"/>
        <v>1.8836947621410651</v>
      </c>
      <c r="J28" s="45">
        <f t="shared" si="1"/>
        <v>0.4084116962164257</v>
      </c>
      <c r="K28" s="45">
        <f t="shared" si="1"/>
        <v>4.1674662879227107</v>
      </c>
      <c r="L28" s="45">
        <f t="shared" si="1"/>
        <v>0</v>
      </c>
      <c r="M28" s="46">
        <f t="shared" si="2"/>
        <v>10.418665719806777</v>
      </c>
      <c r="N28" s="57"/>
    </row>
    <row r="29" spans="2:14" ht="15.75" thickBot="1" x14ac:dyDescent="0.25">
      <c r="B29" s="28" t="s">
        <v>92</v>
      </c>
      <c r="C29" s="57"/>
      <c r="D29" s="57"/>
      <c r="E29" s="57"/>
      <c r="F29" s="54" t="s">
        <v>43</v>
      </c>
      <c r="G29" s="55">
        <f t="shared" si="1"/>
        <v>5.5739861600966263</v>
      </c>
      <c r="H29" s="55">
        <f t="shared" si="1"/>
        <v>2.2400131297584571</v>
      </c>
      <c r="I29" s="55">
        <f t="shared" si="1"/>
        <v>2.1410358054202927</v>
      </c>
      <c r="J29" s="55">
        <f t="shared" si="1"/>
        <v>0.46363062453140153</v>
      </c>
      <c r="K29" s="55">
        <f t="shared" si="1"/>
        <v>0</v>
      </c>
      <c r="L29" s="55">
        <f t="shared" si="1"/>
        <v>0</v>
      </c>
      <c r="M29" s="56">
        <f t="shared" si="2"/>
        <v>10.418665719806777</v>
      </c>
      <c r="N29" s="57"/>
    </row>
    <row r="30" spans="2:14" ht="15.75" thickBot="1" x14ac:dyDescent="0.25">
      <c r="B30" s="86">
        <f>B28*12</f>
        <v>21473.903999999995</v>
      </c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</row>
    <row r="31" spans="2:14" x14ac:dyDescent="0.2"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</row>
    <row r="32" spans="2:14" x14ac:dyDescent="0.25">
      <c r="B32" s="246" t="s">
        <v>225</v>
      </c>
      <c r="C32" s="246" t="s">
        <v>226</v>
      </c>
    </row>
  </sheetData>
  <mergeCells count="2">
    <mergeCell ref="B5:C5"/>
    <mergeCell ref="D14:D22"/>
  </mergeCells>
  <pageMargins left="0" right="0" top="0" bottom="0" header="0.31496062992125984" footer="0.31496062992125984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41"/>
  <sheetViews>
    <sheetView tabSelected="1" workbookViewId="0">
      <selection activeCell="D44" sqref="D44"/>
    </sheetView>
  </sheetViews>
  <sheetFormatPr defaultRowHeight="15" x14ac:dyDescent="0.25"/>
  <cols>
    <col min="1" max="1" width="3.42578125" customWidth="1"/>
    <col min="2" max="2" width="25" customWidth="1"/>
    <col min="3" max="3" width="30.85546875" customWidth="1"/>
    <col min="4" max="4" width="9.7109375" customWidth="1"/>
    <col min="5" max="5" width="11.85546875" customWidth="1"/>
    <col min="6" max="6" width="6.85546875" customWidth="1"/>
    <col min="7" max="7" width="8" customWidth="1"/>
    <col min="8" max="8" width="7.7109375" customWidth="1"/>
    <col min="9" max="9" width="6.85546875" customWidth="1"/>
    <col min="10" max="10" width="7" customWidth="1"/>
    <col min="11" max="11" width="8" customWidth="1"/>
    <col min="12" max="12" width="7.140625" customWidth="1"/>
    <col min="13" max="13" width="7.85546875" customWidth="1"/>
    <col min="14" max="14" width="3.140625" customWidth="1"/>
    <col min="15" max="15" width="5.42578125" customWidth="1"/>
    <col min="16" max="17" width="4.7109375" customWidth="1"/>
    <col min="18" max="18" width="10" customWidth="1"/>
  </cols>
  <sheetData>
    <row r="1" spans="2:14" ht="25.5" x14ac:dyDescent="0.35">
      <c r="B1" s="9" t="s">
        <v>15</v>
      </c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2:14" x14ac:dyDescent="0.2">
      <c r="B2" s="7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2:14" ht="69" customHeight="1" x14ac:dyDescent="0.25">
      <c r="B3" s="126" t="s">
        <v>156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/>
      <c r="N3" s="57"/>
    </row>
    <row r="4" spans="2:14" ht="15.75" thickBot="1" x14ac:dyDescent="0.25"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2"/>
      <c r="N4" s="57"/>
    </row>
    <row r="5" spans="2:14" ht="48.75" customHeight="1" thickBot="1" x14ac:dyDescent="0.3">
      <c r="B5" s="238" t="s">
        <v>1</v>
      </c>
      <c r="C5" s="239"/>
      <c r="D5" s="198" t="s">
        <v>2</v>
      </c>
      <c r="E5" s="198" t="s">
        <v>3</v>
      </c>
      <c r="F5" s="11"/>
      <c r="G5" s="13" t="s">
        <v>75</v>
      </c>
      <c r="H5" s="13" t="s">
        <v>76</v>
      </c>
      <c r="I5" s="13" t="s">
        <v>77</v>
      </c>
      <c r="J5" s="14" t="s">
        <v>78</v>
      </c>
      <c r="K5" s="13" t="s">
        <v>81</v>
      </c>
      <c r="L5" s="15" t="s">
        <v>79</v>
      </c>
      <c r="M5" s="12"/>
      <c r="N5" s="57"/>
    </row>
    <row r="6" spans="2:14" ht="15.75" thickBot="1" x14ac:dyDescent="0.3">
      <c r="B6" s="16" t="s">
        <v>96</v>
      </c>
      <c r="C6" s="17" t="s">
        <v>4</v>
      </c>
      <c r="D6" s="18">
        <v>0.155</v>
      </c>
      <c r="E6" s="19">
        <v>0</v>
      </c>
      <c r="F6" s="11"/>
      <c r="G6" s="176">
        <v>0.25</v>
      </c>
      <c r="H6" s="176">
        <v>0.15</v>
      </c>
      <c r="I6" s="176">
        <v>0.14099999999999999</v>
      </c>
      <c r="J6" s="176">
        <v>3.0499999999999999E-2</v>
      </c>
      <c r="K6" s="176">
        <v>0.28849999999999998</v>
      </c>
      <c r="L6" s="177">
        <v>0.14000000000000001</v>
      </c>
      <c r="M6" s="12"/>
      <c r="N6" s="57"/>
    </row>
    <row r="7" spans="2:14" ht="15.75" thickBot="1" x14ac:dyDescent="0.3">
      <c r="B7" s="16" t="s">
        <v>97</v>
      </c>
      <c r="C7" s="17" t="s">
        <v>5</v>
      </c>
      <c r="D7" s="18">
        <v>0.18</v>
      </c>
      <c r="E7" s="19">
        <v>4500</v>
      </c>
      <c r="F7" s="11"/>
      <c r="G7" s="176">
        <v>0.23</v>
      </c>
      <c r="H7" s="176">
        <v>0.15</v>
      </c>
      <c r="I7" s="176">
        <v>0.14099999999999999</v>
      </c>
      <c r="J7" s="176">
        <v>3.0499999999999999E-2</v>
      </c>
      <c r="K7" s="176">
        <v>0.27850000000000003</v>
      </c>
      <c r="L7" s="177">
        <v>0.17</v>
      </c>
      <c r="M7" s="12"/>
      <c r="N7" s="57"/>
    </row>
    <row r="8" spans="2:14" ht="15.75" thickBot="1" x14ac:dyDescent="0.3">
      <c r="B8" s="16" t="s">
        <v>98</v>
      </c>
      <c r="C8" s="17" t="s">
        <v>6</v>
      </c>
      <c r="D8" s="18">
        <v>0.19500000000000001</v>
      </c>
      <c r="E8" s="19">
        <v>9900</v>
      </c>
      <c r="F8" s="11"/>
      <c r="G8" s="176">
        <v>0.24</v>
      </c>
      <c r="H8" s="176">
        <v>0.15</v>
      </c>
      <c r="I8" s="176">
        <v>0.1492</v>
      </c>
      <c r="J8" s="176">
        <v>3.2300000000000002E-2</v>
      </c>
      <c r="K8" s="176">
        <v>0.23849999999999999</v>
      </c>
      <c r="L8" s="177">
        <v>0.19</v>
      </c>
      <c r="M8" s="12"/>
      <c r="N8" s="57"/>
    </row>
    <row r="9" spans="2:14" ht="15.75" thickBot="1" x14ac:dyDescent="0.3">
      <c r="B9" s="16" t="s">
        <v>99</v>
      </c>
      <c r="C9" s="17" t="s">
        <v>7</v>
      </c>
      <c r="D9" s="18">
        <v>0.20499999999999999</v>
      </c>
      <c r="E9" s="19">
        <v>17100</v>
      </c>
      <c r="F9" s="11"/>
      <c r="G9" s="176">
        <v>0.21</v>
      </c>
      <c r="H9" s="176">
        <v>0.15</v>
      </c>
      <c r="I9" s="176">
        <v>0.15740000000000001</v>
      </c>
      <c r="J9" s="176">
        <v>3.4099999999999998E-2</v>
      </c>
      <c r="K9" s="176">
        <v>0.23849999999999999</v>
      </c>
      <c r="L9" s="177">
        <v>0.21</v>
      </c>
      <c r="M9" s="12"/>
      <c r="N9" s="57"/>
    </row>
    <row r="10" spans="2:14" ht="15.75" thickBot="1" x14ac:dyDescent="0.3">
      <c r="B10" s="16" t="s">
        <v>100</v>
      </c>
      <c r="C10" s="17" t="s">
        <v>8</v>
      </c>
      <c r="D10" s="18">
        <v>0.23</v>
      </c>
      <c r="E10" s="19">
        <v>62100</v>
      </c>
      <c r="F10" s="11"/>
      <c r="G10" s="176">
        <v>0.23</v>
      </c>
      <c r="H10" s="176">
        <v>0.125</v>
      </c>
      <c r="I10" s="176">
        <v>0.14099999999999999</v>
      </c>
      <c r="J10" s="176">
        <v>3.0499999999999999E-2</v>
      </c>
      <c r="K10" s="176">
        <v>0.23849999999999999</v>
      </c>
      <c r="L10" s="177">
        <v>0.23499999999999999</v>
      </c>
      <c r="M10" s="12"/>
      <c r="N10" s="57"/>
    </row>
    <row r="11" spans="2:14" ht="15.75" thickBot="1" x14ac:dyDescent="0.3">
      <c r="B11" s="16" t="s">
        <v>101</v>
      </c>
      <c r="C11" s="17" t="s">
        <v>9</v>
      </c>
      <c r="D11" s="18">
        <v>0.30499999999999999</v>
      </c>
      <c r="E11" s="19">
        <v>540000</v>
      </c>
      <c r="F11" s="11"/>
      <c r="G11" s="178">
        <v>0.35</v>
      </c>
      <c r="H11" s="178">
        <v>0.155</v>
      </c>
      <c r="I11" s="178">
        <v>0.16439999999999999</v>
      </c>
      <c r="J11" s="178">
        <v>3.56E-2</v>
      </c>
      <c r="K11" s="178">
        <v>0.29499999999999998</v>
      </c>
      <c r="L11" s="179" t="s">
        <v>80</v>
      </c>
      <c r="M11" s="12"/>
      <c r="N11" s="57"/>
    </row>
    <row r="12" spans="2:14" x14ac:dyDescent="0.2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2"/>
      <c r="N12" s="57"/>
    </row>
    <row r="13" spans="2:14" ht="15.75" thickBot="1" x14ac:dyDescent="0.3">
      <c r="B13" s="10" t="s">
        <v>94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  <c r="N13" s="57"/>
    </row>
    <row r="14" spans="2:14" ht="15.75" thickBot="1" x14ac:dyDescent="0.3">
      <c r="B14" s="79" t="s">
        <v>16</v>
      </c>
      <c r="C14" s="80" t="s">
        <v>17</v>
      </c>
      <c r="D14" s="243"/>
      <c r="E14" s="81">
        <v>146079.22</v>
      </c>
      <c r="F14" s="78"/>
      <c r="G14" s="26" t="s">
        <v>32</v>
      </c>
      <c r="H14" s="26" t="s">
        <v>33</v>
      </c>
      <c r="I14" s="26" t="s">
        <v>34</v>
      </c>
      <c r="J14" s="26" t="s">
        <v>35</v>
      </c>
      <c r="K14" s="26" t="s">
        <v>36</v>
      </c>
      <c r="L14" s="26" t="s">
        <v>37</v>
      </c>
      <c r="M14" s="27"/>
      <c r="N14" s="57"/>
    </row>
    <row r="15" spans="2:14" x14ac:dyDescent="0.25">
      <c r="B15" s="24" t="s">
        <v>88</v>
      </c>
      <c r="C15" s="85" t="s">
        <v>2</v>
      </c>
      <c r="D15" s="244"/>
      <c r="E15" s="169">
        <f>IF(E14&lt;=180000,D6, IF(E14&lt;=360000,D7, IF(E14&lt;=720000,D8,IF(E14&lt;=1800000,D9,IF(E14&lt;=3600000,D10,IF(E14&lt;=4800000,D11, "excluido"))))))</f>
        <v>0.155</v>
      </c>
      <c r="F15" s="82" t="s">
        <v>38</v>
      </c>
      <c r="G15" s="83">
        <f>E22*G6</f>
        <v>3.875E-2</v>
      </c>
      <c r="H15" s="83">
        <f>E22*H6</f>
        <v>2.325E-2</v>
      </c>
      <c r="I15" s="83">
        <f>E22*I6</f>
        <v>2.1854999999999999E-2</v>
      </c>
      <c r="J15" s="83">
        <f>E22*J6</f>
        <v>4.7274999999999999E-3</v>
      </c>
      <c r="K15" s="83">
        <f>E22*K6</f>
        <v>4.4717499999999993E-2</v>
      </c>
      <c r="L15" s="83">
        <f>E22*L6</f>
        <v>2.1700000000000001E-2</v>
      </c>
      <c r="M15" s="84">
        <f t="shared" ref="M15:M20" si="0">SUM(G15:L15)</f>
        <v>0.15499999999999997</v>
      </c>
      <c r="N15" s="57"/>
    </row>
    <row r="16" spans="2:14" x14ac:dyDescent="0.25">
      <c r="B16" s="28" t="s">
        <v>89</v>
      </c>
      <c r="C16" s="35" t="s">
        <v>18</v>
      </c>
      <c r="D16" s="244"/>
      <c r="E16" s="30">
        <f>E14*E15</f>
        <v>22642.2791</v>
      </c>
      <c r="F16" s="82" t="s">
        <v>39</v>
      </c>
      <c r="G16" s="83">
        <f>E22*G7</f>
        <v>3.5650000000000001E-2</v>
      </c>
      <c r="H16" s="83">
        <f>E22*H7</f>
        <v>2.325E-2</v>
      </c>
      <c r="I16" s="83">
        <f>E22*I7</f>
        <v>2.1854999999999999E-2</v>
      </c>
      <c r="J16" s="83">
        <f>E22*J7</f>
        <v>4.7274999999999999E-3</v>
      </c>
      <c r="K16" s="83">
        <f>E22*K7</f>
        <v>4.3167500000000004E-2</v>
      </c>
      <c r="L16" s="83">
        <f>E22*L7</f>
        <v>2.6350000000000002E-2</v>
      </c>
      <c r="M16" s="84">
        <f t="shared" si="0"/>
        <v>0.155</v>
      </c>
      <c r="N16" s="57"/>
    </row>
    <row r="17" spans="2:22" x14ac:dyDescent="0.25">
      <c r="B17" s="31">
        <v>10000</v>
      </c>
      <c r="C17" s="35" t="s">
        <v>19</v>
      </c>
      <c r="D17" s="244"/>
      <c r="E17" s="171">
        <f>IF(E14&lt;=180000,E6, IF(E14&lt;=360000,E7, IF(E14&lt;=720000,E8,IF(E14&lt;=1800000,E9,IF(E14&lt;=3600000,E10,IF(E14&lt;=4800000,E11, "excluido"))))))</f>
        <v>0</v>
      </c>
      <c r="F17" s="82" t="s">
        <v>40</v>
      </c>
      <c r="G17" s="83">
        <f>E22*G8</f>
        <v>3.7199999999999997E-2</v>
      </c>
      <c r="H17" s="83">
        <f>E22*H8</f>
        <v>2.325E-2</v>
      </c>
      <c r="I17" s="83">
        <f>E22*I8</f>
        <v>2.3126000000000001E-2</v>
      </c>
      <c r="J17" s="83">
        <f>E22*J8</f>
        <v>5.0065000000000005E-3</v>
      </c>
      <c r="K17" s="83">
        <f>E22*K8</f>
        <v>3.69675E-2</v>
      </c>
      <c r="L17" s="83">
        <f>E22*L8</f>
        <v>2.945E-2</v>
      </c>
      <c r="M17" s="84">
        <f t="shared" si="0"/>
        <v>0.155</v>
      </c>
      <c r="N17" s="57"/>
    </row>
    <row r="18" spans="2:22" x14ac:dyDescent="0.25">
      <c r="B18" s="32">
        <v>12</v>
      </c>
      <c r="C18" s="35" t="s">
        <v>24</v>
      </c>
      <c r="D18" s="244"/>
      <c r="E18" s="30">
        <f>E16-E17</f>
        <v>22642.2791</v>
      </c>
      <c r="F18" s="82" t="s">
        <v>41</v>
      </c>
      <c r="G18" s="83">
        <f>E22*G9</f>
        <v>3.2549999999999996E-2</v>
      </c>
      <c r="H18" s="83">
        <f>E22*H9</f>
        <v>2.325E-2</v>
      </c>
      <c r="I18" s="83">
        <f>E22*I9</f>
        <v>2.4397000000000002E-2</v>
      </c>
      <c r="J18" s="83">
        <f>E22*J9</f>
        <v>5.2854999999999994E-3</v>
      </c>
      <c r="K18" s="83">
        <f>E22*K9</f>
        <v>3.69675E-2</v>
      </c>
      <c r="L18" s="83">
        <f>E22*L9</f>
        <v>3.2549999999999996E-2</v>
      </c>
      <c r="M18" s="84">
        <f t="shared" si="0"/>
        <v>0.15499999999999997</v>
      </c>
      <c r="N18" s="57"/>
    </row>
    <row r="19" spans="2:22" ht="15.75" thickBot="1" x14ac:dyDescent="0.3">
      <c r="B19" s="86">
        <f>B17*B18</f>
        <v>120000</v>
      </c>
      <c r="C19" s="35" t="s">
        <v>20</v>
      </c>
      <c r="D19" s="244"/>
      <c r="E19" s="34">
        <f>E18/E14</f>
        <v>0.155</v>
      </c>
      <c r="F19" s="82" t="s">
        <v>42</v>
      </c>
      <c r="G19" s="83">
        <f>E22*G10</f>
        <v>3.5650000000000001E-2</v>
      </c>
      <c r="H19" s="83">
        <f>E22*H10</f>
        <v>1.9375E-2</v>
      </c>
      <c r="I19" s="83">
        <f>E22*I10</f>
        <v>2.1854999999999999E-2</v>
      </c>
      <c r="J19" s="83">
        <f>E22*J10</f>
        <v>4.7274999999999999E-3</v>
      </c>
      <c r="K19" s="83">
        <f>E22*K10</f>
        <v>3.69675E-2</v>
      </c>
      <c r="L19" s="83">
        <f>E22*L10</f>
        <v>3.6424999999999999E-2</v>
      </c>
      <c r="M19" s="84">
        <f t="shared" si="0"/>
        <v>0.155</v>
      </c>
      <c r="N19" s="57"/>
    </row>
    <row r="20" spans="2:22" ht="15.75" thickBot="1" x14ac:dyDescent="0.3">
      <c r="B20" s="10"/>
      <c r="C20" s="35" t="s">
        <v>21</v>
      </c>
      <c r="D20" s="244"/>
      <c r="E20" s="90">
        <f>E19*100</f>
        <v>15.5</v>
      </c>
      <c r="F20" s="87" t="s">
        <v>43</v>
      </c>
      <c r="G20" s="88">
        <f>E22*G11</f>
        <v>5.425E-2</v>
      </c>
      <c r="H20" s="88">
        <f>E22*H11</f>
        <v>2.4025000000000001E-2</v>
      </c>
      <c r="I20" s="88">
        <f>E22*I11</f>
        <v>2.5481999999999998E-2</v>
      </c>
      <c r="J20" s="88">
        <f>E22*J11</f>
        <v>5.5180000000000003E-3</v>
      </c>
      <c r="K20" s="88">
        <f>E22*K11</f>
        <v>4.5724999999999995E-2</v>
      </c>
      <c r="L20" s="180">
        <v>0</v>
      </c>
      <c r="M20" s="89">
        <f t="shared" si="0"/>
        <v>0.15499999999999997</v>
      </c>
      <c r="N20" s="57"/>
      <c r="O20" s="228" t="s">
        <v>223</v>
      </c>
      <c r="P20" s="229"/>
      <c r="Q20" s="229"/>
      <c r="R20" s="229"/>
      <c r="S20" s="229"/>
      <c r="T20" s="230" t="s">
        <v>224</v>
      </c>
      <c r="U20" t="s">
        <v>106</v>
      </c>
    </row>
    <row r="21" spans="2:22" ht="15.75" thickBot="1" x14ac:dyDescent="0.3">
      <c r="B21" s="24" t="s">
        <v>93</v>
      </c>
      <c r="C21" s="91" t="s">
        <v>23</v>
      </c>
      <c r="D21" s="244"/>
      <c r="E21" s="174">
        <v>1</v>
      </c>
      <c r="F21" s="37"/>
      <c r="G21" s="11"/>
      <c r="H21" s="11" t="s">
        <v>51</v>
      </c>
      <c r="I21" s="11"/>
      <c r="J21" s="11"/>
      <c r="K21" s="11"/>
      <c r="L21" s="11"/>
      <c r="M21" s="12"/>
      <c r="N21" s="57"/>
      <c r="O21" s="105" t="s">
        <v>198</v>
      </c>
      <c r="P21" s="106"/>
      <c r="Q21" s="106"/>
      <c r="R21" s="106"/>
      <c r="S21" s="106"/>
      <c r="T21" s="107"/>
      <c r="U21" s="104"/>
      <c r="V21" s="104"/>
    </row>
    <row r="22" spans="2:22" x14ac:dyDescent="0.25">
      <c r="B22" s="28" t="s">
        <v>90</v>
      </c>
      <c r="C22" s="35" t="s">
        <v>22</v>
      </c>
      <c r="D22" s="245"/>
      <c r="E22" s="58">
        <f>E21*E20%</f>
        <v>0.155</v>
      </c>
      <c r="F22" s="38"/>
      <c r="G22" s="26"/>
      <c r="H22" s="39" t="s">
        <v>45</v>
      </c>
      <c r="I22" s="26" t="s">
        <v>44</v>
      </c>
      <c r="J22" s="26"/>
      <c r="K22" s="26"/>
      <c r="L22" s="26"/>
      <c r="M22" s="27"/>
      <c r="N22" s="57"/>
      <c r="O22" s="114" t="s">
        <v>215</v>
      </c>
      <c r="P22" s="115"/>
      <c r="Q22" s="115"/>
      <c r="R22" s="115"/>
      <c r="S22" s="115"/>
      <c r="T22" s="116"/>
      <c r="U22" s="104"/>
      <c r="V22" s="104"/>
    </row>
    <row r="23" spans="2:22" ht="15.75" thickBot="1" x14ac:dyDescent="0.25">
      <c r="B23" s="32" t="s">
        <v>91</v>
      </c>
      <c r="C23" s="11"/>
      <c r="D23" s="11"/>
      <c r="E23" s="11"/>
      <c r="F23" s="42"/>
      <c r="G23" s="34" t="s">
        <v>32</v>
      </c>
      <c r="H23" s="34" t="s">
        <v>33</v>
      </c>
      <c r="I23" s="34" t="s">
        <v>34</v>
      </c>
      <c r="J23" s="34" t="s">
        <v>35</v>
      </c>
      <c r="K23" s="34" t="s">
        <v>36</v>
      </c>
      <c r="L23" s="34" t="s">
        <v>37</v>
      </c>
      <c r="M23" s="43" t="s">
        <v>188</v>
      </c>
      <c r="N23" s="57"/>
      <c r="O23" s="231" t="s">
        <v>199</v>
      </c>
      <c r="P23" s="213"/>
      <c r="Q23" s="213" t="s">
        <v>213</v>
      </c>
      <c r="R23" s="212" t="s">
        <v>212</v>
      </c>
      <c r="S23" s="213" t="s">
        <v>36</v>
      </c>
      <c r="T23" s="232" t="s">
        <v>67</v>
      </c>
      <c r="U23" s="104"/>
      <c r="V23" s="104"/>
    </row>
    <row r="24" spans="2:22" ht="15.75" thickBot="1" x14ac:dyDescent="0.3">
      <c r="B24" s="31">
        <v>17894.919999999998</v>
      </c>
      <c r="C24" s="93" t="s">
        <v>216</v>
      </c>
      <c r="D24" s="26"/>
      <c r="E24" s="94">
        <v>12860.06</v>
      </c>
      <c r="F24" s="42" t="s">
        <v>38</v>
      </c>
      <c r="G24" s="45">
        <f t="shared" ref="G24:L29" si="1">G15*100</f>
        <v>3.875</v>
      </c>
      <c r="H24" s="45">
        <f t="shared" si="1"/>
        <v>2.3250000000000002</v>
      </c>
      <c r="I24" s="45">
        <f t="shared" si="1"/>
        <v>2.1854999999999998</v>
      </c>
      <c r="J24" s="45">
        <f t="shared" si="1"/>
        <v>0.47275</v>
      </c>
      <c r="K24" s="45">
        <f t="shared" si="1"/>
        <v>4.4717499999999992</v>
      </c>
      <c r="L24" s="45">
        <f t="shared" si="1"/>
        <v>2.17</v>
      </c>
      <c r="M24" s="46">
        <f t="shared" ref="M24:M29" si="2">SUM(G24:L24)</f>
        <v>15.499999999999998</v>
      </c>
      <c r="N24" s="57"/>
      <c r="O24" s="233">
        <v>1</v>
      </c>
      <c r="P24" s="214" t="s">
        <v>200</v>
      </c>
      <c r="Q24" s="213">
        <v>2020</v>
      </c>
      <c r="R24" s="215">
        <v>2500</v>
      </c>
      <c r="S24" s="215">
        <v>181.12</v>
      </c>
      <c r="T24" s="234">
        <f t="shared" ref="T24:T36" si="3">R24+S24</f>
        <v>2681.12</v>
      </c>
      <c r="U24" s="104"/>
      <c r="V24" s="104"/>
    </row>
    <row r="25" spans="2:22" x14ac:dyDescent="0.2">
      <c r="B25" s="31">
        <v>0</v>
      </c>
      <c r="C25" s="96" t="s">
        <v>48</v>
      </c>
      <c r="D25" s="11"/>
      <c r="E25" s="182">
        <f>E20</f>
        <v>15.5</v>
      </c>
      <c r="F25" s="42" t="s">
        <v>39</v>
      </c>
      <c r="G25" s="45">
        <f t="shared" si="1"/>
        <v>3.5649999999999999</v>
      </c>
      <c r="H25" s="45">
        <f t="shared" si="1"/>
        <v>2.3250000000000002</v>
      </c>
      <c r="I25" s="45">
        <f t="shared" si="1"/>
        <v>2.1854999999999998</v>
      </c>
      <c r="J25" s="45">
        <f t="shared" si="1"/>
        <v>0.47275</v>
      </c>
      <c r="K25" s="45">
        <f t="shared" si="1"/>
        <v>4.3167500000000008</v>
      </c>
      <c r="L25" s="45">
        <f t="shared" si="1"/>
        <v>2.6350000000000002</v>
      </c>
      <c r="M25" s="46">
        <f t="shared" si="2"/>
        <v>15.5</v>
      </c>
      <c r="N25" s="57"/>
      <c r="O25" s="233">
        <v>2</v>
      </c>
      <c r="P25" s="214" t="s">
        <v>201</v>
      </c>
      <c r="Q25" s="213">
        <v>2020</v>
      </c>
      <c r="R25" s="215">
        <v>3500</v>
      </c>
      <c r="S25" s="215">
        <v>278.63</v>
      </c>
      <c r="T25" s="234">
        <f t="shared" si="3"/>
        <v>3778.63</v>
      </c>
      <c r="U25" s="104"/>
      <c r="V25" s="104"/>
    </row>
    <row r="26" spans="2:22" ht="15.75" thickBot="1" x14ac:dyDescent="0.25">
      <c r="B26" s="47">
        <v>0</v>
      </c>
      <c r="C26" s="97" t="s">
        <v>46</v>
      </c>
      <c r="D26" s="49"/>
      <c r="E26" s="50">
        <f>E24*E25%</f>
        <v>1993.3092999999999</v>
      </c>
      <c r="F26" s="42" t="s">
        <v>40</v>
      </c>
      <c r="G26" s="45">
        <f t="shared" si="1"/>
        <v>3.7199999999999998</v>
      </c>
      <c r="H26" s="45">
        <f t="shared" si="1"/>
        <v>2.3250000000000002</v>
      </c>
      <c r="I26" s="45">
        <f t="shared" si="1"/>
        <v>2.3126000000000002</v>
      </c>
      <c r="J26" s="45">
        <f t="shared" si="1"/>
        <v>0.50065000000000004</v>
      </c>
      <c r="K26" s="45">
        <f t="shared" si="1"/>
        <v>3.6967500000000002</v>
      </c>
      <c r="L26" s="45">
        <f t="shared" si="1"/>
        <v>2.9449999999999998</v>
      </c>
      <c r="M26" s="46">
        <f t="shared" si="2"/>
        <v>15.5</v>
      </c>
      <c r="N26" s="57"/>
      <c r="O26" s="233">
        <v>3</v>
      </c>
      <c r="P26" s="214" t="s">
        <v>202</v>
      </c>
      <c r="Q26" s="213">
        <v>2020</v>
      </c>
      <c r="R26" s="215">
        <v>3200</v>
      </c>
      <c r="S26" s="215">
        <v>334.11</v>
      </c>
      <c r="T26" s="234">
        <f t="shared" si="3"/>
        <v>3534.11</v>
      </c>
      <c r="U26" s="104"/>
      <c r="V26" s="104"/>
    </row>
    <row r="27" spans="2:22" x14ac:dyDescent="0.25">
      <c r="B27" s="28" t="s">
        <v>95</v>
      </c>
      <c r="C27" s="11" t="s">
        <v>193</v>
      </c>
      <c r="D27" s="183" t="s">
        <v>106</v>
      </c>
      <c r="E27" s="11"/>
      <c r="F27" s="42" t="s">
        <v>41</v>
      </c>
      <c r="G27" s="45">
        <f t="shared" si="1"/>
        <v>3.2549999999999994</v>
      </c>
      <c r="H27" s="45">
        <f t="shared" si="1"/>
        <v>2.3250000000000002</v>
      </c>
      <c r="I27" s="45">
        <f t="shared" si="1"/>
        <v>2.4397000000000002</v>
      </c>
      <c r="J27" s="45">
        <f t="shared" si="1"/>
        <v>0.52854999999999996</v>
      </c>
      <c r="K27" s="45">
        <f t="shared" si="1"/>
        <v>3.6967500000000002</v>
      </c>
      <c r="L27" s="45">
        <f t="shared" si="1"/>
        <v>3.2549999999999994</v>
      </c>
      <c r="M27" s="46">
        <f t="shared" si="2"/>
        <v>15.499999999999998</v>
      </c>
      <c r="N27" s="57"/>
      <c r="O27" s="233">
        <v>4</v>
      </c>
      <c r="P27" s="214" t="s">
        <v>203</v>
      </c>
      <c r="Q27" s="213">
        <v>2019</v>
      </c>
      <c r="R27" s="215">
        <v>2600</v>
      </c>
      <c r="S27" s="215">
        <v>222.21</v>
      </c>
      <c r="T27" s="234">
        <f t="shared" si="3"/>
        <v>2822.21</v>
      </c>
      <c r="U27" s="104"/>
      <c r="V27" s="104"/>
    </row>
    <row r="28" spans="2:22" x14ac:dyDescent="0.2">
      <c r="B28" s="47">
        <f>B24/10</f>
        <v>1789.4919999999997</v>
      </c>
      <c r="C28" s="11" t="s">
        <v>157</v>
      </c>
      <c r="D28" s="197" t="s">
        <v>106</v>
      </c>
      <c r="E28" s="11"/>
      <c r="F28" s="42" t="s">
        <v>42</v>
      </c>
      <c r="G28" s="45">
        <f t="shared" si="1"/>
        <v>3.5649999999999999</v>
      </c>
      <c r="H28" s="45">
        <f t="shared" si="1"/>
        <v>1.9375</v>
      </c>
      <c r="I28" s="45">
        <f t="shared" si="1"/>
        <v>2.1854999999999998</v>
      </c>
      <c r="J28" s="45">
        <f t="shared" si="1"/>
        <v>0.47275</v>
      </c>
      <c r="K28" s="45">
        <f t="shared" si="1"/>
        <v>3.6967500000000002</v>
      </c>
      <c r="L28" s="45">
        <f t="shared" si="1"/>
        <v>3.6425000000000001</v>
      </c>
      <c r="M28" s="46">
        <f t="shared" si="2"/>
        <v>15.499999999999998</v>
      </c>
      <c r="N28" s="57"/>
      <c r="O28" s="233">
        <v>5</v>
      </c>
      <c r="P28" s="214" t="s">
        <v>204</v>
      </c>
      <c r="Q28" s="213">
        <v>2019</v>
      </c>
      <c r="R28" s="215">
        <v>2600</v>
      </c>
      <c r="S28" s="215">
        <v>346.59</v>
      </c>
      <c r="T28" s="234">
        <f t="shared" si="3"/>
        <v>2946.59</v>
      </c>
      <c r="U28" s="104"/>
      <c r="V28" s="104"/>
    </row>
    <row r="29" spans="2:22" ht="15.75" thickBot="1" x14ac:dyDescent="0.25">
      <c r="B29" s="28" t="s">
        <v>92</v>
      </c>
      <c r="C29" s="11" t="s">
        <v>181</v>
      </c>
      <c r="D29" s="11"/>
      <c r="E29" s="49"/>
      <c r="F29" s="54" t="s">
        <v>43</v>
      </c>
      <c r="G29" s="55">
        <f t="shared" si="1"/>
        <v>5.4249999999999998</v>
      </c>
      <c r="H29" s="55">
        <f t="shared" si="1"/>
        <v>2.4025000000000003</v>
      </c>
      <c r="I29" s="55">
        <f t="shared" si="1"/>
        <v>2.5481999999999996</v>
      </c>
      <c r="J29" s="55">
        <f t="shared" si="1"/>
        <v>0.55180000000000007</v>
      </c>
      <c r="K29" s="55">
        <f t="shared" si="1"/>
        <v>4.5724999999999998</v>
      </c>
      <c r="L29" s="55">
        <f t="shared" si="1"/>
        <v>0</v>
      </c>
      <c r="M29" s="56">
        <f t="shared" si="2"/>
        <v>15.5</v>
      </c>
      <c r="N29" s="57"/>
      <c r="O29" s="233">
        <v>6</v>
      </c>
      <c r="P29" s="214" t="s">
        <v>205</v>
      </c>
      <c r="Q29" s="213">
        <v>2019</v>
      </c>
      <c r="R29" s="215">
        <v>3200</v>
      </c>
      <c r="S29" s="215">
        <v>317.05</v>
      </c>
      <c r="T29" s="234">
        <f t="shared" si="3"/>
        <v>3517.05</v>
      </c>
      <c r="U29" s="104"/>
      <c r="V29" s="104"/>
    </row>
    <row r="30" spans="2:22" ht="15.75" thickBot="1" x14ac:dyDescent="0.25">
      <c r="B30" s="219">
        <f>B28*12</f>
        <v>21473.903999999995</v>
      </c>
      <c r="C30" s="221" t="s">
        <v>222</v>
      </c>
      <c r="D30" s="222" t="s">
        <v>106</v>
      </c>
      <c r="E30" s="11"/>
      <c r="F30" s="11"/>
      <c r="G30" s="11"/>
      <c r="H30" s="11"/>
      <c r="I30" s="11"/>
      <c r="J30" s="11"/>
      <c r="K30" s="11"/>
      <c r="L30" s="11"/>
      <c r="M30" s="12"/>
      <c r="N30" s="57"/>
      <c r="O30" s="233">
        <v>7</v>
      </c>
      <c r="P30" s="214" t="s">
        <v>206</v>
      </c>
      <c r="Q30" s="213">
        <v>2019</v>
      </c>
      <c r="R30" s="215">
        <v>3200</v>
      </c>
      <c r="S30" s="215">
        <v>293.16000000000003</v>
      </c>
      <c r="T30" s="234">
        <f t="shared" si="3"/>
        <v>3493.16</v>
      </c>
      <c r="U30" s="104"/>
      <c r="V30" s="104"/>
    </row>
    <row r="31" spans="2:22" x14ac:dyDescent="0.2">
      <c r="B31" s="10"/>
      <c r="C31" s="223" t="s">
        <v>221</v>
      </c>
      <c r="D31" s="227">
        <f>T36</f>
        <v>41301.18</v>
      </c>
      <c r="E31" s="11"/>
      <c r="F31" s="38"/>
      <c r="G31" s="26"/>
      <c r="H31" s="39"/>
      <c r="I31" s="26" t="s">
        <v>180</v>
      </c>
      <c r="J31" s="26"/>
      <c r="K31" s="26"/>
      <c r="L31" s="26"/>
      <c r="M31" s="27"/>
      <c r="N31" s="57"/>
      <c r="O31" s="233">
        <v>8</v>
      </c>
      <c r="P31" s="214" t="s">
        <v>207</v>
      </c>
      <c r="Q31" s="213">
        <v>2019</v>
      </c>
      <c r="R31" s="215">
        <v>3200</v>
      </c>
      <c r="S31" s="215">
        <v>363.45</v>
      </c>
      <c r="T31" s="234">
        <f t="shared" si="3"/>
        <v>3563.45</v>
      </c>
      <c r="U31" s="104"/>
      <c r="V31" s="104"/>
    </row>
    <row r="32" spans="2:22" x14ac:dyDescent="0.2">
      <c r="B32" s="10"/>
      <c r="C32" s="220" t="s">
        <v>197</v>
      </c>
      <c r="D32" s="224">
        <f>(D34)*(43.4%)</f>
        <v>334.87596239999993</v>
      </c>
      <c r="E32" s="11"/>
      <c r="F32" s="42"/>
      <c r="G32" s="34" t="s">
        <v>32</v>
      </c>
      <c r="H32" s="34" t="s">
        <v>33</v>
      </c>
      <c r="I32" s="34" t="s">
        <v>34</v>
      </c>
      <c r="J32" s="34" t="s">
        <v>35</v>
      </c>
      <c r="K32" s="34" t="s">
        <v>36</v>
      </c>
      <c r="L32" s="34" t="s">
        <v>37</v>
      </c>
      <c r="M32" s="43" t="s">
        <v>187</v>
      </c>
      <c r="N32" s="57"/>
      <c r="O32" s="233">
        <v>9</v>
      </c>
      <c r="P32" s="214" t="s">
        <v>208</v>
      </c>
      <c r="Q32" s="213">
        <v>2019</v>
      </c>
      <c r="R32" s="215">
        <v>3200</v>
      </c>
      <c r="S32" s="215">
        <v>424.94</v>
      </c>
      <c r="T32" s="234">
        <f t="shared" si="3"/>
        <v>3624.94</v>
      </c>
      <c r="U32" s="104"/>
      <c r="V32" s="104"/>
    </row>
    <row r="33" spans="2:22" x14ac:dyDescent="0.2">
      <c r="B33" s="7"/>
      <c r="C33" s="218" t="s">
        <v>192</v>
      </c>
      <c r="D33" s="225">
        <f>D31/E14</f>
        <v>0.28273138369714734</v>
      </c>
      <c r="E33" s="3"/>
      <c r="F33" s="42" t="s">
        <v>38</v>
      </c>
      <c r="G33" s="45">
        <f>E24*G24/100</f>
        <v>498.32732499999997</v>
      </c>
      <c r="H33" s="45">
        <f>E24*H24/100</f>
        <v>298.99639500000001</v>
      </c>
      <c r="I33" s="200">
        <f>E24*I24/100</f>
        <v>281.05661129999999</v>
      </c>
      <c r="J33" s="45">
        <f>E24*J24/100</f>
        <v>60.795933649999995</v>
      </c>
      <c r="K33" s="45">
        <f>E24*K24/100</f>
        <v>575.06973304999985</v>
      </c>
      <c r="L33" s="45">
        <f>E24*L24/100</f>
        <v>279.06330199999996</v>
      </c>
      <c r="M33" s="71">
        <f t="shared" ref="M33:M38" si="4">SUM(G33:L33)</f>
        <v>1993.3092999999999</v>
      </c>
      <c r="O33" s="233">
        <v>10</v>
      </c>
      <c r="P33" s="214" t="s">
        <v>209</v>
      </c>
      <c r="Q33" s="213">
        <v>2019</v>
      </c>
      <c r="R33" s="215">
        <v>3200</v>
      </c>
      <c r="S33" s="215">
        <v>426.77</v>
      </c>
      <c r="T33" s="234">
        <f t="shared" si="3"/>
        <v>3626.77</v>
      </c>
      <c r="U33" s="104"/>
      <c r="V33" s="104"/>
    </row>
    <row r="34" spans="2:22" x14ac:dyDescent="0.25">
      <c r="B34" s="7"/>
      <c r="C34" s="218" t="s">
        <v>196</v>
      </c>
      <c r="D34" s="226">
        <f>E24*6%</f>
        <v>771.60359999999991</v>
      </c>
      <c r="E34" s="3"/>
      <c r="F34" s="42" t="s">
        <v>39</v>
      </c>
      <c r="G34" s="45">
        <f>E24*G25/100</f>
        <v>458.46113899999995</v>
      </c>
      <c r="H34" s="45">
        <f>E24*H25/100</f>
        <v>298.99639500000001</v>
      </c>
      <c r="I34" s="200">
        <f>E24*I25/100</f>
        <v>281.05661129999999</v>
      </c>
      <c r="J34" s="45">
        <f>E24*J25/100</f>
        <v>60.795933649999995</v>
      </c>
      <c r="K34" s="45">
        <f>E24*K25/100</f>
        <v>555.1366400500001</v>
      </c>
      <c r="L34" s="45">
        <f>E24*L25/100</f>
        <v>338.86258099999998</v>
      </c>
      <c r="M34" s="71">
        <f t="shared" si="4"/>
        <v>1993.3092999999999</v>
      </c>
      <c r="O34" s="233">
        <v>11</v>
      </c>
      <c r="P34" s="214" t="s">
        <v>210</v>
      </c>
      <c r="Q34" s="213">
        <v>2019</v>
      </c>
      <c r="R34" s="215">
        <v>3500</v>
      </c>
      <c r="S34" s="215">
        <v>357.12</v>
      </c>
      <c r="T34" s="234">
        <f t="shared" si="3"/>
        <v>3857.12</v>
      </c>
      <c r="U34" s="104"/>
      <c r="V34" s="104"/>
    </row>
    <row r="35" spans="2:22" x14ac:dyDescent="0.2">
      <c r="B35" s="7"/>
      <c r="C35" s="3"/>
      <c r="D35" s="3"/>
      <c r="E35" s="3"/>
      <c r="F35" s="42" t="s">
        <v>40</v>
      </c>
      <c r="G35" s="45">
        <f>E24*G26/100</f>
        <v>478.39423199999999</v>
      </c>
      <c r="H35" s="45">
        <f>E24*H26/100</f>
        <v>298.99639500000001</v>
      </c>
      <c r="I35" s="200">
        <f>E24*I26/100</f>
        <v>297.40174755999999</v>
      </c>
      <c r="J35" s="45">
        <f>E24*J26/100</f>
        <v>64.383890390000005</v>
      </c>
      <c r="K35" s="45">
        <f>E24*K26/100</f>
        <v>475.40426805000004</v>
      </c>
      <c r="L35" s="45">
        <f>E24*L26/100</f>
        <v>378.72876699999995</v>
      </c>
      <c r="M35" s="71">
        <f t="shared" si="4"/>
        <v>1993.3093000000003</v>
      </c>
      <c r="O35" s="233">
        <v>12</v>
      </c>
      <c r="P35" s="214" t="s">
        <v>211</v>
      </c>
      <c r="Q35" s="213">
        <v>2019</v>
      </c>
      <c r="R35" s="215">
        <v>3500</v>
      </c>
      <c r="S35" s="215">
        <v>356.03</v>
      </c>
      <c r="T35" s="234">
        <f t="shared" si="3"/>
        <v>3856.0299999999997</v>
      </c>
      <c r="U35" s="104"/>
      <c r="V35" s="104"/>
    </row>
    <row r="36" spans="2:22" ht="15.75" thickBot="1" x14ac:dyDescent="0.25">
      <c r="B36" s="7"/>
      <c r="C36" s="216" t="s">
        <v>217</v>
      </c>
      <c r="D36" s="3"/>
      <c r="E36" s="3"/>
      <c r="F36" s="42" t="s">
        <v>41</v>
      </c>
      <c r="G36" s="45">
        <f>E24*G27/100</f>
        <v>418.59495299999986</v>
      </c>
      <c r="H36" s="45">
        <f>E24*H27/100</f>
        <v>298.99639500000001</v>
      </c>
      <c r="I36" s="200">
        <f>E24*I27/100</f>
        <v>313.74688381999999</v>
      </c>
      <c r="J36" s="45">
        <f>E24*J27/100</f>
        <v>67.97184713</v>
      </c>
      <c r="K36" s="45">
        <f>E24*K27/100</f>
        <v>475.40426805000004</v>
      </c>
      <c r="L36" s="45">
        <f>E24*L27/100</f>
        <v>418.59495299999986</v>
      </c>
      <c r="M36" s="71">
        <f t="shared" si="4"/>
        <v>1993.3092999999999</v>
      </c>
      <c r="O36" s="135" t="s">
        <v>214</v>
      </c>
      <c r="P36" s="235"/>
      <c r="Q36" s="235"/>
      <c r="R36" s="236">
        <f>SUM(R24:R35)</f>
        <v>37400</v>
      </c>
      <c r="S36" s="236">
        <f>SUM(S24:S35)</f>
        <v>3901.1800000000003</v>
      </c>
      <c r="T36" s="237">
        <f t="shared" si="3"/>
        <v>41301.18</v>
      </c>
      <c r="U36" s="104"/>
      <c r="V36" s="104"/>
    </row>
    <row r="37" spans="2:22" x14ac:dyDescent="0.25">
      <c r="B37" s="7"/>
      <c r="C37" s="217" t="s">
        <v>218</v>
      </c>
      <c r="D37" s="3"/>
      <c r="E37" s="3"/>
      <c r="F37" s="42" t="s">
        <v>42</v>
      </c>
      <c r="G37" s="45">
        <f>E24*G28/100</f>
        <v>458.46113899999995</v>
      </c>
      <c r="H37" s="45">
        <f>E24*H28/100</f>
        <v>249.16366249999999</v>
      </c>
      <c r="I37" s="200">
        <f>E24*I28/100</f>
        <v>281.05661129999999</v>
      </c>
      <c r="J37" s="45">
        <f>E24*J28/100</f>
        <v>60.795933649999995</v>
      </c>
      <c r="K37" s="45">
        <f>E24*K28/100</f>
        <v>475.40426805000004</v>
      </c>
      <c r="L37" s="45">
        <f>E24*L28/100</f>
        <v>468.4276855</v>
      </c>
      <c r="M37" s="71">
        <f t="shared" si="4"/>
        <v>1993.3093000000001</v>
      </c>
      <c r="O37" s="104"/>
      <c r="P37" s="104"/>
      <c r="Q37" s="104"/>
      <c r="R37" s="104"/>
      <c r="S37" s="104"/>
      <c r="T37" s="104"/>
      <c r="U37" s="104"/>
      <c r="V37" s="104"/>
    </row>
    <row r="38" spans="2:22" ht="15.75" thickBot="1" x14ac:dyDescent="0.25">
      <c r="B38" s="7"/>
      <c r="C38" s="217" t="s">
        <v>219</v>
      </c>
      <c r="D38" s="3"/>
      <c r="E38" s="3"/>
      <c r="F38" s="54" t="s">
        <v>43</v>
      </c>
      <c r="G38" s="55">
        <f>E24*G29/100</f>
        <v>697.65825499999994</v>
      </c>
      <c r="H38" s="55">
        <f>E24*H29/100</f>
        <v>308.9629415</v>
      </c>
      <c r="I38" s="201">
        <f>E24*I29/100</f>
        <v>327.70004891999992</v>
      </c>
      <c r="J38" s="55">
        <f>E24*J29/100</f>
        <v>70.961811080000004</v>
      </c>
      <c r="K38" s="55">
        <f>E24*K29/100</f>
        <v>588.02624349999996</v>
      </c>
      <c r="L38" s="55">
        <f>E24*L29/100</f>
        <v>0</v>
      </c>
      <c r="M38" s="72">
        <f t="shared" si="4"/>
        <v>1993.3092999999999</v>
      </c>
      <c r="O38" s="104"/>
      <c r="P38" s="104"/>
      <c r="Q38" s="104"/>
      <c r="R38" s="104"/>
      <c r="S38" s="104"/>
      <c r="T38" s="104"/>
      <c r="U38" s="104"/>
      <c r="V38" s="104"/>
    </row>
    <row r="39" spans="2:22" ht="15.75" thickBot="1" x14ac:dyDescent="0.25">
      <c r="B39" s="202"/>
      <c r="C39" s="211" t="s">
        <v>220</v>
      </c>
      <c r="D39" s="203"/>
      <c r="E39" s="203"/>
      <c r="F39" s="203"/>
      <c r="G39" s="203"/>
      <c r="H39" s="203"/>
      <c r="I39" s="203"/>
      <c r="J39" s="203"/>
      <c r="K39" s="203"/>
      <c r="L39" s="203"/>
      <c r="M39" s="204"/>
      <c r="O39" s="104"/>
      <c r="P39" s="104"/>
      <c r="Q39" s="104"/>
      <c r="R39" s="104"/>
      <c r="S39" s="104"/>
      <c r="T39" s="104"/>
      <c r="U39" s="104"/>
      <c r="V39" s="104"/>
    </row>
    <row r="41" spans="2:22" x14ac:dyDescent="0.25">
      <c r="B41" s="246" t="s">
        <v>225</v>
      </c>
      <c r="C41" s="246" t="s">
        <v>226</v>
      </c>
    </row>
  </sheetData>
  <mergeCells count="2">
    <mergeCell ref="B5:C5"/>
    <mergeCell ref="D14:D22"/>
  </mergeCells>
  <pageMargins left="0" right="0" top="0" bottom="0" header="0.31496062992125984" footer="0.31496062992125984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S. Silva</dc:creator>
  <cp:lastModifiedBy>Alan</cp:lastModifiedBy>
  <cp:lastPrinted>2020-05-08T17:24:21Z</cp:lastPrinted>
  <dcterms:created xsi:type="dcterms:W3CDTF">2018-01-22T17:37:17Z</dcterms:created>
  <dcterms:modified xsi:type="dcterms:W3CDTF">2021-02-25T19:47:24Z</dcterms:modified>
</cp:coreProperties>
</file>