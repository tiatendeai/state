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820A5E01-709B-4A72-A29B-6B958A3BDDBA}" xr6:coauthVersionLast="41" xr6:coauthVersionMax="41" xr10:uidLastSave="{00000000-0000-0000-0000-000000000000}"/>
  <bookViews>
    <workbookView xWindow="-108" yWindow="-108" windowWidth="19416" windowHeight="10416" activeTab="1"/>
  </bookViews>
  <sheets>
    <sheet name="PIS" sheetId="2" r:id="rId1"/>
    <sheet name="COFINS" sheetId="1" r:id="rId2"/>
  </sheets>
  <definedNames>
    <definedName name="_xlnm.Print_Area" localSheetId="1">COFINS!$A$1:$B$45</definedName>
  </definedNames>
  <calcPr calcId="191029"/>
</workbook>
</file>

<file path=xl/calcChain.xml><?xml version="1.0" encoding="utf-8"?>
<calcChain xmlns="http://schemas.openxmlformats.org/spreadsheetml/2006/main">
  <c r="B24" i="2" l="1"/>
  <c r="B8" i="2"/>
  <c r="B36" i="1"/>
  <c r="B37" i="1"/>
  <c r="B41" i="1" s="1"/>
  <c r="B24" i="1"/>
  <c r="B8" i="1"/>
  <c r="B25" i="1"/>
  <c r="B26" i="1" s="1"/>
  <c r="B40" i="1" s="1"/>
  <c r="B25" i="2"/>
  <c r="B26" i="2" s="1"/>
  <c r="B40" i="2" s="1"/>
  <c r="B36" i="2"/>
  <c r="B37" i="2"/>
  <c r="B41" i="2" s="1"/>
  <c r="B45" i="2" l="1"/>
  <c r="B45" i="1"/>
</calcChain>
</file>

<file path=xl/comments1.xml><?xml version="1.0" encoding="utf-8"?>
<comments xmlns="http://schemas.openxmlformats.org/spreadsheetml/2006/main">
  <authors>
    <author>contab1</author>
  </authors>
  <commentList>
    <comment ref="B5" authorId="0" shapeId="0">
      <text>
        <r>
          <rPr>
            <sz val="12"/>
            <color indexed="81"/>
            <rFont val="Tahoma"/>
            <family val="2"/>
          </rPr>
          <t xml:space="preserve">
CFOPs de Venda: (5.101-IPI)+(5.401-IPI)+(6.101-IPI)+6.107+6.109+(6.401-IPI)</t>
        </r>
      </text>
    </comment>
    <comment ref="B6" authorId="0" shapeId="0">
      <text>
        <r>
          <rPr>
            <sz val="12"/>
            <color indexed="81"/>
            <rFont val="Tahoma"/>
            <family val="2"/>
          </rPr>
          <t>Faturamento de Derviços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0" authorId="0" shapeId="0">
      <text>
        <r>
          <rPr>
            <b/>
            <sz val="12"/>
            <color indexed="81"/>
            <rFont val="Tahoma"/>
            <family val="2"/>
          </rPr>
          <t xml:space="preserve"> CFOP 7.101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 xml:space="preserve">
CFOP 5.501 + 6.501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B13" authorId="0" shapeId="0">
      <text>
        <r>
          <rPr>
            <sz val="12"/>
            <color indexed="81"/>
            <rFont val="Tahoma"/>
            <family val="2"/>
          </rPr>
          <t>CFOP 6.109 - Art. 2º Lei 10.996/2004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2" authorId="0" shapeId="0">
      <text>
        <r>
          <rPr>
            <b/>
            <sz val="8"/>
            <color indexed="81"/>
            <rFont val="Tahoma"/>
            <family val="2"/>
          </rPr>
          <t xml:space="preserve">Conf. Decreto nº 4524/02, art. 22, inc. VII 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3" authorId="0" shapeId="0">
      <text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Tahoma"/>
            <family val="2"/>
          </rPr>
          <t>CFOP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Tahoma"/>
            <family val="2"/>
          </rPr>
          <t>ICMS Subst.: 5.401+6.401+ Venda de Resíduos</t>
        </r>
      </text>
    </comment>
    <comment ref="B29" authorId="0" shapeId="0">
      <text>
        <r>
          <rPr>
            <sz val="12"/>
            <color indexed="81"/>
            <rFont val="Tahoma"/>
            <family val="2"/>
          </rPr>
          <t xml:space="preserve">CFOPs Compras: (1.101-IPI)+1.124+(1.401-IPI)+(2.101-IPI) </t>
        </r>
      </text>
    </comment>
    <comment ref="B31" authorId="0" shapeId="0">
      <text>
        <r>
          <rPr>
            <sz val="12"/>
            <color indexed="81"/>
            <rFont val="Tahoma"/>
            <family val="2"/>
          </rPr>
          <t>CFOP's Frete: 1.352+1.360+2.352+2.360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2" authorId="0" shapeId="0">
      <text>
        <r>
          <rPr>
            <sz val="12"/>
            <color indexed="81"/>
            <rFont val="Tahoma"/>
            <family val="2"/>
          </rPr>
          <t>conforme Planilha "Controle de Crédito de PIS e COFINS"</t>
        </r>
      </text>
    </comment>
    <comment ref="B33" authorId="0" shapeId="0">
      <text>
        <r>
          <rPr>
            <sz val="12"/>
            <color indexed="81"/>
            <rFont val="Tahoma"/>
            <family val="2"/>
          </rPr>
          <t xml:space="preserve">Conforme compras p/ manutenção (preventiva/corretiva) e reposição de peças das máquinas da produção; </t>
        </r>
      </text>
    </comment>
    <comment ref="B34" authorId="0" shapeId="0">
      <text>
        <r>
          <rPr>
            <sz val="12"/>
            <color indexed="81"/>
            <rFont val="Tahoma"/>
            <family val="2"/>
          </rPr>
          <t>CFOPs: (1.201-IPI) +(1.410-IPI)+ (2.201-IPI)</t>
        </r>
      </text>
    </comment>
    <comment ref="B35" authorId="0" shapeId="0">
      <text>
        <r>
          <rPr>
            <sz val="12"/>
            <color indexed="81"/>
            <rFont val="Tahoma"/>
            <family val="2"/>
          </rPr>
          <t xml:space="preserve">CFOP: 1.252
</t>
        </r>
      </text>
    </comment>
    <comment ref="B39" authorId="0" shapeId="0">
      <text>
        <r>
          <rPr>
            <b/>
            <sz val="8"/>
            <color indexed="81"/>
            <rFont val="Tahoma"/>
            <family val="2"/>
          </rPr>
          <t>contab1:</t>
        </r>
        <r>
          <rPr>
            <sz val="8"/>
            <color indexed="81"/>
            <rFont val="Tahoma"/>
            <family val="2"/>
          </rPr>
          <t xml:space="preserve">
Créditos apurados
 em meses anteriores
</t>
        </r>
      </text>
    </comment>
  </commentList>
</comments>
</file>

<file path=xl/comments2.xml><?xml version="1.0" encoding="utf-8"?>
<comments xmlns="http://schemas.openxmlformats.org/spreadsheetml/2006/main">
  <authors>
    <author>contab1</author>
  </authors>
  <commentList>
    <comment ref="B5" authorId="0" shapeId="0">
      <text>
        <r>
          <rPr>
            <sz val="12"/>
            <color indexed="81"/>
            <rFont val="Tahoma"/>
            <family val="2"/>
          </rPr>
          <t xml:space="preserve">
CFOPs de Venda: (5.101-IPI)+(5.401-IPI)+(6.101-IPI)+6.107+6.109+(6.401-IPI)</t>
        </r>
      </text>
    </comment>
    <comment ref="B6" authorId="0" shapeId="0">
      <text>
        <r>
          <rPr>
            <sz val="12"/>
            <color indexed="81"/>
            <rFont val="Tahoma"/>
            <family val="2"/>
          </rPr>
          <t>Faturamento de Derviços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0" authorId="0" shapeId="0">
      <text>
        <r>
          <rPr>
            <b/>
            <sz val="12"/>
            <color indexed="81"/>
            <rFont val="Tahoma"/>
            <family val="2"/>
          </rPr>
          <t xml:space="preserve"> CFOP 7.101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CFOP 5.501 + 6.501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B13" authorId="0" shapeId="0">
      <text>
        <r>
          <rPr>
            <sz val="12"/>
            <color indexed="81"/>
            <rFont val="Tahoma"/>
            <family val="2"/>
          </rPr>
          <t>CFOP 6.109 - Art. 2º Lei 10.996/2004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2" authorId="0" shapeId="0">
      <text>
        <r>
          <rPr>
            <b/>
            <sz val="8"/>
            <color indexed="81"/>
            <rFont val="Tahoma"/>
            <family val="2"/>
          </rPr>
          <t xml:space="preserve"> Conf. Decreto nº 4524/02, art. 22, inc. VII 
</t>
        </r>
      </text>
    </comment>
    <comment ref="B23" authorId="0" shapeId="0">
      <text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Tahoma"/>
            <family val="2"/>
          </rPr>
          <t>CFOP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Tahoma"/>
            <family val="2"/>
          </rPr>
          <t>ICMS Subst.: 5.401+6.401+ Venda de Resíduos</t>
        </r>
      </text>
    </comment>
    <comment ref="B29" authorId="0" shapeId="0">
      <text>
        <r>
          <rPr>
            <sz val="12"/>
            <color indexed="81"/>
            <rFont val="Tahoma"/>
            <family val="2"/>
          </rPr>
          <t xml:space="preserve">CFOPs Compras: (1.101-IPI)+1.124+(1.401-IPI)+(2.101-IPI) </t>
        </r>
      </text>
    </comment>
    <comment ref="B31" authorId="0" shapeId="0">
      <text>
        <r>
          <rPr>
            <sz val="12"/>
            <color indexed="81"/>
            <rFont val="Tahoma"/>
            <family val="2"/>
          </rPr>
          <t>CFOP's Frete: 1.352+1.360+2.352+2.360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2" authorId="0" shapeId="0">
      <text>
        <r>
          <rPr>
            <sz val="12"/>
            <color indexed="81"/>
            <rFont val="Tahoma"/>
            <family val="2"/>
          </rPr>
          <t>conforme Planilha "Controle de Crédito de PIS e COFINS"</t>
        </r>
      </text>
    </comment>
    <comment ref="B33" authorId="0" shapeId="0">
      <text>
        <r>
          <rPr>
            <sz val="12"/>
            <color indexed="81"/>
            <rFont val="Tahoma"/>
            <family val="2"/>
          </rPr>
          <t xml:space="preserve">Conforme compras p/ manutenção (preventiva/corretiva) e reposição de peças das máquinas da produção; </t>
        </r>
      </text>
    </comment>
    <comment ref="B34" authorId="0" shapeId="0">
      <text>
        <r>
          <rPr>
            <sz val="12"/>
            <color indexed="81"/>
            <rFont val="Tahoma"/>
            <family val="2"/>
          </rPr>
          <t>CFOPs: (1.201-IPI) +(1.410-IPI)+ (2.201-IPI)</t>
        </r>
      </text>
    </comment>
    <comment ref="B35" authorId="0" shapeId="0">
      <text>
        <r>
          <rPr>
            <sz val="12"/>
            <color indexed="81"/>
            <rFont val="Tahoma"/>
            <family val="2"/>
          </rPr>
          <t xml:space="preserve">CFOP: 1.252
</t>
        </r>
      </text>
    </comment>
    <comment ref="B39" authorId="0" shapeId="0">
      <text>
        <r>
          <rPr>
            <sz val="8"/>
            <color indexed="81"/>
            <rFont val="Tahoma"/>
            <family val="2"/>
          </rPr>
          <t xml:space="preserve">Créditos apurados em meses anteriores
 </t>
        </r>
      </text>
    </comment>
  </commentList>
</comments>
</file>

<file path=xl/sharedStrings.xml><?xml version="1.0" encoding="utf-8"?>
<sst xmlns="http://schemas.openxmlformats.org/spreadsheetml/2006/main" count="88" uniqueCount="48">
  <si>
    <r>
      <rPr>
        <b/>
        <sz val="11"/>
        <color indexed="8"/>
        <rFont val="Calibri"/>
        <family val="2"/>
      </rPr>
      <t xml:space="preserve">1. </t>
    </r>
    <r>
      <rPr>
        <sz val="11"/>
        <color theme="1"/>
        <rFont val="Calibri"/>
        <family val="2"/>
        <scheme val="minor"/>
      </rPr>
      <t>Apuração do Débito</t>
    </r>
  </si>
  <si>
    <t>Receita de Vendas e Serviços</t>
  </si>
  <si>
    <t>(+) Vendas</t>
  </si>
  <si>
    <t>(+) Serviços</t>
  </si>
  <si>
    <t>(+) Outras Receitas</t>
  </si>
  <si>
    <t>(=) Receita Bruta Total</t>
  </si>
  <si>
    <t>Exclusões</t>
  </si>
  <si>
    <t>(-) Receita de Exportação</t>
  </si>
  <si>
    <t>(-) Receita de Venda para Comercial Exportadora</t>
  </si>
  <si>
    <t>(-) Receita de Prestação de Serviços para PF ou PJ Exterior</t>
  </si>
  <si>
    <t>(-) Venda de Marcadoria sujeita à Alíquota Zero e Isentas (VAREJ)</t>
  </si>
  <si>
    <t>(-) Venda de Marcadoria sujeita à Substituição Tributária (VAREJ)</t>
  </si>
  <si>
    <t>(-) Venda de Marcadoria sujeita à Incidência Monofásica (VAREJ)</t>
  </si>
  <si>
    <t>(-) Vendas Canceladas</t>
  </si>
  <si>
    <t>(-) Descontos Incondicionais Concedidos</t>
  </si>
  <si>
    <t>(-) Reversão de Provisões</t>
  </si>
  <si>
    <t>(-) Recuperação de créditos baixados como perda</t>
  </si>
  <si>
    <t>(-) Resultado Positivo da Equivalência Patrimonial</t>
  </si>
  <si>
    <t>(-) Lucros e dividendos recebidos</t>
  </si>
  <si>
    <t>(-) Receita com venda de Ativo Imobilizado</t>
  </si>
  <si>
    <t>(-) Outras Exclusões - ICMS ST</t>
  </si>
  <si>
    <t>(=) Total das Exclusões</t>
  </si>
  <si>
    <t>Base de Cálculo do COFINS</t>
  </si>
  <si>
    <t>DÉBITO</t>
  </si>
  <si>
    <r>
      <rPr>
        <b/>
        <sz val="11"/>
        <color indexed="8"/>
        <rFont val="Calibri"/>
        <family val="2"/>
      </rPr>
      <t xml:space="preserve">2. </t>
    </r>
    <r>
      <rPr>
        <sz val="11"/>
        <color theme="1"/>
        <rFont val="Calibri"/>
        <family val="2"/>
        <scheme val="minor"/>
      </rPr>
      <t>Apuração do Crédito</t>
    </r>
  </si>
  <si>
    <t>Compra bens revenda (-) incidência monofásica e substituição tributária</t>
  </si>
  <si>
    <t>Compra de bens e serviços utilizados como insumos</t>
  </si>
  <si>
    <t>Aluguéis de prédios, máquinas e equipamentos pagos a PJ</t>
  </si>
  <si>
    <t>Compras de serviços de fretes</t>
  </si>
  <si>
    <t>Crédito referente Ativo Imobilizado</t>
  </si>
  <si>
    <t>Crédito Manutenção Ativo Imobilizado</t>
  </si>
  <si>
    <t>Bens recebidos em devolução</t>
  </si>
  <si>
    <t>Energia elétrica</t>
  </si>
  <si>
    <t>CRÉDITO</t>
  </si>
  <si>
    <r>
      <rPr>
        <b/>
        <sz val="11"/>
        <color indexed="8"/>
        <rFont val="Calibri"/>
        <family val="2"/>
      </rPr>
      <t xml:space="preserve">3. </t>
    </r>
    <r>
      <rPr>
        <sz val="11"/>
        <color theme="1"/>
        <rFont val="Calibri"/>
        <family val="2"/>
        <scheme val="minor"/>
      </rPr>
      <t>Apuração do PIS a recolher ou a recuperar</t>
    </r>
  </si>
  <si>
    <t>(+) Saldo credor acumulado até o mês anterior</t>
  </si>
  <si>
    <t>(-) Débito do COFINS</t>
  </si>
  <si>
    <t>(+) Crédito do COFINS</t>
  </si>
  <si>
    <t>(+) 1/12 crédito presumido dos estoques (0,65%)</t>
  </si>
  <si>
    <t>SALDO CREDOR (para o mês seguinte)</t>
  </si>
  <si>
    <t>SALDO DEVEDOR</t>
  </si>
  <si>
    <t>COFINS A RECOLHER</t>
  </si>
  <si>
    <t>Base de Cálculo do PIS</t>
  </si>
  <si>
    <t>PIS A RECOLHER</t>
  </si>
  <si>
    <t>(-) Débito do PIS</t>
  </si>
  <si>
    <t>(+) Crédito do PIS</t>
  </si>
  <si>
    <t>CÁLCULO DE APURAÇÃO DO COFINS</t>
  </si>
  <si>
    <t>CÁLCULO DE APURAÇÃO DO 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</si>
</sst>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70" formatCode="_(&quot;R$ &quot;* #,##0.00_);_(&quot;R$ &quot;* \(#,##0.00\);_(&quot;R$ &quot;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170" fontId="0" fillId="0" borderId="2" xfId="0" applyNumberFormat="1" applyBorder="1"/>
    <xf numFmtId="44" fontId="6" fillId="0" borderId="0" xfId="1" applyFont="1"/>
    <xf numFmtId="170" fontId="9" fillId="0" borderId="2" xfId="0" applyNumberFormat="1" applyFont="1" applyBorder="1"/>
    <xf numFmtId="0" fontId="0" fillId="0" borderId="3" xfId="0" applyBorder="1"/>
    <xf numFmtId="170" fontId="0" fillId="0" borderId="4" xfId="0" applyNumberFormat="1" applyBorder="1"/>
    <xf numFmtId="0" fontId="8" fillId="0" borderId="5" xfId="0" applyFont="1" applyBorder="1"/>
    <xf numFmtId="170" fontId="8" fillId="0" borderId="6" xfId="0" applyNumberFormat="1" applyFont="1" applyBorder="1"/>
    <xf numFmtId="170" fontId="9" fillId="0" borderId="4" xfId="0" applyNumberFormat="1" applyFont="1" applyFill="1" applyBorder="1"/>
    <xf numFmtId="0" fontId="8" fillId="0" borderId="7" xfId="0" applyFont="1" applyBorder="1" applyAlignment="1">
      <alignment horizontal="left" vertical="center"/>
    </xf>
    <xf numFmtId="170" fontId="8" fillId="0" borderId="8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/>
    <xf numFmtId="170" fontId="0" fillId="0" borderId="8" xfId="0" applyNumberFormat="1" applyBorder="1"/>
    <xf numFmtId="170" fontId="0" fillId="0" borderId="2" xfId="0" applyNumberFormat="1" applyFill="1" applyBorder="1"/>
    <xf numFmtId="170" fontId="0" fillId="0" borderId="4" xfId="0" applyNumberFormat="1" applyFill="1" applyBorder="1"/>
    <xf numFmtId="170" fontId="9" fillId="0" borderId="2" xfId="0" applyNumberFormat="1" applyFont="1" applyFill="1" applyBorder="1"/>
    <xf numFmtId="0" fontId="8" fillId="0" borderId="5" xfId="0" applyFont="1" applyBorder="1" applyAlignment="1">
      <alignment horizontal="left" vertical="center"/>
    </xf>
    <xf numFmtId="170" fontId="8" fillId="0" borderId="6" xfId="0" applyNumberFormat="1" applyFont="1" applyFill="1" applyBorder="1"/>
    <xf numFmtId="170" fontId="8" fillId="2" borderId="6" xfId="0" applyNumberFormat="1" applyFont="1" applyFill="1" applyBorder="1"/>
    <xf numFmtId="4" fontId="7" fillId="0" borderId="0" xfId="0" applyNumberFormat="1" applyFont="1"/>
    <xf numFmtId="44" fontId="6" fillId="0" borderId="0" xfId="1" applyFont="1"/>
    <xf numFmtId="0" fontId="7" fillId="0" borderId="0" xfId="0" applyFont="1" applyAlignment="1">
      <alignment wrapText="1"/>
    </xf>
    <xf numFmtId="44" fontId="6" fillId="0" borderId="0" xfId="1" applyFont="1" applyAlignment="1">
      <alignment wrapText="1"/>
    </xf>
    <xf numFmtId="0" fontId="0" fillId="0" borderId="0" xfId="0" applyAlignment="1">
      <alignment wrapText="1"/>
    </xf>
    <xf numFmtId="0" fontId="8" fillId="3" borderId="9" xfId="0" applyFont="1" applyFill="1" applyBorder="1" applyAlignment="1">
      <alignment horizontal="center" vertical="center"/>
    </xf>
    <xf numFmtId="170" fontId="8" fillId="3" borderId="10" xfId="0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70" fontId="8" fillId="3" borderId="12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/>
    </xf>
    <xf numFmtId="17" fontId="11" fillId="3" borderId="0" xfId="0" applyNumberFormat="1" applyFont="1" applyFill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7"/>
  <sheetViews>
    <sheetView topLeftCell="A34" workbookViewId="0">
      <selection activeCell="E20" sqref="E20"/>
    </sheetView>
  </sheetViews>
  <sheetFormatPr defaultRowHeight="14.4" x14ac:dyDescent="0.3"/>
  <cols>
    <col min="1" max="1" width="66.109375" bestFit="1" customWidth="1"/>
    <col min="2" max="2" width="16.88671875" bestFit="1" customWidth="1"/>
    <col min="5" max="5" width="15.88671875" bestFit="1" customWidth="1"/>
  </cols>
  <sheetData>
    <row r="1" spans="1:5" ht="18" x14ac:dyDescent="0.35">
      <c r="A1" s="32" t="s">
        <v>47</v>
      </c>
      <c r="B1" s="32"/>
    </row>
    <row r="2" spans="1:5" x14ac:dyDescent="0.3">
      <c r="A2" s="33"/>
      <c r="B2" s="33"/>
    </row>
    <row r="3" spans="1:5" ht="15" thickBot="1" x14ac:dyDescent="0.35">
      <c r="A3" s="1" t="s">
        <v>0</v>
      </c>
    </row>
    <row r="4" spans="1:5" x14ac:dyDescent="0.3">
      <c r="A4" s="34" t="s">
        <v>1</v>
      </c>
      <c r="B4" s="35"/>
    </row>
    <row r="5" spans="1:5" x14ac:dyDescent="0.3">
      <c r="A5" s="2" t="s">
        <v>2</v>
      </c>
      <c r="B5" s="3"/>
      <c r="E5" s="23"/>
    </row>
    <row r="6" spans="1:5" x14ac:dyDescent="0.3">
      <c r="A6" s="2" t="s">
        <v>3</v>
      </c>
      <c r="B6" s="5"/>
    </row>
    <row r="7" spans="1:5" ht="15" thickBot="1" x14ac:dyDescent="0.35">
      <c r="A7" s="6" t="s">
        <v>4</v>
      </c>
      <c r="B7" s="7">
        <v>0</v>
      </c>
    </row>
    <row r="8" spans="1:5" ht="15" thickBot="1" x14ac:dyDescent="0.35">
      <c r="A8" s="8" t="s">
        <v>5</v>
      </c>
      <c r="B8" s="9">
        <f>SUM(B5:B7)</f>
        <v>0</v>
      </c>
    </row>
    <row r="9" spans="1:5" x14ac:dyDescent="0.3">
      <c r="A9" s="34" t="s">
        <v>6</v>
      </c>
      <c r="B9" s="35"/>
    </row>
    <row r="10" spans="1:5" x14ac:dyDescent="0.3">
      <c r="A10" s="2" t="s">
        <v>7</v>
      </c>
      <c r="B10" s="3">
        <v>0</v>
      </c>
    </row>
    <row r="11" spans="1:5" x14ac:dyDescent="0.3">
      <c r="A11" s="2" t="s">
        <v>8</v>
      </c>
      <c r="B11" s="3">
        <v>0</v>
      </c>
    </row>
    <row r="12" spans="1:5" x14ac:dyDescent="0.3">
      <c r="A12" s="2" t="s">
        <v>9</v>
      </c>
      <c r="B12" s="3">
        <v>0</v>
      </c>
    </row>
    <row r="13" spans="1:5" x14ac:dyDescent="0.3">
      <c r="A13" s="2" t="s">
        <v>10</v>
      </c>
      <c r="B13" s="3"/>
    </row>
    <row r="14" spans="1:5" x14ac:dyDescent="0.3">
      <c r="A14" s="2" t="s">
        <v>11</v>
      </c>
      <c r="B14" s="3">
        <v>0</v>
      </c>
    </row>
    <row r="15" spans="1:5" x14ac:dyDescent="0.3">
      <c r="A15" s="2" t="s">
        <v>12</v>
      </c>
      <c r="B15" s="3">
        <v>0</v>
      </c>
    </row>
    <row r="16" spans="1:5" x14ac:dyDescent="0.3">
      <c r="A16" s="2" t="s">
        <v>13</v>
      </c>
      <c r="B16" s="3"/>
    </row>
    <row r="17" spans="1:2" x14ac:dyDescent="0.3">
      <c r="A17" s="2" t="s">
        <v>14</v>
      </c>
      <c r="B17" s="3">
        <v>0</v>
      </c>
    </row>
    <row r="18" spans="1:2" x14ac:dyDescent="0.3">
      <c r="A18" s="2" t="s">
        <v>15</v>
      </c>
      <c r="B18" s="3">
        <v>0</v>
      </c>
    </row>
    <row r="19" spans="1:2" x14ac:dyDescent="0.3">
      <c r="A19" s="2" t="s">
        <v>16</v>
      </c>
      <c r="B19" s="3">
        <v>0</v>
      </c>
    </row>
    <row r="20" spans="1:2" x14ac:dyDescent="0.3">
      <c r="A20" s="2" t="s">
        <v>17</v>
      </c>
      <c r="B20" s="3">
        <v>0</v>
      </c>
    </row>
    <row r="21" spans="1:2" x14ac:dyDescent="0.3">
      <c r="A21" s="2" t="s">
        <v>18</v>
      </c>
      <c r="B21" s="3">
        <v>0</v>
      </c>
    </row>
    <row r="22" spans="1:2" x14ac:dyDescent="0.3">
      <c r="A22" s="2" t="s">
        <v>19</v>
      </c>
      <c r="B22" s="3"/>
    </row>
    <row r="23" spans="1:2" ht="15" thickBot="1" x14ac:dyDescent="0.35">
      <c r="A23" s="6" t="s">
        <v>20</v>
      </c>
      <c r="B23" s="10"/>
    </row>
    <row r="24" spans="1:2" ht="15" thickBot="1" x14ac:dyDescent="0.35">
      <c r="A24" s="8" t="s">
        <v>21</v>
      </c>
      <c r="B24" s="9">
        <f>SUM(B10:B23)</f>
        <v>0</v>
      </c>
    </row>
    <row r="25" spans="1:2" x14ac:dyDescent="0.3">
      <c r="A25" s="11" t="s">
        <v>42</v>
      </c>
      <c r="B25" s="12">
        <f>B8-B24</f>
        <v>0</v>
      </c>
    </row>
    <row r="26" spans="1:2" ht="15" thickBot="1" x14ac:dyDescent="0.35">
      <c r="A26" s="27" t="s">
        <v>23</v>
      </c>
      <c r="B26" s="28">
        <f>B25*1.65%</f>
        <v>0</v>
      </c>
    </row>
    <row r="27" spans="1:2" ht="15" thickBot="1" x14ac:dyDescent="0.35">
      <c r="A27" s="13" t="s">
        <v>24</v>
      </c>
    </row>
    <row r="28" spans="1:2" x14ac:dyDescent="0.3">
      <c r="A28" s="14" t="s">
        <v>25</v>
      </c>
      <c r="B28" s="15">
        <v>0</v>
      </c>
    </row>
    <row r="29" spans="1:2" x14ac:dyDescent="0.3">
      <c r="A29" s="2" t="s">
        <v>26</v>
      </c>
      <c r="B29" s="16"/>
    </row>
    <row r="30" spans="1:2" x14ac:dyDescent="0.3">
      <c r="A30" s="6" t="s">
        <v>27</v>
      </c>
      <c r="B30" s="17"/>
    </row>
    <row r="31" spans="1:2" x14ac:dyDescent="0.3">
      <c r="A31" s="6" t="s">
        <v>28</v>
      </c>
      <c r="B31" s="7"/>
    </row>
    <row r="32" spans="1:2" x14ac:dyDescent="0.3">
      <c r="A32" s="2" t="s">
        <v>29</v>
      </c>
      <c r="B32" s="16"/>
    </row>
    <row r="33" spans="1:3" x14ac:dyDescent="0.3">
      <c r="A33" s="2" t="s">
        <v>30</v>
      </c>
      <c r="B33" s="18"/>
    </row>
    <row r="34" spans="1:3" x14ac:dyDescent="0.3">
      <c r="A34" s="2" t="s">
        <v>31</v>
      </c>
      <c r="B34" s="16"/>
    </row>
    <row r="35" spans="1:3" ht="15" thickBot="1" x14ac:dyDescent="0.35">
      <c r="A35" s="2" t="s">
        <v>32</v>
      </c>
      <c r="B35" s="16"/>
    </row>
    <row r="36" spans="1:3" ht="15" thickBot="1" x14ac:dyDescent="0.35">
      <c r="A36" s="19" t="s">
        <v>22</v>
      </c>
      <c r="B36" s="9">
        <f>SUM(B28:B35)</f>
        <v>0</v>
      </c>
    </row>
    <row r="37" spans="1:3" ht="15" thickBot="1" x14ac:dyDescent="0.35">
      <c r="A37" s="29" t="s">
        <v>33</v>
      </c>
      <c r="B37" s="30">
        <f>B36*1.65%</f>
        <v>0</v>
      </c>
    </row>
    <row r="38" spans="1:3" ht="15" thickBot="1" x14ac:dyDescent="0.35">
      <c r="A38" s="13" t="s">
        <v>34</v>
      </c>
    </row>
    <row r="39" spans="1:3" ht="15" thickBot="1" x14ac:dyDescent="0.35">
      <c r="A39" s="14" t="s">
        <v>35</v>
      </c>
      <c r="B39" s="20"/>
    </row>
    <row r="40" spans="1:3" x14ac:dyDescent="0.3">
      <c r="A40" s="2" t="s">
        <v>44</v>
      </c>
      <c r="B40" s="3">
        <f xml:space="preserve"> B26</f>
        <v>0</v>
      </c>
    </row>
    <row r="41" spans="1:3" x14ac:dyDescent="0.3">
      <c r="A41" s="6" t="s">
        <v>45</v>
      </c>
      <c r="B41" s="7">
        <f>-B37</f>
        <v>0</v>
      </c>
    </row>
    <row r="42" spans="1:3" ht="15" thickBot="1" x14ac:dyDescent="0.35">
      <c r="A42" s="2" t="s">
        <v>38</v>
      </c>
      <c r="B42" s="3"/>
    </row>
    <row r="43" spans="1:3" ht="15" thickBot="1" x14ac:dyDescent="0.35">
      <c r="A43" s="8" t="s">
        <v>39</v>
      </c>
      <c r="B43" s="21"/>
    </row>
    <row r="44" spans="1:3" x14ac:dyDescent="0.3">
      <c r="A44" s="11" t="s">
        <v>40</v>
      </c>
      <c r="B44" s="12"/>
    </row>
    <row r="45" spans="1:3" ht="15" thickBot="1" x14ac:dyDescent="0.35">
      <c r="A45" s="31" t="s">
        <v>43</v>
      </c>
      <c r="B45" s="28">
        <f>B40+B39+B41</f>
        <v>0</v>
      </c>
      <c r="C45" s="22"/>
    </row>
    <row r="46" spans="1:3" x14ac:dyDescent="0.3">
      <c r="B46" s="23"/>
    </row>
    <row r="47" spans="1:3" s="26" customFormat="1" x14ac:dyDescent="0.3">
      <c r="A47" s="24"/>
      <c r="B47" s="25"/>
    </row>
  </sheetData>
  <mergeCells count="4">
    <mergeCell ref="A1:B1"/>
    <mergeCell ref="A2:B2"/>
    <mergeCell ref="A4:B4"/>
    <mergeCell ref="A9:B9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7"/>
  <sheetViews>
    <sheetView tabSelected="1" topLeftCell="A19" zoomScale="98" zoomScaleNormal="98" workbookViewId="0">
      <selection activeCell="A2" sqref="A2:B2"/>
    </sheetView>
  </sheetViews>
  <sheetFormatPr defaultRowHeight="14.4" x14ac:dyDescent="0.3"/>
  <cols>
    <col min="1" max="1" width="66.109375" bestFit="1" customWidth="1"/>
    <col min="2" max="2" width="16.88671875" bestFit="1" customWidth="1"/>
    <col min="5" max="5" width="15.88671875" bestFit="1" customWidth="1"/>
  </cols>
  <sheetData>
    <row r="1" spans="1:5" ht="18" x14ac:dyDescent="0.35">
      <c r="A1" s="32" t="s">
        <v>46</v>
      </c>
      <c r="B1" s="32"/>
    </row>
    <row r="2" spans="1:5" x14ac:dyDescent="0.3">
      <c r="A2" s="33"/>
      <c r="B2" s="33"/>
    </row>
    <row r="3" spans="1:5" ht="15" thickBot="1" x14ac:dyDescent="0.35">
      <c r="A3" s="1" t="s">
        <v>0</v>
      </c>
    </row>
    <row r="4" spans="1:5" x14ac:dyDescent="0.3">
      <c r="A4" s="34" t="s">
        <v>1</v>
      </c>
      <c r="B4" s="35"/>
    </row>
    <row r="5" spans="1:5" x14ac:dyDescent="0.3">
      <c r="A5" s="2" t="s">
        <v>2</v>
      </c>
      <c r="B5" s="3"/>
      <c r="E5" s="4"/>
    </row>
    <row r="6" spans="1:5" x14ac:dyDescent="0.3">
      <c r="A6" s="2" t="s">
        <v>3</v>
      </c>
      <c r="B6" s="5"/>
    </row>
    <row r="7" spans="1:5" ht="15" thickBot="1" x14ac:dyDescent="0.35">
      <c r="A7" s="6" t="s">
        <v>4</v>
      </c>
      <c r="B7" s="7">
        <v>0</v>
      </c>
    </row>
    <row r="8" spans="1:5" ht="15" thickBot="1" x14ac:dyDescent="0.35">
      <c r="A8" s="8" t="s">
        <v>5</v>
      </c>
      <c r="B8" s="9">
        <f>SUM(B5:B7)</f>
        <v>0</v>
      </c>
    </row>
    <row r="9" spans="1:5" x14ac:dyDescent="0.3">
      <c r="A9" s="34" t="s">
        <v>6</v>
      </c>
      <c r="B9" s="35"/>
    </row>
    <row r="10" spans="1:5" x14ac:dyDescent="0.3">
      <c r="A10" s="2" t="s">
        <v>7</v>
      </c>
      <c r="B10" s="3">
        <v>0</v>
      </c>
    </row>
    <row r="11" spans="1:5" x14ac:dyDescent="0.3">
      <c r="A11" s="2" t="s">
        <v>8</v>
      </c>
      <c r="B11" s="3">
        <v>0</v>
      </c>
    </row>
    <row r="12" spans="1:5" x14ac:dyDescent="0.3">
      <c r="A12" s="2" t="s">
        <v>9</v>
      </c>
      <c r="B12" s="3">
        <v>0</v>
      </c>
    </row>
    <row r="13" spans="1:5" x14ac:dyDescent="0.3">
      <c r="A13" s="2" t="s">
        <v>10</v>
      </c>
      <c r="B13" s="3"/>
    </row>
    <row r="14" spans="1:5" x14ac:dyDescent="0.3">
      <c r="A14" s="2" t="s">
        <v>11</v>
      </c>
      <c r="B14" s="3">
        <v>0</v>
      </c>
    </row>
    <row r="15" spans="1:5" x14ac:dyDescent="0.3">
      <c r="A15" s="2" t="s">
        <v>12</v>
      </c>
      <c r="B15" s="3">
        <v>0</v>
      </c>
    </row>
    <row r="16" spans="1:5" x14ac:dyDescent="0.3">
      <c r="A16" s="2" t="s">
        <v>13</v>
      </c>
      <c r="B16" s="3">
        <v>0</v>
      </c>
    </row>
    <row r="17" spans="1:2" x14ac:dyDescent="0.3">
      <c r="A17" s="2" t="s">
        <v>14</v>
      </c>
      <c r="B17" s="3">
        <v>0</v>
      </c>
    </row>
    <row r="18" spans="1:2" x14ac:dyDescent="0.3">
      <c r="A18" s="2" t="s">
        <v>15</v>
      </c>
      <c r="B18" s="3">
        <v>0</v>
      </c>
    </row>
    <row r="19" spans="1:2" x14ac:dyDescent="0.3">
      <c r="A19" s="2" t="s">
        <v>16</v>
      </c>
      <c r="B19" s="3">
        <v>0</v>
      </c>
    </row>
    <row r="20" spans="1:2" x14ac:dyDescent="0.3">
      <c r="A20" s="2" t="s">
        <v>17</v>
      </c>
      <c r="B20" s="3">
        <v>0</v>
      </c>
    </row>
    <row r="21" spans="1:2" x14ac:dyDescent="0.3">
      <c r="A21" s="2" t="s">
        <v>18</v>
      </c>
      <c r="B21" s="3">
        <v>0</v>
      </c>
    </row>
    <row r="22" spans="1:2" x14ac:dyDescent="0.3">
      <c r="A22" s="2" t="s">
        <v>19</v>
      </c>
      <c r="B22" s="3"/>
    </row>
    <row r="23" spans="1:2" ht="15" thickBot="1" x14ac:dyDescent="0.35">
      <c r="A23" s="6" t="s">
        <v>20</v>
      </c>
      <c r="B23" s="10"/>
    </row>
    <row r="24" spans="1:2" ht="15" thickBot="1" x14ac:dyDescent="0.35">
      <c r="A24" s="8" t="s">
        <v>21</v>
      </c>
      <c r="B24" s="9">
        <f>SUM(B10:B23)</f>
        <v>0</v>
      </c>
    </row>
    <row r="25" spans="1:2" x14ac:dyDescent="0.3">
      <c r="A25" s="11" t="s">
        <v>22</v>
      </c>
      <c r="B25" s="12">
        <f>B8-B24</f>
        <v>0</v>
      </c>
    </row>
    <row r="26" spans="1:2" ht="15" thickBot="1" x14ac:dyDescent="0.35">
      <c r="A26" s="27" t="s">
        <v>23</v>
      </c>
      <c r="B26" s="28">
        <f>B25*7.6%</f>
        <v>0</v>
      </c>
    </row>
    <row r="27" spans="1:2" ht="15" thickBot="1" x14ac:dyDescent="0.35">
      <c r="A27" s="13" t="s">
        <v>24</v>
      </c>
    </row>
    <row r="28" spans="1:2" x14ac:dyDescent="0.3">
      <c r="A28" s="14" t="s">
        <v>25</v>
      </c>
      <c r="B28" s="15">
        <v>0</v>
      </c>
    </row>
    <row r="29" spans="1:2" x14ac:dyDescent="0.3">
      <c r="A29" s="2" t="s">
        <v>26</v>
      </c>
      <c r="B29" s="16"/>
    </row>
    <row r="30" spans="1:2" x14ac:dyDescent="0.3">
      <c r="A30" s="6" t="s">
        <v>27</v>
      </c>
      <c r="B30" s="17"/>
    </row>
    <row r="31" spans="1:2" x14ac:dyDescent="0.3">
      <c r="A31" s="6" t="s">
        <v>28</v>
      </c>
      <c r="B31" s="7"/>
    </row>
    <row r="32" spans="1:2" x14ac:dyDescent="0.3">
      <c r="A32" s="2" t="s">
        <v>29</v>
      </c>
      <c r="B32" s="16"/>
    </row>
    <row r="33" spans="1:3" x14ac:dyDescent="0.3">
      <c r="A33" s="2" t="s">
        <v>30</v>
      </c>
      <c r="B33" s="18"/>
    </row>
    <row r="34" spans="1:3" x14ac:dyDescent="0.3">
      <c r="A34" s="2" t="s">
        <v>31</v>
      </c>
      <c r="B34" s="16"/>
    </row>
    <row r="35" spans="1:3" ht="15" thickBot="1" x14ac:dyDescent="0.35">
      <c r="A35" s="2" t="s">
        <v>32</v>
      </c>
      <c r="B35" s="16"/>
    </row>
    <row r="36" spans="1:3" ht="15" thickBot="1" x14ac:dyDescent="0.35">
      <c r="A36" s="19" t="s">
        <v>22</v>
      </c>
      <c r="B36" s="9">
        <f>SUM(B28:B35)</f>
        <v>0</v>
      </c>
    </row>
    <row r="37" spans="1:3" ht="15" thickBot="1" x14ac:dyDescent="0.35">
      <c r="A37" s="29" t="s">
        <v>33</v>
      </c>
      <c r="B37" s="30">
        <f>B36*7.6%</f>
        <v>0</v>
      </c>
    </row>
    <row r="38" spans="1:3" ht="15" thickBot="1" x14ac:dyDescent="0.35">
      <c r="A38" s="13" t="s">
        <v>34</v>
      </c>
    </row>
    <row r="39" spans="1:3" ht="15" thickBot="1" x14ac:dyDescent="0.35">
      <c r="A39" s="14" t="s">
        <v>35</v>
      </c>
      <c r="B39" s="20"/>
    </row>
    <row r="40" spans="1:3" x14ac:dyDescent="0.3">
      <c r="A40" s="2" t="s">
        <v>36</v>
      </c>
      <c r="B40" s="3">
        <f xml:space="preserve"> B26</f>
        <v>0</v>
      </c>
    </row>
    <row r="41" spans="1:3" x14ac:dyDescent="0.3">
      <c r="A41" s="6" t="s">
        <v>37</v>
      </c>
      <c r="B41" s="7">
        <f>-B37</f>
        <v>0</v>
      </c>
    </row>
    <row r="42" spans="1:3" ht="15" thickBot="1" x14ac:dyDescent="0.35">
      <c r="A42" s="2" t="s">
        <v>38</v>
      </c>
      <c r="B42" s="3"/>
    </row>
    <row r="43" spans="1:3" ht="15" thickBot="1" x14ac:dyDescent="0.35">
      <c r="A43" s="8" t="s">
        <v>39</v>
      </c>
      <c r="B43" s="21"/>
    </row>
    <row r="44" spans="1:3" x14ac:dyDescent="0.3">
      <c r="A44" s="11" t="s">
        <v>40</v>
      </c>
      <c r="B44" s="12"/>
    </row>
    <row r="45" spans="1:3" ht="15" thickBot="1" x14ac:dyDescent="0.35">
      <c r="A45" s="31" t="s">
        <v>41</v>
      </c>
      <c r="B45" s="28">
        <f>B40+B39+B41</f>
        <v>0</v>
      </c>
      <c r="C45" s="22"/>
    </row>
    <row r="46" spans="1:3" x14ac:dyDescent="0.3">
      <c r="B46" s="23"/>
    </row>
    <row r="47" spans="1:3" s="26" customFormat="1" x14ac:dyDescent="0.3">
      <c r="A47" s="24"/>
      <c r="B47" s="25"/>
    </row>
  </sheetData>
  <mergeCells count="4">
    <mergeCell ref="A1:B1"/>
    <mergeCell ref="A2:B2"/>
    <mergeCell ref="A4:B4"/>
    <mergeCell ref="A9:B9"/>
  </mergeCells>
  <pageMargins left="0.51181102362204722" right="0.51181102362204722" top="0.39370078740157483" bottom="0.19685039370078741" header="0.11811023622047245" footer="0.11811023622047245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PIS</vt:lpstr>
      <vt:lpstr>COFINS</vt:lpstr>
      <vt:lpstr>COFINS!Area_de_impressao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contab1</dc:creator>
  <cp:lastModifiedBy>milgoncalves120122</cp:lastModifiedBy>
  <dcterms:created xsi:type="dcterms:W3CDTF">2010-02-24T19:49:05Z</dcterms:created>
  <dcterms:modified xsi:type="dcterms:W3CDTF">2022-01-18T17:05:24Z</dcterms:modified>
</cp:coreProperties>
</file>