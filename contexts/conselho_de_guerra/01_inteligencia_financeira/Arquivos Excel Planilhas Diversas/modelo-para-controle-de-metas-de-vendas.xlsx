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3"/>
    <sheet state="visible" name="Principal" sheetId="2" r:id="rId4"/>
    <sheet state="visible" name="Análise" sheetId="3" r:id="rId5"/>
    <sheet state="visible" name="Próximos Passos" sheetId="4" r:id="rId6"/>
  </sheets>
  <definedNames/>
  <calcPr/>
</workbook>
</file>

<file path=xl/sharedStrings.xml><?xml version="1.0" encoding="utf-8"?>
<sst xmlns="http://schemas.openxmlformats.org/spreadsheetml/2006/main" count="43" uniqueCount="37">
  <si>
    <t>Controle de Metas de Vendas Diário</t>
  </si>
  <si>
    <t>Como o Controle de Metas de Vendas pode ajudar minha empresa?</t>
  </si>
  <si>
    <r>
      <t xml:space="preserve">Toda empresa tem uma coisa em comum: precisa vender!
Esta planilha auxília a ter um controle diário das vendas por vendedor, entendendo o percentual de atingimento das metas, o forecast de vendas e a taxa conversão do seu vendedor.
Acompanhar diariamente as vendas aliado à um </t>
    </r>
    <r>
      <rPr>
        <b/>
      </rPr>
      <t>Orçamento de Vendas</t>
    </r>
    <r>
      <t xml:space="preserve"> bem estruturado trará muita segurança e </t>
    </r>
    <r>
      <rPr>
        <b/>
      </rPr>
      <t>previsibildiade de resultado</t>
    </r>
    <r>
      <t xml:space="preserve"> para sua empresa.
Para entender mais sobre o assunto, acesse nosso </t>
    </r>
    <r>
      <rPr>
        <b/>
      </rPr>
      <t>Guia Completo do Orçamento de Vendas</t>
    </r>
    <r>
      <t>: https://www.treasy.com.br/blog/como-elaborar-orcamento-de-vendas/</t>
    </r>
  </si>
  <si>
    <t>Mês / Ano</t>
  </si>
  <si>
    <t>Instruções de Uso</t>
  </si>
  <si>
    <r>
      <rPr>
        <b/>
      </rPr>
      <t>Importante:</t>
    </r>
    <r>
      <t xml:space="preserve"> você precisa alterar apenas as células em branco. As </t>
    </r>
    <r>
      <rPr>
        <b/>
      </rPr>
      <t>células em cinza são calculadas automaticamente.</t>
    </r>
  </si>
  <si>
    <t>Parâmetros Iniciais</t>
  </si>
  <si>
    <t>Meta Mensal</t>
  </si>
  <si>
    <t>No cabeçalho da aba "Principal" você informa o mês que deseja acompanhar as vendas, a meta mensal de vendas e o nome do vendedor que será acompanhado.</t>
  </si>
  <si>
    <t>Controle de Vendas</t>
  </si>
  <si>
    <t>No campo das Vendas você deve preencher a coluna "Realizado" diariamente com valor total das vendas realizadas. A coluna "Planejado" é calculada automáticamente com base na sua meta de vendas mensal. A "Diferença" representa o diferença entre as vendas Planejadas e Realizadas.</t>
  </si>
  <si>
    <t>Visão Acumulada</t>
  </si>
  <si>
    <t>A Visão Acumulada é calculada automáticamente com base na soma dos meses anteriores Realizados e Planejados conforme sua meta mensal.</t>
  </si>
  <si>
    <t>Vendedor</t>
  </si>
  <si>
    <t>Forecast e Tendências</t>
  </si>
  <si>
    <t>O Forecast calcula automaticamente quanto o vendedor deve vender nos próximos meses com base nos resultados passados e a meta do mês. A Tendência informa como será sua venda no final do mês de acordo com as vendas realizadas e as metas estalecidas para os dias seguintes.</t>
  </si>
  <si>
    <t>Fulano</t>
  </si>
  <si>
    <t>Taxa de Conversão</t>
  </si>
  <si>
    <t>A Taxa de Conversão é uma métrica importantíssima para entender a eficiência do vendedor, ou seja, quantos clientes ele precisa abordar para fechar uma venda, percentualmente. Esta métrica pode ser utilizada para comparar o desempenho de vendedores e identificar a necessidade de treinamento, melhoria no pitch etc.
Você deve preencher a coluna "Clientes Abordados" com o número de clientes abordados pelo vendedor e as "Vendas Fechadas" por ele no dia. A Taxa de conversão será calculada automaticamente.</t>
  </si>
  <si>
    <t>Treasy | Planejamento e Controladoria</t>
  </si>
  <si>
    <t>Data</t>
  </si>
  <si>
    <t>Vendas</t>
  </si>
  <si>
    <t>Acumulado</t>
  </si>
  <si>
    <t>Forecast</t>
  </si>
  <si>
    <t>Tendência</t>
  </si>
  <si>
    <t>Clientes Abordados</t>
  </si>
  <si>
    <t>Vendas Fechadas</t>
  </si>
  <si>
    <t>Realizado</t>
  </si>
  <si>
    <t>Planejado</t>
  </si>
  <si>
    <t>Diferença</t>
  </si>
  <si>
    <t>Próximos Passos...</t>
  </si>
  <si>
    <t>E agora?</t>
  </si>
  <si>
    <t xml:space="preserve">Conheça a Metodologia Treasy de Planejamento e Acompanhamento de Resultados                                            </t>
  </si>
  <si>
    <t>Cálculo de Preço de Venda é apenas uma das práticas abordadas na Metodologia Treasy. Com ela já auxiliamos centenas de empresas a trabalharem com Previsibilidade de Resultados em 5 passos:</t>
  </si>
  <si>
    <t>Total</t>
  </si>
  <si>
    <t>Venda Real</t>
  </si>
  <si>
    <t>Venda Projetada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</si>
</sst>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/yy"/>
    <numFmt numFmtId="165" formatCode="[$R$]#,##0.00"/>
    <numFmt numFmtId="166" formatCode="dd\ \-\ [$-416]ddd"/>
  </numFmts>
  <fonts count="22">
    <font>
      <sz val="11.0"/>
      <color rgb="FF000000"/>
      <name val="Calibri"/>
    </font>
    <font>
      <sz val="11.0"/>
      <name val="Calibri"/>
    </font>
    <font>
      <b/>
      <sz val="24.0"/>
      <color rgb="FF2CA79B"/>
      <name val="Montserrat"/>
    </font>
    <font>
      <b/>
      <sz val="18.0"/>
      <color rgb="FF2CA79B"/>
      <name val="Montserrat"/>
    </font>
    <font/>
    <font>
      <b/>
      <sz val="14.0"/>
      <color rgb="FFFFFFFF"/>
      <name val="Montserrat"/>
    </font>
    <font>
      <sz val="10.0"/>
      <color rgb="FF000000"/>
      <name val="Roboto"/>
    </font>
    <font>
      <b/>
      <sz val="13.0"/>
      <color rgb="FFFFFFFF"/>
      <name val="Calibri"/>
    </font>
    <font>
      <b/>
      <sz val="12.0"/>
      <name val="Calibri"/>
    </font>
    <font>
      <b/>
      <sz val="10.0"/>
      <color rgb="FF000000"/>
      <name val="Roboto"/>
    </font>
    <font>
      <b/>
      <sz val="12.0"/>
      <color rgb="FF000000"/>
      <name val="Calibri"/>
    </font>
    <font>
      <sz val="12.0"/>
      <color rgb="FF000000"/>
      <name val="Calibri"/>
    </font>
    <font>
      <u/>
      <sz val="10.0"/>
      <color rgb="FF000000"/>
      <name val="Roboto"/>
    </font>
    <font>
      <b/>
      <sz val="11.0"/>
      <color rgb="FFFFFFFF"/>
      <name val="Calibri"/>
    </font>
    <font>
      <u/>
      <sz val="11.0"/>
      <color rgb="FF000000"/>
      <name val="Roboto"/>
    </font>
    <font>
      <sz val="11.0"/>
      <color rgb="FF000000"/>
      <name val="Roboto"/>
    </font>
    <font>
      <b/>
      <sz val="14.0"/>
      <color rgb="FF434343"/>
      <name val="Roboto"/>
    </font>
    <font>
      <u/>
      <sz val="11.0"/>
      <color rgb="FF1155CC"/>
      <name val="Roboto"/>
    </font>
    <font>
      <sz val="12.0"/>
      <name val="Calibri"/>
    </font>
    <font>
      <b/>
      <u/>
      <sz val="14.0"/>
      <color rgb="FFFFFFFF"/>
      <name val="Montserrat"/>
    </font>
    <font>
      <sz val="13.0"/>
      <color rgb="FF000000"/>
      <name val="Calibri"/>
    </font>
    <font>
      <b/>
      <sz val="13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A79B"/>
        <bgColor rgb="FF2CA79B"/>
      </patternFill>
    </fill>
    <fill>
      <patternFill patternType="solid">
        <fgColor rgb="FFF3F3F3"/>
        <bgColor rgb="FFF3F3F3"/>
      </patternFill>
    </fill>
    <fill>
      <patternFill patternType="solid">
        <fgColor rgb="FF57BB8A"/>
        <bgColor rgb="FF57BB8A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E36C09"/>
        <bgColor rgb="FFE36C09"/>
      </patternFill>
    </fill>
  </fills>
  <borders count="5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FFFFFF"/>
      </right>
      <bottom style="medium">
        <color rgb="FFFFFFFF"/>
      </bottom>
    </border>
    <border>
      <left style="thin">
        <color rgb="FF000000"/>
      </left>
      <right style="thin">
        <color rgb="FF000000"/>
      </right>
    </border>
    <border>
      <left style="medium">
        <color rgb="FFFFFFFF"/>
      </left>
      <bottom style="medium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0" numFmtId="0" xfId="0" applyBorder="1" applyFont="1"/>
    <xf borderId="0" fillId="0" fontId="1" numFmtId="0" xfId="0" applyAlignment="1" applyFont="1">
      <alignment vertical="center"/>
    </xf>
    <xf borderId="2" fillId="0" fontId="0" numFmtId="0" xfId="0" applyBorder="1" applyFont="1"/>
    <xf borderId="0" fillId="0" fontId="2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3" fillId="0" fontId="4" numFmtId="0" xfId="0" applyBorder="1" applyFont="1"/>
    <xf borderId="0" fillId="2" fontId="1" numFmtId="0" xfId="0" applyAlignment="1" applyFont="1">
      <alignment vertical="center"/>
    </xf>
    <xf borderId="4" fillId="0" fontId="0" numFmtId="0" xfId="0" applyBorder="1" applyFont="1"/>
    <xf borderId="5" fillId="3" fontId="5" numFmtId="0" xfId="0" applyAlignment="1" applyBorder="1" applyFill="1" applyFont="1">
      <alignment horizontal="center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0" numFmtId="0" xfId="0" applyFont="1"/>
    <xf borderId="8" fillId="2" fontId="6" numFmtId="0" xfId="0" applyAlignment="1" applyBorder="1" applyFont="1">
      <alignment readingOrder="0" shrinkToFit="0" vertical="center" wrapText="1"/>
    </xf>
    <xf borderId="9" fillId="0" fontId="0" numFmtId="0" xfId="0" applyBorder="1" applyFont="1"/>
    <xf borderId="10" fillId="0" fontId="4" numFmtId="0" xfId="0" applyBorder="1" applyFont="1"/>
    <xf borderId="11" fillId="0" fontId="0" numFmtId="0" xfId="0" applyBorder="1" applyFont="1"/>
    <xf borderId="12" fillId="0" fontId="4" numFmtId="0" xfId="0" applyBorder="1" applyFont="1"/>
    <xf borderId="0" fillId="2" fontId="6" numFmtId="0" xfId="0" applyAlignment="1" applyFont="1">
      <alignment shrinkToFit="0" vertical="center" wrapText="1"/>
    </xf>
    <xf borderId="13" fillId="3" fontId="7" numFmtId="0" xfId="0" applyAlignment="1" applyBorder="1" applyFont="1">
      <alignment horizontal="center" vertical="center"/>
    </xf>
    <xf borderId="10" fillId="2" fontId="6" numFmtId="0" xfId="0" applyAlignment="1" applyBorder="1" applyFont="1">
      <alignment readingOrder="0" shrinkToFit="0" vertical="center" wrapText="1"/>
    </xf>
    <xf borderId="14" fillId="4" fontId="8" numFmtId="164" xfId="0" applyAlignment="1" applyBorder="1" applyFill="1" applyFont="1" applyNumberFormat="1">
      <alignment horizontal="center" readingOrder="0" vertical="center"/>
    </xf>
    <xf borderId="10" fillId="2" fontId="9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0" fillId="2" fontId="6" numFmtId="0" xfId="0" applyAlignment="1" applyBorder="1" applyFont="1">
      <alignment horizontal="left" readingOrder="0" shrinkToFit="0" vertical="center" wrapText="1"/>
    </xf>
    <xf borderId="14" fillId="3" fontId="7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readingOrder="0" shrinkToFit="0" vertical="center" wrapText="1"/>
    </xf>
    <xf borderId="16" fillId="0" fontId="4" numFmtId="0" xfId="0" applyBorder="1" applyFont="1"/>
    <xf borderId="14" fillId="4" fontId="10" numFmtId="165" xfId="0" applyAlignment="1" applyBorder="1" applyFont="1" applyNumberFormat="1">
      <alignment horizontal="center" readingOrder="0"/>
    </xf>
    <xf borderId="16" fillId="4" fontId="11" numFmtId="0" xfId="0" applyAlignment="1" applyBorder="1" applyFont="1">
      <alignment horizontal="left" readingOrder="0" vertical="center"/>
    </xf>
    <xf borderId="17" fillId="0" fontId="0" numFmtId="0" xfId="0" applyBorder="1" applyFont="1"/>
    <xf borderId="12" fillId="2" fontId="6" numFmtId="0" xfId="0" applyAlignment="1" applyBorder="1" applyFont="1">
      <alignment horizontal="center" readingOrder="0" shrinkToFit="0" vertical="center" wrapText="1"/>
    </xf>
    <xf borderId="18" fillId="0" fontId="0" numFmtId="0" xfId="0" applyBorder="1" applyFont="1"/>
    <xf borderId="0" fillId="2" fontId="12" numFmtId="0" xfId="0" applyAlignment="1" applyFont="1">
      <alignment shrinkToFit="0" vertical="center" wrapText="1"/>
    </xf>
    <xf borderId="19" fillId="0" fontId="0" numFmtId="0" xfId="0" applyBorder="1" applyFont="1"/>
    <xf borderId="20" fillId="0" fontId="0" numFmtId="0" xfId="0" applyBorder="1" applyFont="1"/>
    <xf borderId="21" fillId="0" fontId="0" numFmtId="0" xfId="0" applyBorder="1" applyFont="1"/>
    <xf borderId="22" fillId="0" fontId="0" numFmtId="0" xfId="0" applyBorder="1" applyFont="1"/>
    <xf borderId="23" fillId="0" fontId="0" numFmtId="0" xfId="0" applyBorder="1" applyFont="1"/>
    <xf borderId="24" fillId="3" fontId="13" numFmtId="0" xfId="0" applyAlignment="1" applyBorder="1" applyFont="1">
      <alignment horizontal="center" vertical="center"/>
    </xf>
    <xf borderId="25" fillId="0" fontId="0" numFmtId="0" xfId="0" applyBorder="1" applyFont="1"/>
    <xf borderId="26" fillId="3" fontId="13" numFmtId="0" xfId="0" applyAlignment="1" applyBorder="1" applyFont="1">
      <alignment horizontal="center" readingOrder="0"/>
    </xf>
    <xf borderId="27" fillId="0" fontId="4" numFmtId="0" xfId="0" applyBorder="1" applyFont="1"/>
    <xf borderId="28" fillId="0" fontId="4" numFmtId="0" xfId="0" applyBorder="1" applyFont="1"/>
    <xf borderId="26" fillId="5" fontId="13" numFmtId="0" xfId="0" applyAlignment="1" applyBorder="1" applyFill="1" applyFont="1">
      <alignment horizontal="center"/>
    </xf>
    <xf borderId="29" fillId="6" fontId="13" numFmtId="0" xfId="0" applyAlignment="1" applyBorder="1" applyFill="1" applyFont="1">
      <alignment horizontal="center" readingOrder="0" shrinkToFit="0" vertical="center" wrapText="1"/>
    </xf>
    <xf borderId="30" fillId="6" fontId="13" numFmtId="0" xfId="0" applyAlignment="1" applyBorder="1" applyFont="1">
      <alignment horizontal="center" vertical="center"/>
    </xf>
    <xf borderId="29" fillId="7" fontId="13" numFmtId="0" xfId="0" applyAlignment="1" applyBorder="1" applyFill="1" applyFont="1">
      <alignment horizontal="center" shrinkToFit="0" vertical="center" wrapText="1"/>
    </xf>
    <xf borderId="31" fillId="7" fontId="13" numFmtId="0" xfId="0" applyAlignment="1" applyBorder="1" applyFont="1">
      <alignment horizontal="center" shrinkToFit="0" wrapText="1"/>
    </xf>
    <xf borderId="30" fillId="7" fontId="13" numFmtId="0" xfId="0" applyAlignment="1" applyBorder="1" applyFont="1">
      <alignment horizontal="center" shrinkToFit="0" vertical="center" wrapText="1"/>
    </xf>
    <xf borderId="32" fillId="0" fontId="4" numFmtId="0" xfId="0" applyBorder="1" applyFont="1"/>
    <xf borderId="33" fillId="3" fontId="13" numFmtId="2" xfId="0" applyAlignment="1" applyBorder="1" applyFont="1" applyNumberFormat="1">
      <alignment horizontal="center" readingOrder="0"/>
    </xf>
    <xf borderId="5" fillId="3" fontId="13" numFmtId="2" xfId="0" applyAlignment="1" applyBorder="1" applyFont="1" applyNumberFormat="1">
      <alignment horizontal="center" readingOrder="0"/>
    </xf>
    <xf borderId="34" fillId="3" fontId="13" numFmtId="2" xfId="0" applyAlignment="1" applyBorder="1" applyFont="1" applyNumberFormat="1">
      <alignment horizontal="center"/>
    </xf>
    <xf borderId="33" fillId="5" fontId="13" numFmtId="0" xfId="0" applyAlignment="1" applyBorder="1" applyFont="1">
      <alignment horizontal="center" readingOrder="0"/>
    </xf>
    <xf borderId="34" fillId="5" fontId="13" numFmtId="0" xfId="0" applyAlignment="1" applyBorder="1" applyFont="1">
      <alignment horizontal="center" readingOrder="0"/>
    </xf>
    <xf borderId="35" fillId="0" fontId="4" numFmtId="0" xfId="0" applyBorder="1" applyFont="1"/>
    <xf borderId="36" fillId="0" fontId="4" numFmtId="0" xfId="0" applyBorder="1" applyFont="1"/>
    <xf borderId="37" fillId="4" fontId="0" numFmtId="166" xfId="0" applyAlignment="1" applyBorder="1" applyFont="1" applyNumberFormat="1">
      <alignment horizontal="left"/>
    </xf>
    <xf borderId="33" fillId="0" fontId="0" numFmtId="165" xfId="0" applyAlignment="1" applyBorder="1" applyFont="1" applyNumberFormat="1">
      <alignment readingOrder="0"/>
    </xf>
    <xf borderId="10" fillId="2" fontId="14" numFmtId="0" xfId="0" applyAlignment="1" applyBorder="1" applyFont="1">
      <alignment readingOrder="0" shrinkToFit="0" vertical="center" wrapText="1"/>
    </xf>
    <xf borderId="10" fillId="2" fontId="15" numFmtId="0" xfId="0" applyAlignment="1" applyBorder="1" applyFont="1">
      <alignment readingOrder="0" shrinkToFit="0" vertical="center" wrapText="1"/>
    </xf>
    <xf borderId="5" fillId="4" fontId="0" numFmtId="165" xfId="0" applyBorder="1" applyFont="1" applyNumberFormat="1"/>
    <xf borderId="34" fillId="4" fontId="0" numFmtId="165" xfId="0" applyBorder="1" applyFont="1" applyNumberFormat="1"/>
    <xf borderId="12" fillId="2" fontId="15" numFmtId="0" xfId="0" applyAlignment="1" applyBorder="1" applyFont="1">
      <alignment readingOrder="0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33" fillId="4" fontId="0" numFmtId="165" xfId="0" applyBorder="1" applyFont="1" applyNumberFormat="1"/>
    <xf borderId="8" fillId="0" fontId="16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vertical="bottom"/>
    </xf>
    <xf borderId="33" fillId="0" fontId="0" numFmtId="0" xfId="0" applyAlignment="1" applyBorder="1" applyFont="1">
      <alignment readingOrder="0"/>
    </xf>
    <xf borderId="10" fillId="0" fontId="17" numFmtId="0" xfId="0" applyAlignment="1" applyBorder="1" applyFont="1">
      <alignment horizontal="center" vertical="bottom"/>
    </xf>
    <xf borderId="5" fillId="0" fontId="0" numFmtId="0" xfId="0" applyBorder="1" applyFont="1"/>
    <xf borderId="34" fillId="4" fontId="0" numFmtId="10" xfId="0" applyBorder="1" applyFont="1" applyNumberFormat="1"/>
    <xf borderId="12" fillId="0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5" fillId="3" fontId="19" numFmtId="0" xfId="0" applyAlignment="1" applyBorder="1" applyFont="1">
      <alignment horizontal="center" shrinkToFit="0" vertical="center" wrapText="1"/>
    </xf>
    <xf borderId="5" fillId="0" fontId="0" numFmtId="0" xfId="0" applyAlignment="1" applyBorder="1" applyFont="1">
      <alignment readingOrder="0"/>
    </xf>
    <xf borderId="33" fillId="0" fontId="0" numFmtId="165" xfId="0" applyBorder="1" applyFont="1" applyNumberFormat="1"/>
    <xf borderId="33" fillId="0" fontId="0" numFmtId="0" xfId="0" applyBorder="1" applyFont="1"/>
    <xf borderId="38" fillId="4" fontId="0" numFmtId="166" xfId="0" applyAlignment="1" applyBorder="1" applyFont="1" applyNumberFormat="1">
      <alignment horizontal="left"/>
    </xf>
    <xf borderId="39" fillId="0" fontId="0" numFmtId="165" xfId="0" applyBorder="1" applyFont="1" applyNumberFormat="1"/>
    <xf borderId="40" fillId="4" fontId="0" numFmtId="165" xfId="0" applyBorder="1" applyFont="1" applyNumberFormat="1"/>
    <xf borderId="41" fillId="4" fontId="0" numFmtId="165" xfId="0" applyBorder="1" applyFont="1" applyNumberFormat="1"/>
    <xf borderId="39" fillId="4" fontId="0" numFmtId="165" xfId="0" applyBorder="1" applyFont="1" applyNumberFormat="1"/>
    <xf borderId="39" fillId="0" fontId="0" numFmtId="0" xfId="0" applyBorder="1" applyFont="1"/>
    <xf borderId="40" fillId="0" fontId="0" numFmtId="0" xfId="0" applyBorder="1" applyFont="1"/>
    <xf borderId="41" fillId="4" fontId="0" numFmtId="10" xfId="0" applyBorder="1" applyFont="1" applyNumberFormat="1"/>
    <xf borderId="4" fillId="0" fontId="20" numFmtId="0" xfId="0" applyAlignment="1" applyBorder="1" applyFont="1">
      <alignment vertical="center"/>
    </xf>
    <xf borderId="13" fillId="8" fontId="21" numFmtId="166" xfId="0" applyAlignment="1" applyBorder="1" applyFill="1" applyFont="1" applyNumberFormat="1">
      <alignment horizontal="left" vertical="center"/>
    </xf>
    <xf borderId="25" fillId="0" fontId="20" numFmtId="0" xfId="0" applyAlignment="1" applyBorder="1" applyFont="1">
      <alignment vertical="center"/>
    </xf>
    <xf borderId="42" fillId="8" fontId="21" numFmtId="165" xfId="0" applyAlignment="1" applyBorder="1" applyFont="1" applyNumberFormat="1">
      <alignment vertical="center"/>
    </xf>
    <xf borderId="43" fillId="8" fontId="21" numFmtId="165" xfId="0" applyAlignment="1" applyBorder="1" applyFont="1" applyNumberFormat="1">
      <alignment vertical="center"/>
    </xf>
    <xf borderId="44" fillId="2" fontId="20" numFmtId="165" xfId="0" applyAlignment="1" applyBorder="1" applyFont="1" applyNumberFormat="1">
      <alignment vertical="center"/>
    </xf>
    <xf borderId="45" fillId="0" fontId="20" numFmtId="0" xfId="0" applyAlignment="1" applyBorder="1" applyFont="1">
      <alignment vertical="center"/>
    </xf>
    <xf borderId="46" fillId="0" fontId="20" numFmtId="0" xfId="0" applyAlignment="1" applyBorder="1" applyFont="1">
      <alignment vertical="center"/>
    </xf>
    <xf borderId="47" fillId="0" fontId="20" numFmtId="0" xfId="0" applyAlignment="1" applyBorder="1" applyFont="1">
      <alignment vertical="center"/>
    </xf>
    <xf borderId="48" fillId="0" fontId="20" numFmtId="0" xfId="0" applyAlignment="1" applyBorder="1" applyFont="1">
      <alignment vertical="center"/>
    </xf>
    <xf borderId="42" fillId="8" fontId="21" numFmtId="0" xfId="0" applyAlignment="1" applyBorder="1" applyFont="1">
      <alignment vertical="center"/>
    </xf>
    <xf borderId="44" fillId="8" fontId="21" numFmtId="0" xfId="0" applyAlignment="1" applyBorder="1" applyFont="1">
      <alignment vertical="center"/>
    </xf>
    <xf borderId="44" fillId="8" fontId="21" numFmtId="10" xfId="0" applyAlignment="1" applyBorder="1" applyFont="1" applyNumberFormat="1">
      <alignment vertical="center"/>
    </xf>
    <xf borderId="49" fillId="0" fontId="20" numFmtId="0" xfId="0" applyAlignment="1" applyBorder="1" applyFont="1">
      <alignment vertical="center"/>
    </xf>
    <xf borderId="20" fillId="0" fontId="0" numFmtId="166" xfId="0" applyAlignment="1" applyBorder="1" applyFont="1" applyNumberFormat="1">
      <alignment horizontal="left"/>
    </xf>
    <xf borderId="50" fillId="0" fontId="0" numFmtId="0" xfId="0" applyBorder="1" applyFont="1"/>
    <xf borderId="0" fillId="0" fontId="0" numFmtId="165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2CA79B"/>
                </a:solidFill>
              </a:defRPr>
            </a:pPr>
            <a:r>
              <a:t>Acompanhamento Diário</a:t>
            </a:r>
          </a:p>
        </c:rich>
      </c:tx>
      <c:overlay val="0"/>
    </c:title>
    <c:plotArea>
      <c:layout>
        <c:manualLayout>
          <c:xMode val="edge"/>
          <c:yMode val="edge"/>
          <c:x val="0.0605844269466318"/>
          <c:y val="0.10839129483814522"/>
          <c:w val="0.8193044619422564"/>
          <c:h val="0.7756288276465457"/>
        </c:manualLayout>
      </c:layout>
      <c:lineChart>
        <c:ser>
          <c:idx val="0"/>
          <c:order val="0"/>
          <c:tx>
            <c:strRef>
              <c:f>Principal!$D$9</c:f>
            </c:strRef>
          </c:tx>
          <c:spPr>
            <a:ln cmpd="sng"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val>
            <c:numRef>
              <c:f>Principal!$D$10:$D$41</c:f>
            </c:numRef>
          </c:val>
          <c:smooth val="0"/>
        </c:ser>
        <c:ser>
          <c:idx val="1"/>
          <c:order val="1"/>
          <c:tx>
            <c:strRef>
              <c:f>Principal!$E$9</c:f>
            </c:strRef>
          </c:tx>
          <c:spPr>
            <a:ln cmpd="sng"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val>
            <c:numRef>
              <c:f>Principal!$E$10:$E$41</c:f>
            </c:numRef>
          </c:val>
          <c:smooth val="0"/>
        </c:ser>
        <c:axId val="1508603439"/>
        <c:axId val="1002450786"/>
      </c:lineChart>
      <c:catAx>
        <c:axId val="1508603439"/>
        <c:scaling>
          <c:orientation val="minMax"/>
        </c:scaling>
        <c:delete val="0"/>
        <c:axPos val="b"/>
        <c:txPr>
          <a:bodyPr/>
          <a:lstStyle/>
          <a:p>
            <a:pPr lvl="0">
              <a:defRPr b="0"/>
            </a:pPr>
          </a:p>
        </c:txPr>
        <c:crossAx val="1002450786"/>
      </c:catAx>
      <c:valAx>
        <c:axId val="1002450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508603439"/>
      </c:valAx>
      <c:spPr>
        <a:solidFill>
          <a:srgbClr val="FFFFFF"/>
        </a:solidFill>
      </c:spPr>
    </c:plotArea>
    <c:legend>
      <c:legendPos val="r"/>
      <c:overlay val="0"/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2CA79B"/>
                </a:solidFill>
                <a:latin typeface="Roboto"/>
              </a:defRPr>
            </a:pPr>
            <a:r>
              <a:t>Vendas Realizadas - Vendas Planejadas - Tendência</a:t>
            </a:r>
          </a:p>
        </c:rich>
      </c:tx>
      <c:overlay val="0"/>
    </c:title>
    <c:plotArea>
      <c:layout>
        <c:manualLayout>
          <c:xMode val="edge"/>
          <c:yMode val="edge"/>
          <c:x val="0.13525240594925633"/>
          <c:y val="0.10839129483814522"/>
          <c:w val="0.8369698162729658"/>
          <c:h val="0.7987769757946923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cat>
            <c:strRef>
              <c:f>'Análise'!$A$18:$A$20</c:f>
            </c:strRef>
          </c:cat>
          <c:val>
            <c:numRef>
              <c:f>'Análise'!$B$18:$B$20</c:f>
            </c:numRef>
          </c:val>
        </c:ser>
        <c:axId val="79754654"/>
        <c:axId val="1018240450"/>
      </c:barChart>
      <c:catAx>
        <c:axId val="79754654"/>
        <c:scaling>
          <c:orientation val="minMax"/>
        </c:scaling>
        <c:delete val="0"/>
        <c:axPos val="b"/>
        <c:txPr>
          <a:bodyPr/>
          <a:lstStyle/>
          <a:p>
            <a:pPr lvl="0">
              <a:defRPr b="0">
                <a:latin typeface="Roboto"/>
              </a:defRPr>
            </a:pPr>
          </a:p>
        </c:txPr>
        <c:crossAx val="1018240450"/>
      </c:catAx>
      <c:valAx>
        <c:axId val="1018240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latin typeface="Roboto"/>
              </a:defRPr>
            </a:pPr>
          </a:p>
        </c:txPr>
        <c:crossAx val="79754654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CA79B"/>
                </a:solidFill>
              </a:defRPr>
            </a:pPr>
            <a:r>
              <a:t>Taxa de Conversão no Decorrer do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Principal!$B$10:$B$40</c:f>
            </c:strRef>
          </c:cat>
          <c:val>
            <c:numRef>
              <c:f>Principal!$P$10:$P$40</c:f>
            </c:numRef>
          </c:val>
          <c:smooth val="1"/>
        </c:ser>
        <c:axId val="925721904"/>
        <c:axId val="110506447"/>
      </c:lineChart>
      <c:catAx>
        <c:axId val="925721904"/>
        <c:scaling>
          <c:orientation val="minMax"/>
        </c:scaling>
        <c:delete val="0"/>
        <c:axPos val="b"/>
        <c:txPr>
          <a:bodyPr/>
          <a:lstStyle/>
          <a:p>
            <a:pPr lvl="0">
              <a:defRPr b="0"/>
            </a:pPr>
          </a:p>
        </c:txPr>
        <c:crossAx val="110506447"/>
      </c:catAx>
      <c:valAx>
        <c:axId val="110506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925721904"/>
      </c:valAx>
    </c:plotArea>
    <c:legend>
      <c:legendPos val="r"/>
      <c:overlay val="0"/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</xdr:row>
      <xdr:rowOff>19050</xdr:rowOff>
    </xdr:from>
    <xdr:ext cx="952500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14</xdr:row>
      <xdr:rowOff>85725</xdr:rowOff>
    </xdr:from>
    <xdr:ext cx="8391525" cy="2286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18</xdr:row>
      <xdr:rowOff>142875</xdr:rowOff>
    </xdr:from>
    <xdr:ext cx="4000500" cy="23526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</xdr:row>
      <xdr:rowOff>95250</xdr:rowOff>
    </xdr:from>
    <xdr:ext cx="1914525" cy="237172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46</xdr:row>
      <xdr:rowOff>161925</xdr:rowOff>
    </xdr:from>
    <xdr:ext cx="1914525" cy="2162175"/>
    <xdr:pic>
      <xdr:nvPicPr>
        <xdr:cNvPr id="0" name="image6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59</xdr:row>
      <xdr:rowOff>161925</xdr:rowOff>
    </xdr:from>
    <xdr:ext cx="2390775" cy="2362200"/>
    <xdr:pic>
      <xdr:nvPicPr>
        <xdr:cNvPr id="0" name="image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133350</xdr:rowOff>
    </xdr:from>
    <xdr:ext cx="1266825" cy="447675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29800" cy="2447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47625</xdr:rowOff>
    </xdr:from>
    <xdr:ext cx="9839325" cy="2714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9525</xdr:rowOff>
    </xdr:from>
    <xdr:ext cx="9839325" cy="3524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</xdr:row>
      <xdr:rowOff>19050</xdr:rowOff>
    </xdr:from>
    <xdr:ext cx="1428750" cy="5143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145.0"/>
    <col customWidth="1" min="3" max="3" width="5.43"/>
  </cols>
  <sheetData>
    <row r="1">
      <c r="A1" s="2"/>
      <c r="B1" s="4"/>
      <c r="C1" s="2"/>
    </row>
    <row r="2">
      <c r="A2" s="2"/>
      <c r="B2" s="4" t="s">
        <v>0</v>
      </c>
      <c r="C2" s="2"/>
    </row>
    <row r="3">
      <c r="A3" s="2"/>
      <c r="B3" s="7"/>
      <c r="C3" s="7"/>
    </row>
    <row r="4" ht="22.5" customHeight="1">
      <c r="A4" s="2"/>
      <c r="B4" s="9" t="s">
        <v>1</v>
      </c>
      <c r="C4" s="7"/>
    </row>
    <row r="5" ht="43.5" customHeight="1">
      <c r="A5" s="2"/>
      <c r="B5" s="13" t="s">
        <v>2</v>
      </c>
      <c r="C5" s="7"/>
    </row>
    <row r="6" ht="30.0" customHeight="1">
      <c r="A6" s="2"/>
      <c r="B6" s="15"/>
      <c r="C6" s="7"/>
    </row>
    <row r="7" ht="22.5" customHeight="1">
      <c r="A7" s="2"/>
      <c r="B7" s="15"/>
      <c r="C7" s="7"/>
    </row>
    <row r="8" ht="16.5" customHeight="1">
      <c r="A8" s="2"/>
      <c r="B8" s="17"/>
      <c r="C8" s="7"/>
    </row>
    <row r="9" ht="18.0" customHeight="1">
      <c r="A9" s="2"/>
      <c r="B9" s="18"/>
      <c r="C9" s="7"/>
    </row>
    <row r="10" ht="18.0" customHeight="1">
      <c r="A10" s="2"/>
      <c r="B10" s="9" t="s">
        <v>4</v>
      </c>
      <c r="C10" s="7"/>
    </row>
    <row r="11" ht="18.0" customHeight="1">
      <c r="A11" s="2"/>
      <c r="B11" s="20" t="s">
        <v>5</v>
      </c>
      <c r="C11" s="7"/>
    </row>
    <row r="12" ht="18.0" customHeight="1">
      <c r="A12" s="2"/>
      <c r="B12" s="20"/>
      <c r="C12" s="7"/>
    </row>
    <row r="13" ht="18.0" customHeight="1">
      <c r="A13" s="2"/>
      <c r="B13" s="22" t="s">
        <v>6</v>
      </c>
      <c r="C13" s="7"/>
    </row>
    <row r="14" ht="18.0" customHeight="1">
      <c r="A14" s="2"/>
      <c r="B14" s="24" t="s">
        <v>8</v>
      </c>
      <c r="C14" s="7"/>
    </row>
    <row r="15" ht="18.0" customHeight="1">
      <c r="A15" s="2"/>
      <c r="B15" s="26"/>
      <c r="C15" s="7"/>
    </row>
    <row r="16" ht="18.0" customHeight="1">
      <c r="A16" s="2"/>
      <c r="B16" s="20"/>
      <c r="C16" s="7"/>
    </row>
    <row r="17" ht="18.0" customHeight="1">
      <c r="A17" s="2"/>
      <c r="B17" s="22" t="s">
        <v>9</v>
      </c>
      <c r="C17" s="7"/>
    </row>
    <row r="18" ht="18.0" customHeight="1">
      <c r="A18" s="2"/>
      <c r="B18" s="20" t="s">
        <v>10</v>
      </c>
      <c r="C18" s="7"/>
    </row>
    <row r="19" ht="18.0" customHeight="1">
      <c r="A19" s="2"/>
      <c r="B19" s="20"/>
      <c r="C19" s="7"/>
    </row>
    <row r="20" ht="18.0" customHeight="1">
      <c r="A20" s="2"/>
      <c r="B20" s="20"/>
      <c r="C20" s="7"/>
    </row>
    <row r="21" ht="18.0" customHeight="1">
      <c r="A21" s="2"/>
      <c r="B21" s="20"/>
      <c r="C21" s="7"/>
    </row>
    <row r="22" ht="18.0" customHeight="1">
      <c r="A22" s="2"/>
      <c r="B22" s="20"/>
      <c r="C22" s="7"/>
    </row>
    <row r="23" ht="18.0" customHeight="1">
      <c r="A23" s="2"/>
      <c r="B23" s="20"/>
      <c r="C23" s="7"/>
    </row>
    <row r="24" ht="18.0" customHeight="1">
      <c r="A24" s="2"/>
      <c r="B24" s="20"/>
      <c r="C24" s="7"/>
    </row>
    <row r="25" ht="18.0" customHeight="1">
      <c r="A25" s="2"/>
      <c r="B25" s="20"/>
      <c r="C25" s="7"/>
    </row>
    <row r="26" ht="18.0" customHeight="1">
      <c r="A26" s="2"/>
      <c r="B26" s="20"/>
      <c r="C26" s="7"/>
    </row>
    <row r="27" ht="18.0" customHeight="1">
      <c r="A27" s="2"/>
      <c r="B27" s="20"/>
      <c r="C27" s="7"/>
    </row>
    <row r="28" ht="18.0" customHeight="1">
      <c r="A28" s="2"/>
      <c r="B28" s="20"/>
      <c r="C28" s="7"/>
    </row>
    <row r="29" ht="18.0" customHeight="1">
      <c r="A29" s="2"/>
      <c r="B29" s="20"/>
      <c r="C29" s="7"/>
    </row>
    <row r="30" ht="18.0" customHeight="1">
      <c r="A30" s="2"/>
      <c r="B30" s="20"/>
      <c r="C30" s="7"/>
    </row>
    <row r="31" ht="18.0" customHeight="1">
      <c r="A31" s="2"/>
      <c r="B31" s="22" t="s">
        <v>11</v>
      </c>
      <c r="C31" s="7"/>
    </row>
    <row r="32" ht="18.0" customHeight="1">
      <c r="A32" s="2"/>
      <c r="B32" s="20" t="s">
        <v>12</v>
      </c>
      <c r="C32" s="7"/>
    </row>
    <row r="33" ht="18.0" customHeight="1">
      <c r="A33" s="2"/>
      <c r="B33" s="20"/>
      <c r="C33" s="7"/>
    </row>
    <row r="34" ht="18.0" customHeight="1">
      <c r="A34" s="2"/>
      <c r="B34" s="20"/>
      <c r="C34" s="7"/>
    </row>
    <row r="35" ht="18.0" customHeight="1">
      <c r="A35" s="2"/>
      <c r="B35" s="20"/>
      <c r="C35" s="7"/>
    </row>
    <row r="36" ht="18.0" customHeight="1">
      <c r="A36" s="2"/>
      <c r="B36" s="20"/>
      <c r="C36" s="7"/>
    </row>
    <row r="37" ht="18.0" customHeight="1">
      <c r="A37" s="2"/>
      <c r="B37" s="20"/>
      <c r="C37" s="7"/>
    </row>
    <row r="38" ht="18.0" customHeight="1">
      <c r="A38" s="2"/>
      <c r="B38" s="20"/>
      <c r="C38" s="7"/>
    </row>
    <row r="39" ht="18.0" customHeight="1">
      <c r="A39" s="2"/>
      <c r="B39" s="20"/>
      <c r="C39" s="7"/>
    </row>
    <row r="40" ht="18.0" customHeight="1">
      <c r="A40" s="2"/>
      <c r="B40" s="20"/>
      <c r="C40" s="7"/>
    </row>
    <row r="41" ht="18.0" customHeight="1">
      <c r="A41" s="2"/>
      <c r="B41" s="22"/>
      <c r="C41" s="7"/>
    </row>
    <row r="42" ht="18.0" customHeight="1">
      <c r="A42" s="2"/>
      <c r="B42" s="22"/>
      <c r="C42" s="7"/>
    </row>
    <row r="43" ht="18.0" customHeight="1">
      <c r="A43" s="2"/>
      <c r="B43" s="20"/>
      <c r="C43" s="7"/>
    </row>
    <row r="44" ht="18.0" customHeight="1">
      <c r="A44" s="2"/>
      <c r="B44" s="20"/>
      <c r="C44" s="7"/>
    </row>
    <row r="45" ht="18.0" customHeight="1">
      <c r="A45" s="2"/>
      <c r="B45" s="22" t="s">
        <v>14</v>
      </c>
      <c r="C45" s="7"/>
    </row>
    <row r="46" ht="18.0" customHeight="1">
      <c r="A46" s="2"/>
      <c r="B46" s="20" t="s">
        <v>15</v>
      </c>
      <c r="C46" s="7"/>
    </row>
    <row r="47" ht="18.0" customHeight="1">
      <c r="A47" s="2"/>
      <c r="B47" s="20"/>
      <c r="C47" s="7"/>
    </row>
    <row r="48" ht="18.0" customHeight="1">
      <c r="A48" s="2"/>
      <c r="B48" s="20"/>
      <c r="C48" s="7"/>
    </row>
    <row r="49" ht="18.0" customHeight="1">
      <c r="A49" s="2"/>
      <c r="B49" s="20"/>
      <c r="C49" s="7"/>
    </row>
    <row r="50" ht="18.0" customHeight="1">
      <c r="A50" s="2"/>
      <c r="B50" s="20"/>
      <c r="C50" s="7"/>
    </row>
    <row r="51" ht="18.0" customHeight="1">
      <c r="A51" s="2"/>
      <c r="B51" s="20"/>
      <c r="C51" s="7"/>
    </row>
    <row r="52" ht="18.0" customHeight="1">
      <c r="A52" s="2"/>
      <c r="B52" s="20"/>
      <c r="C52" s="7"/>
    </row>
    <row r="53" ht="18.0" customHeight="1">
      <c r="A53" s="2"/>
      <c r="B53" s="20"/>
      <c r="C53" s="7"/>
    </row>
    <row r="54" ht="18.0" customHeight="1">
      <c r="A54" s="2"/>
      <c r="B54" s="20"/>
      <c r="C54" s="7"/>
    </row>
    <row r="55" ht="18.0" customHeight="1">
      <c r="A55" s="2"/>
      <c r="B55" s="20"/>
      <c r="C55" s="7"/>
    </row>
    <row r="56" ht="18.0" customHeight="1">
      <c r="A56" s="2"/>
      <c r="B56" s="20"/>
      <c r="C56" s="7"/>
    </row>
    <row r="57" ht="18.0" customHeight="1">
      <c r="A57" s="2"/>
      <c r="B57" s="20"/>
      <c r="C57" s="7"/>
    </row>
    <row r="58" ht="18.0" customHeight="1">
      <c r="A58" s="2"/>
      <c r="B58" s="22" t="s">
        <v>17</v>
      </c>
      <c r="C58" s="7"/>
    </row>
    <row r="59" ht="18.0" customHeight="1">
      <c r="A59" s="2"/>
      <c r="B59" s="20" t="s">
        <v>18</v>
      </c>
      <c r="C59" s="7"/>
    </row>
    <row r="60" ht="18.0" customHeight="1">
      <c r="A60" s="2"/>
      <c r="B60" s="20"/>
      <c r="C60" s="7"/>
    </row>
    <row r="61" ht="18.0" customHeight="1">
      <c r="A61" s="2"/>
      <c r="B61" s="20"/>
      <c r="C61" s="7"/>
    </row>
    <row r="62" ht="18.0" customHeight="1">
      <c r="A62" s="2"/>
      <c r="B62" s="20"/>
      <c r="C62" s="7"/>
    </row>
    <row r="63" ht="18.0" customHeight="1">
      <c r="A63" s="2"/>
      <c r="B63" s="20"/>
      <c r="C63" s="7"/>
    </row>
    <row r="64" ht="18.0" customHeight="1">
      <c r="A64" s="2"/>
      <c r="B64" s="20"/>
      <c r="C64" s="7"/>
    </row>
    <row r="65" ht="18.0" customHeight="1">
      <c r="A65" s="2"/>
      <c r="B65" s="20"/>
      <c r="C65" s="7"/>
    </row>
    <row r="66" ht="18.0" customHeight="1">
      <c r="A66" s="2"/>
      <c r="B66" s="20"/>
      <c r="C66" s="7"/>
    </row>
    <row r="67" ht="18.0" customHeight="1">
      <c r="A67" s="2"/>
      <c r="B67" s="20"/>
      <c r="C67" s="7"/>
    </row>
    <row r="68" ht="18.0" customHeight="1">
      <c r="A68" s="2"/>
      <c r="B68" s="20"/>
      <c r="C68" s="7"/>
    </row>
    <row r="69" ht="18.0" customHeight="1">
      <c r="A69" s="2"/>
      <c r="B69" s="20"/>
      <c r="C69" s="7"/>
    </row>
    <row r="70" ht="18.0" customHeight="1">
      <c r="A70" s="2"/>
      <c r="B70" s="20"/>
      <c r="C70" s="7"/>
    </row>
    <row r="71" ht="18.0" customHeight="1">
      <c r="A71" s="2"/>
      <c r="B71" s="20"/>
      <c r="C71" s="7"/>
    </row>
    <row r="72" ht="18.0" customHeight="1">
      <c r="A72" s="2"/>
      <c r="B72" s="31"/>
      <c r="C72" s="7"/>
    </row>
    <row r="73" ht="18.0" customHeight="1">
      <c r="A73" s="2"/>
      <c r="B73" s="18"/>
      <c r="C73" s="7"/>
    </row>
    <row r="74">
      <c r="A74" s="2"/>
      <c r="B74" s="33" t="s">
        <v>19</v>
      </c>
      <c r="C74" s="7"/>
    </row>
  </sheetData>
  <mergeCells count="1">
    <mergeCell ref="B5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15.0"/>
    <col customWidth="1" min="3" max="3" width="2.29"/>
    <col customWidth="1" min="4" max="6" width="13.86"/>
    <col customWidth="1" min="7" max="7" width="2.29"/>
    <col customWidth="1" min="8" max="9" width="13.86"/>
    <col customWidth="1" min="10" max="10" width="2.29"/>
    <col customWidth="1" min="11" max="12" width="13.86"/>
    <col customWidth="1" min="13" max="13" width="2.29"/>
    <col customWidth="1" min="14" max="16" width="11.57"/>
    <col customWidth="1" min="17" max="17" width="8.71"/>
  </cols>
  <sheetData>
    <row r="1">
      <c r="L1" s="1"/>
      <c r="M1" s="1"/>
      <c r="N1" s="1"/>
    </row>
    <row r="2">
      <c r="A2" s="3"/>
      <c r="B2" s="5" t="s">
        <v>0</v>
      </c>
      <c r="P2" s="6"/>
      <c r="Q2" s="1"/>
    </row>
    <row r="3">
      <c r="A3" s="8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  <c r="Q3" s="1"/>
    </row>
    <row r="4">
      <c r="A4" s="8"/>
      <c r="B4" s="12"/>
      <c r="C4" s="12"/>
      <c r="D4" s="12"/>
      <c r="E4" s="12"/>
      <c r="F4" s="12"/>
      <c r="G4" s="14"/>
      <c r="H4" s="16"/>
      <c r="I4" s="12"/>
      <c r="J4" s="12"/>
      <c r="K4" s="12"/>
      <c r="L4" s="12"/>
      <c r="M4" s="12"/>
      <c r="N4" s="3"/>
      <c r="O4" s="1"/>
      <c r="P4" s="1"/>
      <c r="Q4" s="1"/>
    </row>
    <row r="5">
      <c r="A5" s="8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"/>
    </row>
    <row r="6">
      <c r="A6" s="8"/>
      <c r="B6" s="19" t="s">
        <v>3</v>
      </c>
      <c r="C6" s="21">
        <v>43466.0</v>
      </c>
      <c r="D6" s="23"/>
      <c r="E6" s="12"/>
      <c r="F6" s="25" t="s">
        <v>7</v>
      </c>
      <c r="G6" s="27"/>
      <c r="H6" s="23"/>
      <c r="I6" s="28">
        <v>10000.0</v>
      </c>
      <c r="J6" s="23"/>
      <c r="K6" s="12"/>
      <c r="L6" s="25" t="s">
        <v>13</v>
      </c>
      <c r="M6" s="23"/>
      <c r="N6" s="29" t="s">
        <v>16</v>
      </c>
      <c r="O6" s="27"/>
      <c r="P6" s="23"/>
      <c r="Q6" s="1"/>
    </row>
    <row r="7">
      <c r="A7" s="3"/>
      <c r="D7" s="30"/>
      <c r="E7" s="30"/>
      <c r="F7" s="30"/>
      <c r="G7" s="32"/>
      <c r="H7" s="34"/>
      <c r="I7" s="30"/>
      <c r="J7" s="35"/>
      <c r="K7" s="30"/>
      <c r="L7" s="30"/>
      <c r="M7" s="36"/>
      <c r="N7" s="37"/>
      <c r="O7" s="37"/>
      <c r="P7" s="30"/>
      <c r="Q7" s="38"/>
    </row>
    <row r="8" ht="15.75" customHeight="1">
      <c r="A8" s="8"/>
      <c r="B8" s="39" t="s">
        <v>20</v>
      </c>
      <c r="C8" s="40"/>
      <c r="D8" s="41" t="s">
        <v>21</v>
      </c>
      <c r="E8" s="42"/>
      <c r="F8" s="43"/>
      <c r="G8" s="8"/>
      <c r="H8" s="44" t="s">
        <v>22</v>
      </c>
      <c r="I8" s="43"/>
      <c r="J8" s="8"/>
      <c r="K8" s="45" t="s">
        <v>23</v>
      </c>
      <c r="L8" s="46" t="s">
        <v>24</v>
      </c>
      <c r="M8" s="40"/>
      <c r="N8" s="47" t="s">
        <v>25</v>
      </c>
      <c r="O8" s="48" t="s">
        <v>26</v>
      </c>
      <c r="P8" s="49" t="s">
        <v>17</v>
      </c>
      <c r="Q8" s="8"/>
    </row>
    <row r="9">
      <c r="A9" s="8"/>
      <c r="B9" s="50"/>
      <c r="C9" s="40"/>
      <c r="D9" s="51" t="s">
        <v>27</v>
      </c>
      <c r="E9" s="52" t="s">
        <v>28</v>
      </c>
      <c r="F9" s="53" t="s">
        <v>29</v>
      </c>
      <c r="G9" s="8"/>
      <c r="H9" s="54" t="s">
        <v>27</v>
      </c>
      <c r="I9" s="55" t="s">
        <v>28</v>
      </c>
      <c r="J9" s="8"/>
      <c r="K9" s="56"/>
      <c r="L9" s="57"/>
      <c r="M9" s="40"/>
      <c r="N9" s="56"/>
      <c r="O9" s="17"/>
      <c r="P9" s="57"/>
      <c r="Q9" s="8"/>
    </row>
    <row r="10">
      <c r="A10" s="8"/>
      <c r="B10" s="58">
        <f>C6</f>
        <v>43466</v>
      </c>
      <c r="C10" s="40"/>
      <c r="D10" s="59">
        <v>100.0</v>
      </c>
      <c r="E10" s="62">
        <f t="shared" ref="E10:E37" si="2">I$6/(COUNT(B$10:B$40))</f>
        <v>322.5806452</v>
      </c>
      <c r="F10" s="63">
        <f t="shared" ref="F10:F40" si="3">IF(D10,D10-E10,"")</f>
        <v>-222.5806452</v>
      </c>
      <c r="G10" s="8"/>
      <c r="H10" s="66">
        <f t="shared" ref="H10:I10" si="1">D10</f>
        <v>100</v>
      </c>
      <c r="I10" s="63">
        <f t="shared" si="1"/>
        <v>322.5806452</v>
      </c>
      <c r="J10" s="8"/>
      <c r="K10" s="66"/>
      <c r="L10" s="63">
        <f>D10</f>
        <v>100</v>
      </c>
      <c r="M10" s="40"/>
      <c r="N10" s="69">
        <v>2.0</v>
      </c>
      <c r="O10" s="71">
        <v>2.0</v>
      </c>
      <c r="P10" s="72">
        <f t="shared" ref="P10:P40" si="5">IFERROR(O10/N10)</f>
        <v>1</v>
      </c>
      <c r="Q10" s="8"/>
    </row>
    <row r="11">
      <c r="A11" s="8"/>
      <c r="B11" s="58">
        <f>C6+1</f>
        <v>43467</v>
      </c>
      <c r="C11" s="40"/>
      <c r="D11" s="59">
        <v>400.0</v>
      </c>
      <c r="E11" s="62">
        <f t="shared" si="2"/>
        <v>322.5806452</v>
      </c>
      <c r="F11" s="63">
        <f t="shared" si="3"/>
        <v>77.41935484</v>
      </c>
      <c r="G11" s="8"/>
      <c r="H11" s="66">
        <f t="shared" ref="H11:I11" si="4">D11+H10</f>
        <v>500</v>
      </c>
      <c r="I11" s="63">
        <f t="shared" si="4"/>
        <v>645.1612903</v>
      </c>
      <c r="J11" s="8"/>
      <c r="K11" s="66" t="str">
        <f t="shared" ref="K11:K37" si="7">IF(D11="",($E$42-H11)/(COUNT($B$10:$B$40)-COUNT($D$10:$D$40)),"")</f>
        <v/>
      </c>
      <c r="L11" s="63">
        <f t="shared" ref="L11:L37" si="8">IF(D11="",L10+E11,L10+D11)</f>
        <v>500</v>
      </c>
      <c r="M11" s="40"/>
      <c r="N11" s="69">
        <v>5.0</v>
      </c>
      <c r="O11" s="71">
        <v>2.0</v>
      </c>
      <c r="P11" s="72">
        <f t="shared" si="5"/>
        <v>0.4</v>
      </c>
      <c r="Q11" s="8"/>
    </row>
    <row r="12">
      <c r="A12" s="8"/>
      <c r="B12" s="58">
        <f>C6+2</f>
        <v>43468</v>
      </c>
      <c r="C12" s="40"/>
      <c r="D12" s="59">
        <v>500.0</v>
      </c>
      <c r="E12" s="62">
        <f t="shared" si="2"/>
        <v>322.5806452</v>
      </c>
      <c r="F12" s="63">
        <f t="shared" si="3"/>
        <v>177.4193548</v>
      </c>
      <c r="G12" s="8"/>
      <c r="H12" s="66">
        <f t="shared" ref="H12:I12" si="6">D12+H11</f>
        <v>1000</v>
      </c>
      <c r="I12" s="63">
        <f t="shared" si="6"/>
        <v>967.7419355</v>
      </c>
      <c r="J12" s="8"/>
      <c r="K12" s="66" t="str">
        <f t="shared" si="7"/>
        <v/>
      </c>
      <c r="L12" s="63">
        <f t="shared" si="8"/>
        <v>1000</v>
      </c>
      <c r="M12" s="40"/>
      <c r="N12" s="69">
        <v>6.0</v>
      </c>
      <c r="O12" s="76">
        <v>2.0</v>
      </c>
      <c r="P12" s="72">
        <f t="shared" si="5"/>
        <v>0.3333333333</v>
      </c>
      <c r="Q12" s="8"/>
    </row>
    <row r="13">
      <c r="A13" s="8"/>
      <c r="B13" s="58">
        <f>C6+3</f>
        <v>43469</v>
      </c>
      <c r="C13" s="40"/>
      <c r="D13" s="59">
        <v>600.0</v>
      </c>
      <c r="E13" s="62">
        <f t="shared" si="2"/>
        <v>322.5806452</v>
      </c>
      <c r="F13" s="63">
        <f t="shared" si="3"/>
        <v>277.4193548</v>
      </c>
      <c r="G13" s="8"/>
      <c r="H13" s="66">
        <f t="shared" ref="H13:I13" si="9">D13+H12</f>
        <v>1600</v>
      </c>
      <c r="I13" s="63">
        <f t="shared" si="9"/>
        <v>1290.322581</v>
      </c>
      <c r="J13" s="8"/>
      <c r="K13" s="66" t="str">
        <f t="shared" si="7"/>
        <v/>
      </c>
      <c r="L13" s="63">
        <f t="shared" si="8"/>
        <v>1600</v>
      </c>
      <c r="M13" s="40"/>
      <c r="N13" s="69">
        <v>7.0</v>
      </c>
      <c r="O13" s="71">
        <v>3.0</v>
      </c>
      <c r="P13" s="72">
        <f t="shared" si="5"/>
        <v>0.4285714286</v>
      </c>
      <c r="Q13" s="8"/>
    </row>
    <row r="14">
      <c r="A14" s="8"/>
      <c r="B14" s="58">
        <f>C6+4</f>
        <v>43470</v>
      </c>
      <c r="C14" s="40"/>
      <c r="D14" s="59">
        <v>740.0</v>
      </c>
      <c r="E14" s="62">
        <f t="shared" si="2"/>
        <v>322.5806452</v>
      </c>
      <c r="F14" s="63">
        <f t="shared" si="3"/>
        <v>417.4193548</v>
      </c>
      <c r="G14" s="8"/>
      <c r="H14" s="66">
        <f t="shared" ref="H14:I14" si="10">D14+H13</f>
        <v>2340</v>
      </c>
      <c r="I14" s="63">
        <f t="shared" si="10"/>
        <v>1612.903226</v>
      </c>
      <c r="J14" s="8"/>
      <c r="K14" s="66" t="str">
        <f t="shared" si="7"/>
        <v/>
      </c>
      <c r="L14" s="63">
        <f t="shared" si="8"/>
        <v>2340</v>
      </c>
      <c r="M14" s="40"/>
      <c r="N14" s="69">
        <v>0.0</v>
      </c>
      <c r="O14" s="71">
        <v>3.0</v>
      </c>
      <c r="P14" s="72" t="str">
        <f t="shared" si="5"/>
        <v/>
      </c>
      <c r="Q14" s="8"/>
    </row>
    <row r="15">
      <c r="A15" s="8"/>
      <c r="B15" s="58">
        <f>C6+5</f>
        <v>43471</v>
      </c>
      <c r="C15" s="40"/>
      <c r="D15" s="59">
        <v>650.0</v>
      </c>
      <c r="E15" s="62">
        <f t="shared" si="2"/>
        <v>322.5806452</v>
      </c>
      <c r="F15" s="63">
        <f t="shared" si="3"/>
        <v>327.4193548</v>
      </c>
      <c r="G15" s="8"/>
      <c r="H15" s="66">
        <f t="shared" ref="H15:I15" si="11">D15+H14</f>
        <v>2990</v>
      </c>
      <c r="I15" s="63">
        <f t="shared" si="11"/>
        <v>1935.483871</v>
      </c>
      <c r="J15" s="8"/>
      <c r="K15" s="66" t="str">
        <f t="shared" si="7"/>
        <v/>
      </c>
      <c r="L15" s="63">
        <f t="shared" si="8"/>
        <v>2990</v>
      </c>
      <c r="M15" s="40"/>
      <c r="N15" s="69">
        <v>0.0</v>
      </c>
      <c r="O15" s="71">
        <v>4.0</v>
      </c>
      <c r="P15" s="72" t="str">
        <f t="shared" si="5"/>
        <v/>
      </c>
      <c r="Q15" s="8"/>
    </row>
    <row r="16">
      <c r="A16" s="8"/>
      <c r="B16" s="58">
        <f>C6+6</f>
        <v>43472</v>
      </c>
      <c r="C16" s="40"/>
      <c r="D16" s="77"/>
      <c r="E16" s="62">
        <f t="shared" si="2"/>
        <v>322.5806452</v>
      </c>
      <c r="F16" s="63" t="str">
        <f t="shared" si="3"/>
        <v/>
      </c>
      <c r="G16" s="8"/>
      <c r="H16" s="66">
        <f t="shared" ref="H16:I16" si="12">D16+H15</f>
        <v>2990</v>
      </c>
      <c r="I16" s="63">
        <f t="shared" si="12"/>
        <v>2258.064516</v>
      </c>
      <c r="J16" s="8"/>
      <c r="K16" s="66">
        <f t="shared" si="7"/>
        <v>280.4</v>
      </c>
      <c r="L16" s="63">
        <f t="shared" si="8"/>
        <v>3312.580645</v>
      </c>
      <c r="M16" s="40"/>
      <c r="N16" s="69">
        <v>2.0</v>
      </c>
      <c r="O16" s="76">
        <v>1.0</v>
      </c>
      <c r="P16" s="72">
        <f t="shared" si="5"/>
        <v>0.5</v>
      </c>
      <c r="Q16" s="8"/>
    </row>
    <row r="17">
      <c r="A17" s="8"/>
      <c r="B17" s="58">
        <f>C6+7</f>
        <v>43473</v>
      </c>
      <c r="C17" s="40"/>
      <c r="D17" s="77"/>
      <c r="E17" s="62">
        <f t="shared" si="2"/>
        <v>322.5806452</v>
      </c>
      <c r="F17" s="63" t="str">
        <f t="shared" si="3"/>
        <v/>
      </c>
      <c r="G17" s="8"/>
      <c r="H17" s="66">
        <f t="shared" ref="H17:I17" si="13">D17+H16</f>
        <v>2990</v>
      </c>
      <c r="I17" s="63">
        <f t="shared" si="13"/>
        <v>2580.645161</v>
      </c>
      <c r="J17" s="8"/>
      <c r="K17" s="66">
        <f t="shared" si="7"/>
        <v>280.4</v>
      </c>
      <c r="L17" s="63">
        <f t="shared" si="8"/>
        <v>3635.16129</v>
      </c>
      <c r="M17" s="40"/>
      <c r="N17" s="69">
        <v>10.0</v>
      </c>
      <c r="O17" s="71">
        <v>5.0</v>
      </c>
      <c r="P17" s="72">
        <f t="shared" si="5"/>
        <v>0.5</v>
      </c>
      <c r="Q17" s="8"/>
    </row>
    <row r="18">
      <c r="A18" s="8"/>
      <c r="B18" s="58">
        <f>C6+8</f>
        <v>43474</v>
      </c>
      <c r="C18" s="40"/>
      <c r="D18" s="77"/>
      <c r="E18" s="62">
        <f t="shared" si="2"/>
        <v>322.5806452</v>
      </c>
      <c r="F18" s="63" t="str">
        <f t="shared" si="3"/>
        <v/>
      </c>
      <c r="G18" s="8"/>
      <c r="H18" s="66">
        <f t="shared" ref="H18:I18" si="14">D18+H17</f>
        <v>2990</v>
      </c>
      <c r="I18" s="63">
        <f t="shared" si="14"/>
        <v>2903.225806</v>
      </c>
      <c r="J18" s="8"/>
      <c r="K18" s="66">
        <f t="shared" si="7"/>
        <v>280.4</v>
      </c>
      <c r="L18" s="63">
        <f t="shared" si="8"/>
        <v>3957.741935</v>
      </c>
      <c r="M18" s="40"/>
      <c r="N18" s="78">
        <v>5.0</v>
      </c>
      <c r="O18" s="71">
        <v>2.0</v>
      </c>
      <c r="P18" s="72">
        <f t="shared" si="5"/>
        <v>0.4</v>
      </c>
      <c r="Q18" s="8"/>
    </row>
    <row r="19">
      <c r="A19" s="8"/>
      <c r="B19" s="58">
        <f>C6+9</f>
        <v>43475</v>
      </c>
      <c r="C19" s="40"/>
      <c r="D19" s="77"/>
      <c r="E19" s="62">
        <f t="shared" si="2"/>
        <v>322.5806452</v>
      </c>
      <c r="F19" s="63" t="str">
        <f t="shared" si="3"/>
        <v/>
      </c>
      <c r="G19" s="8"/>
      <c r="H19" s="66">
        <f t="shared" ref="H19:I19" si="15">D19+H18</f>
        <v>2990</v>
      </c>
      <c r="I19" s="63">
        <f t="shared" si="15"/>
        <v>3225.806452</v>
      </c>
      <c r="J19" s="8"/>
      <c r="K19" s="66">
        <f t="shared" si="7"/>
        <v>280.4</v>
      </c>
      <c r="L19" s="63">
        <f t="shared" si="8"/>
        <v>4280.322581</v>
      </c>
      <c r="M19" s="40"/>
      <c r="N19" s="69">
        <v>4.0</v>
      </c>
      <c r="O19" s="71">
        <v>1.0</v>
      </c>
      <c r="P19" s="72">
        <f t="shared" si="5"/>
        <v>0.25</v>
      </c>
      <c r="Q19" s="8"/>
    </row>
    <row r="20">
      <c r="A20" s="8"/>
      <c r="B20" s="58">
        <f>C6+10</f>
        <v>43476</v>
      </c>
      <c r="C20" s="40"/>
      <c r="D20" s="77"/>
      <c r="E20" s="62">
        <f t="shared" si="2"/>
        <v>322.5806452</v>
      </c>
      <c r="F20" s="63" t="str">
        <f t="shared" si="3"/>
        <v/>
      </c>
      <c r="G20" s="8"/>
      <c r="H20" s="66">
        <f t="shared" ref="H20:I20" si="16">D20+H19</f>
        <v>2990</v>
      </c>
      <c r="I20" s="63">
        <f t="shared" si="16"/>
        <v>3548.387097</v>
      </c>
      <c r="J20" s="8"/>
      <c r="K20" s="66">
        <f t="shared" si="7"/>
        <v>280.4</v>
      </c>
      <c r="L20" s="63">
        <f t="shared" si="8"/>
        <v>4602.903226</v>
      </c>
      <c r="M20" s="40"/>
      <c r="N20" s="69">
        <v>4.0</v>
      </c>
      <c r="O20" s="71">
        <v>2.0</v>
      </c>
      <c r="P20" s="72">
        <f t="shared" si="5"/>
        <v>0.5</v>
      </c>
      <c r="Q20" s="8"/>
    </row>
    <row r="21">
      <c r="A21" s="8"/>
      <c r="B21" s="58">
        <f>C6+11</f>
        <v>43477</v>
      </c>
      <c r="C21" s="40"/>
      <c r="D21" s="77"/>
      <c r="E21" s="62">
        <f t="shared" si="2"/>
        <v>322.5806452</v>
      </c>
      <c r="F21" s="63" t="str">
        <f t="shared" si="3"/>
        <v/>
      </c>
      <c r="G21" s="8"/>
      <c r="H21" s="66">
        <f t="shared" ref="H21:I21" si="17">D21+H20</f>
        <v>2990</v>
      </c>
      <c r="I21" s="63">
        <f t="shared" si="17"/>
        <v>3870.967742</v>
      </c>
      <c r="J21" s="8"/>
      <c r="K21" s="66">
        <f t="shared" si="7"/>
        <v>280.4</v>
      </c>
      <c r="L21" s="63">
        <f t="shared" si="8"/>
        <v>4925.483871</v>
      </c>
      <c r="M21" s="40"/>
      <c r="N21" s="69">
        <v>0.0</v>
      </c>
      <c r="O21" s="76">
        <v>0.0</v>
      </c>
      <c r="P21" s="72" t="str">
        <f t="shared" si="5"/>
        <v/>
      </c>
      <c r="Q21" s="8"/>
    </row>
    <row r="22">
      <c r="A22" s="8"/>
      <c r="B22" s="58">
        <f>C6+12</f>
        <v>43478</v>
      </c>
      <c r="C22" s="40"/>
      <c r="D22" s="77"/>
      <c r="E22" s="62">
        <f t="shared" si="2"/>
        <v>322.5806452</v>
      </c>
      <c r="F22" s="63" t="str">
        <f t="shared" si="3"/>
        <v/>
      </c>
      <c r="G22" s="8"/>
      <c r="H22" s="66">
        <f t="shared" ref="H22:I22" si="18">D22+H21</f>
        <v>2990</v>
      </c>
      <c r="I22" s="63">
        <f t="shared" si="18"/>
        <v>4193.548387</v>
      </c>
      <c r="J22" s="8"/>
      <c r="K22" s="66">
        <f t="shared" si="7"/>
        <v>280.4</v>
      </c>
      <c r="L22" s="63">
        <f t="shared" si="8"/>
        <v>5248.064516</v>
      </c>
      <c r="M22" s="40"/>
      <c r="N22" s="69">
        <v>0.0</v>
      </c>
      <c r="O22" s="76">
        <v>0.0</v>
      </c>
      <c r="P22" s="72" t="str">
        <f t="shared" si="5"/>
        <v/>
      </c>
      <c r="Q22" s="8"/>
    </row>
    <row r="23" ht="15.75" customHeight="1">
      <c r="A23" s="8"/>
      <c r="B23" s="58">
        <f>C6+13</f>
        <v>43479</v>
      </c>
      <c r="C23" s="40"/>
      <c r="D23" s="77"/>
      <c r="E23" s="62">
        <f t="shared" si="2"/>
        <v>322.5806452</v>
      </c>
      <c r="F23" s="63" t="str">
        <f t="shared" si="3"/>
        <v/>
      </c>
      <c r="G23" s="8"/>
      <c r="H23" s="66">
        <f t="shared" ref="H23:I23" si="19">D23+H22</f>
        <v>2990</v>
      </c>
      <c r="I23" s="63">
        <f t="shared" si="19"/>
        <v>4516.129032</v>
      </c>
      <c r="J23" s="8"/>
      <c r="K23" s="66">
        <f t="shared" si="7"/>
        <v>280.4</v>
      </c>
      <c r="L23" s="63">
        <f t="shared" si="8"/>
        <v>5570.645161</v>
      </c>
      <c r="M23" s="40"/>
      <c r="N23" s="78">
        <v>6.0</v>
      </c>
      <c r="O23" s="71">
        <v>3.0</v>
      </c>
      <c r="P23" s="72">
        <f t="shared" si="5"/>
        <v>0.5</v>
      </c>
      <c r="Q23" s="8"/>
    </row>
    <row r="24" ht="15.75" customHeight="1">
      <c r="A24" s="8"/>
      <c r="B24" s="58">
        <f>C6+14</f>
        <v>43480</v>
      </c>
      <c r="C24" s="40"/>
      <c r="D24" s="77"/>
      <c r="E24" s="62">
        <f t="shared" si="2"/>
        <v>322.5806452</v>
      </c>
      <c r="F24" s="63" t="str">
        <f t="shared" si="3"/>
        <v/>
      </c>
      <c r="G24" s="8"/>
      <c r="H24" s="66">
        <f t="shared" ref="H24:I24" si="20">D24+H23</f>
        <v>2990</v>
      </c>
      <c r="I24" s="63">
        <f t="shared" si="20"/>
        <v>4838.709677</v>
      </c>
      <c r="J24" s="8"/>
      <c r="K24" s="66">
        <f t="shared" si="7"/>
        <v>280.4</v>
      </c>
      <c r="L24" s="63">
        <f t="shared" si="8"/>
        <v>5893.225806</v>
      </c>
      <c r="M24" s="40"/>
      <c r="N24" s="69">
        <v>3.0</v>
      </c>
      <c r="O24" s="71">
        <v>3.0</v>
      </c>
      <c r="P24" s="72">
        <f t="shared" si="5"/>
        <v>1</v>
      </c>
      <c r="Q24" s="8"/>
    </row>
    <row r="25" ht="15.75" customHeight="1">
      <c r="A25" s="8"/>
      <c r="B25" s="58">
        <f>C6+15</f>
        <v>43481</v>
      </c>
      <c r="C25" s="40"/>
      <c r="D25" s="77"/>
      <c r="E25" s="62">
        <f t="shared" si="2"/>
        <v>322.5806452</v>
      </c>
      <c r="F25" s="63" t="str">
        <f t="shared" si="3"/>
        <v/>
      </c>
      <c r="G25" s="8"/>
      <c r="H25" s="66">
        <f t="shared" ref="H25:I25" si="21">D25+H24</f>
        <v>2990</v>
      </c>
      <c r="I25" s="63">
        <f t="shared" si="21"/>
        <v>5161.290323</v>
      </c>
      <c r="J25" s="8"/>
      <c r="K25" s="66">
        <f t="shared" si="7"/>
        <v>280.4</v>
      </c>
      <c r="L25" s="63">
        <f t="shared" si="8"/>
        <v>6215.806452</v>
      </c>
      <c r="M25" s="40"/>
      <c r="N25" s="69">
        <v>6.0</v>
      </c>
      <c r="O25" s="71">
        <v>2.0</v>
      </c>
      <c r="P25" s="72">
        <f t="shared" si="5"/>
        <v>0.3333333333</v>
      </c>
      <c r="Q25" s="8"/>
    </row>
    <row r="26" ht="15.75" customHeight="1">
      <c r="A26" s="8"/>
      <c r="B26" s="58">
        <f>C6+16</f>
        <v>43482</v>
      </c>
      <c r="C26" s="40"/>
      <c r="D26" s="77"/>
      <c r="E26" s="62">
        <f t="shared" si="2"/>
        <v>322.5806452</v>
      </c>
      <c r="F26" s="63" t="str">
        <f t="shared" si="3"/>
        <v/>
      </c>
      <c r="G26" s="8"/>
      <c r="H26" s="66">
        <f t="shared" ref="H26:I26" si="22">D26+H25</f>
        <v>2990</v>
      </c>
      <c r="I26" s="63">
        <f t="shared" si="22"/>
        <v>5483.870968</v>
      </c>
      <c r="J26" s="8"/>
      <c r="K26" s="66">
        <f t="shared" si="7"/>
        <v>280.4</v>
      </c>
      <c r="L26" s="63">
        <f t="shared" si="8"/>
        <v>6538.387097</v>
      </c>
      <c r="M26" s="40"/>
      <c r="N26" s="69">
        <v>9.0</v>
      </c>
      <c r="O26" s="71">
        <v>3.0</v>
      </c>
      <c r="P26" s="72">
        <f t="shared" si="5"/>
        <v>0.3333333333</v>
      </c>
      <c r="Q26" s="8"/>
    </row>
    <row r="27" ht="15.75" customHeight="1">
      <c r="A27" s="8"/>
      <c r="B27" s="58">
        <f>C6+17</f>
        <v>43483</v>
      </c>
      <c r="C27" s="40"/>
      <c r="D27" s="77"/>
      <c r="E27" s="62">
        <f t="shared" si="2"/>
        <v>322.5806452</v>
      </c>
      <c r="F27" s="63" t="str">
        <f t="shared" si="3"/>
        <v/>
      </c>
      <c r="G27" s="8"/>
      <c r="H27" s="66">
        <f t="shared" ref="H27:I27" si="23">D27+H26</f>
        <v>2990</v>
      </c>
      <c r="I27" s="63">
        <f t="shared" si="23"/>
        <v>5806.451613</v>
      </c>
      <c r="J27" s="8"/>
      <c r="K27" s="66">
        <f t="shared" si="7"/>
        <v>280.4</v>
      </c>
      <c r="L27" s="63">
        <f t="shared" si="8"/>
        <v>6860.967742</v>
      </c>
      <c r="M27" s="40"/>
      <c r="N27" s="78">
        <v>8.0</v>
      </c>
      <c r="O27" s="71">
        <v>5.0</v>
      </c>
      <c r="P27" s="72">
        <f t="shared" si="5"/>
        <v>0.625</v>
      </c>
      <c r="Q27" s="8"/>
    </row>
    <row r="28" ht="15.75" customHeight="1">
      <c r="A28" s="8"/>
      <c r="B28" s="58">
        <f>C6+18</f>
        <v>43484</v>
      </c>
      <c r="C28" s="40"/>
      <c r="D28" s="77"/>
      <c r="E28" s="62">
        <f t="shared" si="2"/>
        <v>322.5806452</v>
      </c>
      <c r="F28" s="63" t="str">
        <f t="shared" si="3"/>
        <v/>
      </c>
      <c r="G28" s="8"/>
      <c r="H28" s="66">
        <f t="shared" ref="H28:I28" si="24">D28+H27</f>
        <v>2990</v>
      </c>
      <c r="I28" s="63">
        <f t="shared" si="24"/>
        <v>6129.032258</v>
      </c>
      <c r="J28" s="8"/>
      <c r="K28" s="66">
        <f t="shared" si="7"/>
        <v>280.4</v>
      </c>
      <c r="L28" s="63">
        <f t="shared" si="8"/>
        <v>7183.548387</v>
      </c>
      <c r="M28" s="40"/>
      <c r="N28" s="69">
        <v>0.0</v>
      </c>
      <c r="O28" s="76">
        <v>0.0</v>
      </c>
      <c r="P28" s="72" t="str">
        <f t="shared" si="5"/>
        <v/>
      </c>
      <c r="Q28" s="8"/>
    </row>
    <row r="29" ht="15.75" customHeight="1">
      <c r="A29" s="8"/>
      <c r="B29" s="58">
        <f>C6+19</f>
        <v>43485</v>
      </c>
      <c r="C29" s="40"/>
      <c r="D29" s="77"/>
      <c r="E29" s="62">
        <f t="shared" si="2"/>
        <v>322.5806452</v>
      </c>
      <c r="F29" s="63" t="str">
        <f t="shared" si="3"/>
        <v/>
      </c>
      <c r="G29" s="8"/>
      <c r="H29" s="66">
        <f t="shared" ref="H29:I29" si="25">D29+H28</f>
        <v>2990</v>
      </c>
      <c r="I29" s="63">
        <f t="shared" si="25"/>
        <v>6451.612903</v>
      </c>
      <c r="J29" s="8"/>
      <c r="K29" s="66">
        <f t="shared" si="7"/>
        <v>280.4</v>
      </c>
      <c r="L29" s="63">
        <f t="shared" si="8"/>
        <v>7506.129032</v>
      </c>
      <c r="M29" s="40"/>
      <c r="N29" s="69">
        <v>0.0</v>
      </c>
      <c r="O29" s="76">
        <v>0.0</v>
      </c>
      <c r="P29" s="72" t="str">
        <f t="shared" si="5"/>
        <v/>
      </c>
      <c r="Q29" s="8"/>
    </row>
    <row r="30" ht="15.75" customHeight="1">
      <c r="A30" s="8"/>
      <c r="B30" s="58">
        <f>C6+20</f>
        <v>43486</v>
      </c>
      <c r="C30" s="40"/>
      <c r="D30" s="77"/>
      <c r="E30" s="62">
        <f t="shared" si="2"/>
        <v>322.5806452</v>
      </c>
      <c r="F30" s="63" t="str">
        <f t="shared" si="3"/>
        <v/>
      </c>
      <c r="G30" s="8"/>
      <c r="H30" s="66">
        <f t="shared" ref="H30:I30" si="26">D30+H29</f>
        <v>2990</v>
      </c>
      <c r="I30" s="63">
        <f t="shared" si="26"/>
        <v>6774.193548</v>
      </c>
      <c r="J30" s="8"/>
      <c r="K30" s="66">
        <f t="shared" si="7"/>
        <v>280.4</v>
      </c>
      <c r="L30" s="63">
        <f t="shared" si="8"/>
        <v>7828.709677</v>
      </c>
      <c r="M30" s="40"/>
      <c r="N30" s="78">
        <v>6.0</v>
      </c>
      <c r="O30" s="71">
        <v>5.0</v>
      </c>
      <c r="P30" s="72">
        <f t="shared" si="5"/>
        <v>0.8333333333</v>
      </c>
      <c r="Q30" s="8"/>
    </row>
    <row r="31" ht="15.75" customHeight="1">
      <c r="A31" s="8"/>
      <c r="B31" s="58">
        <f>C6+21</f>
        <v>43487</v>
      </c>
      <c r="C31" s="40"/>
      <c r="D31" s="77"/>
      <c r="E31" s="62">
        <f t="shared" si="2"/>
        <v>322.5806452</v>
      </c>
      <c r="F31" s="63" t="str">
        <f t="shared" si="3"/>
        <v/>
      </c>
      <c r="G31" s="8"/>
      <c r="H31" s="66">
        <f t="shared" ref="H31:I31" si="27">D31+H30</f>
        <v>2990</v>
      </c>
      <c r="I31" s="63">
        <f t="shared" si="27"/>
        <v>7096.774194</v>
      </c>
      <c r="J31" s="8"/>
      <c r="K31" s="66">
        <f t="shared" si="7"/>
        <v>280.4</v>
      </c>
      <c r="L31" s="63">
        <f t="shared" si="8"/>
        <v>8151.290323</v>
      </c>
      <c r="M31" s="40"/>
      <c r="N31" s="69">
        <v>3.0</v>
      </c>
      <c r="O31" s="76">
        <v>1.0</v>
      </c>
      <c r="P31" s="72">
        <f t="shared" si="5"/>
        <v>0.3333333333</v>
      </c>
      <c r="Q31" s="8"/>
    </row>
    <row r="32" ht="15.75" customHeight="1">
      <c r="A32" s="8"/>
      <c r="B32" s="58">
        <f>C6+22</f>
        <v>43488</v>
      </c>
      <c r="C32" s="40"/>
      <c r="D32" s="77"/>
      <c r="E32" s="62">
        <f t="shared" si="2"/>
        <v>322.5806452</v>
      </c>
      <c r="F32" s="63" t="str">
        <f t="shared" si="3"/>
        <v/>
      </c>
      <c r="G32" s="8"/>
      <c r="H32" s="66">
        <f t="shared" ref="H32:I32" si="28">D32+H31</f>
        <v>2990</v>
      </c>
      <c r="I32" s="63">
        <f t="shared" si="28"/>
        <v>7419.354839</v>
      </c>
      <c r="J32" s="8"/>
      <c r="K32" s="66">
        <f t="shared" si="7"/>
        <v>280.4</v>
      </c>
      <c r="L32" s="63">
        <f t="shared" si="8"/>
        <v>8473.870968</v>
      </c>
      <c r="M32" s="40"/>
      <c r="N32" s="78">
        <v>7.0</v>
      </c>
      <c r="O32" s="71">
        <v>4.0</v>
      </c>
      <c r="P32" s="72">
        <f t="shared" si="5"/>
        <v>0.5714285714</v>
      </c>
      <c r="Q32" s="8"/>
    </row>
    <row r="33" ht="15.75" customHeight="1">
      <c r="A33" s="8"/>
      <c r="B33" s="58">
        <f>C6+23</f>
        <v>43489</v>
      </c>
      <c r="C33" s="40"/>
      <c r="D33" s="77"/>
      <c r="E33" s="62">
        <f t="shared" si="2"/>
        <v>322.5806452</v>
      </c>
      <c r="F33" s="63" t="str">
        <f t="shared" si="3"/>
        <v/>
      </c>
      <c r="G33" s="8"/>
      <c r="H33" s="66">
        <f t="shared" ref="H33:I33" si="29">D33+H32</f>
        <v>2990</v>
      </c>
      <c r="I33" s="63">
        <f t="shared" si="29"/>
        <v>7741.935484</v>
      </c>
      <c r="J33" s="8"/>
      <c r="K33" s="66">
        <f t="shared" si="7"/>
        <v>280.4</v>
      </c>
      <c r="L33" s="63">
        <f t="shared" si="8"/>
        <v>8796.451613</v>
      </c>
      <c r="M33" s="40"/>
      <c r="N33" s="69">
        <v>10.0</v>
      </c>
      <c r="O33" s="71">
        <v>3.0</v>
      </c>
      <c r="P33" s="72">
        <f t="shared" si="5"/>
        <v>0.3</v>
      </c>
      <c r="Q33" s="8"/>
    </row>
    <row r="34" ht="15.75" customHeight="1">
      <c r="A34" s="8"/>
      <c r="B34" s="58">
        <f>C6+24</f>
        <v>43490</v>
      </c>
      <c r="C34" s="40"/>
      <c r="D34" s="77"/>
      <c r="E34" s="62">
        <f t="shared" si="2"/>
        <v>322.5806452</v>
      </c>
      <c r="F34" s="63" t="str">
        <f t="shared" si="3"/>
        <v/>
      </c>
      <c r="G34" s="8"/>
      <c r="H34" s="66">
        <f t="shared" ref="H34:I34" si="30">D34+H33</f>
        <v>2990</v>
      </c>
      <c r="I34" s="63">
        <f t="shared" si="30"/>
        <v>8064.516129</v>
      </c>
      <c r="J34" s="8"/>
      <c r="K34" s="66">
        <f t="shared" si="7"/>
        <v>280.4</v>
      </c>
      <c r="L34" s="63">
        <f t="shared" si="8"/>
        <v>9119.032258</v>
      </c>
      <c r="M34" s="40"/>
      <c r="N34" s="78">
        <v>5.0</v>
      </c>
      <c r="O34" s="71">
        <v>3.0</v>
      </c>
      <c r="P34" s="72">
        <f t="shared" si="5"/>
        <v>0.6</v>
      </c>
      <c r="Q34" s="8"/>
    </row>
    <row r="35" ht="15.75" customHeight="1">
      <c r="A35" s="8"/>
      <c r="B35" s="58">
        <f>C6+25</f>
        <v>43491</v>
      </c>
      <c r="C35" s="40"/>
      <c r="D35" s="77"/>
      <c r="E35" s="62">
        <f t="shared" si="2"/>
        <v>322.5806452</v>
      </c>
      <c r="F35" s="63" t="str">
        <f t="shared" si="3"/>
        <v/>
      </c>
      <c r="G35" s="8"/>
      <c r="H35" s="66">
        <f t="shared" ref="H35:I35" si="31">D35+H34</f>
        <v>2990</v>
      </c>
      <c r="I35" s="63">
        <f t="shared" si="31"/>
        <v>8387.096774</v>
      </c>
      <c r="J35" s="8"/>
      <c r="K35" s="66">
        <f t="shared" si="7"/>
        <v>280.4</v>
      </c>
      <c r="L35" s="63">
        <f t="shared" si="8"/>
        <v>9441.612903</v>
      </c>
      <c r="M35" s="40"/>
      <c r="N35" s="69">
        <v>0.0</v>
      </c>
      <c r="O35" s="76">
        <v>0.0</v>
      </c>
      <c r="P35" s="72" t="str">
        <f t="shared" si="5"/>
        <v/>
      </c>
      <c r="Q35" s="8"/>
    </row>
    <row r="36" ht="15.75" customHeight="1">
      <c r="A36" s="8"/>
      <c r="B36" s="58">
        <f>C6+26</f>
        <v>43492</v>
      </c>
      <c r="C36" s="40"/>
      <c r="D36" s="77"/>
      <c r="E36" s="62">
        <f t="shared" si="2"/>
        <v>322.5806452</v>
      </c>
      <c r="F36" s="63" t="str">
        <f t="shared" si="3"/>
        <v/>
      </c>
      <c r="G36" s="8"/>
      <c r="H36" s="66">
        <f t="shared" ref="H36:I36" si="32">D36+H35</f>
        <v>2990</v>
      </c>
      <c r="I36" s="63">
        <f t="shared" si="32"/>
        <v>8709.677419</v>
      </c>
      <c r="J36" s="8"/>
      <c r="K36" s="66">
        <f t="shared" si="7"/>
        <v>280.4</v>
      </c>
      <c r="L36" s="63">
        <f t="shared" si="8"/>
        <v>9764.193548</v>
      </c>
      <c r="M36" s="40"/>
      <c r="N36" s="69">
        <v>0.0</v>
      </c>
      <c r="O36" s="76">
        <v>0.0</v>
      </c>
      <c r="P36" s="72" t="str">
        <f t="shared" si="5"/>
        <v/>
      </c>
      <c r="Q36" s="8"/>
    </row>
    <row r="37" ht="15.75" customHeight="1">
      <c r="A37" s="8"/>
      <c r="B37" s="58">
        <f>C6+27</f>
        <v>43493</v>
      </c>
      <c r="C37" s="40"/>
      <c r="D37" s="77"/>
      <c r="E37" s="62">
        <f t="shared" si="2"/>
        <v>322.5806452</v>
      </c>
      <c r="F37" s="63" t="str">
        <f t="shared" si="3"/>
        <v/>
      </c>
      <c r="G37" s="8"/>
      <c r="H37" s="66">
        <f t="shared" ref="H37:I37" si="33">D37+H36</f>
        <v>2990</v>
      </c>
      <c r="I37" s="63">
        <f t="shared" si="33"/>
        <v>9032.258065</v>
      </c>
      <c r="J37" s="8"/>
      <c r="K37" s="66">
        <f t="shared" si="7"/>
        <v>280.4</v>
      </c>
      <c r="L37" s="63">
        <f t="shared" si="8"/>
        <v>10086.77419</v>
      </c>
      <c r="M37" s="40"/>
      <c r="N37" s="78">
        <v>2.0</v>
      </c>
      <c r="O37" s="71">
        <v>1.0</v>
      </c>
      <c r="P37" s="72">
        <f t="shared" si="5"/>
        <v>0.5</v>
      </c>
      <c r="Q37" s="8"/>
    </row>
    <row r="38" ht="15.75" customHeight="1">
      <c r="A38" s="8"/>
      <c r="B38" s="58">
        <f>IF((DAY(C6+28) &gt; 10),C6+28,"")</f>
        <v>43494</v>
      </c>
      <c r="C38" s="40"/>
      <c r="D38" s="77"/>
      <c r="E38" s="62">
        <f>IF((DAY(C6+28) &gt; 10),I$6/(COUNT(B$10:B$40)),"")</f>
        <v>322.5806452</v>
      </c>
      <c r="F38" s="63" t="str">
        <f t="shared" si="3"/>
        <v/>
      </c>
      <c r="G38" s="8"/>
      <c r="H38" s="66">
        <f>IF((DAY(C6+28) &gt; 10),D38+H37,"")</f>
        <v>2990</v>
      </c>
      <c r="I38" s="63">
        <f>IF((DAY(C6+28) &gt; 10),E38+I37,"")</f>
        <v>9354.83871</v>
      </c>
      <c r="J38" s="8"/>
      <c r="K38" s="66">
        <f>IF((DAY(C6+28) &gt; 10),IF(D38="",($E$42-H38)/(COUNT($B$10:$B$40)-COUNT($D$10:$D$40)),""),"")</f>
        <v>280.4</v>
      </c>
      <c r="L38" s="63">
        <f>IF((DAY(C6+28) &gt; 10),IF(D38="",L37+E38,L37+D38),"")</f>
        <v>10409.35484</v>
      </c>
      <c r="M38" s="40"/>
      <c r="N38" s="78">
        <v>9.0</v>
      </c>
      <c r="O38" s="71">
        <v>4.0</v>
      </c>
      <c r="P38" s="72">
        <f t="shared" si="5"/>
        <v>0.4444444444</v>
      </c>
      <c r="Q38" s="8"/>
    </row>
    <row r="39" ht="15.75" customHeight="1">
      <c r="A39" s="8"/>
      <c r="B39" s="58">
        <f>IF((DAY(C6+29) &gt; 10),C6+29,"")</f>
        <v>43495</v>
      </c>
      <c r="C39" s="40"/>
      <c r="D39" s="77"/>
      <c r="E39" s="62">
        <f>IF((DAY(C6+29) &gt; 10),I$6/(COUNT(B$10:B$40)),"")</f>
        <v>322.5806452</v>
      </c>
      <c r="F39" s="63" t="str">
        <f t="shared" si="3"/>
        <v/>
      </c>
      <c r="G39" s="8"/>
      <c r="H39" s="66">
        <f>IF((DAY(C6+29) &gt; 10),D39+H38,"")</f>
        <v>2990</v>
      </c>
      <c r="I39" s="63">
        <f>IF((DAY(C6+29) &gt; 10),E39+I38,"")</f>
        <v>9677.419355</v>
      </c>
      <c r="J39" s="8"/>
      <c r="K39" s="66">
        <f>IF((DAY(C6+29) &gt; 10),IF(D39="",($E$42-H39)/(COUNT($B$10:$B$40)-COUNT($D$10:$D$40)),""),"")</f>
        <v>280.4</v>
      </c>
      <c r="L39" s="63">
        <f>IF((DAY(C6+29) &gt; 10),IF(D39="",L38+E39,L38+D39),"")</f>
        <v>10731.93548</v>
      </c>
      <c r="M39" s="40"/>
      <c r="N39" s="78">
        <v>3.0</v>
      </c>
      <c r="O39" s="71">
        <v>1.0</v>
      </c>
      <c r="P39" s="72">
        <f t="shared" si="5"/>
        <v>0.3333333333</v>
      </c>
      <c r="Q39" s="8"/>
    </row>
    <row r="40" ht="15.75" customHeight="1">
      <c r="A40" s="8"/>
      <c r="B40" s="79">
        <f>IF((DAY(C6+30) &gt; 10),C6+30,"")</f>
        <v>43496</v>
      </c>
      <c r="C40" s="40"/>
      <c r="D40" s="80"/>
      <c r="E40" s="81">
        <f>IF((DAY(C6+30) &gt; 10),I$6/(COUNT(B$10:B$40)),"")</f>
        <v>322.5806452</v>
      </c>
      <c r="F40" s="82" t="str">
        <f t="shared" si="3"/>
        <v/>
      </c>
      <c r="G40" s="8"/>
      <c r="H40" s="83">
        <f>IF((DAY(C6+30) &gt; 10),D40+H39,"")</f>
        <v>2990</v>
      </c>
      <c r="I40" s="82">
        <f>IF((DAY(C6+30) &gt; 10),E40+I39,"")</f>
        <v>10000</v>
      </c>
      <c r="J40" s="8"/>
      <c r="K40" s="83">
        <f>IF((DAY(C6+30) &gt; 10),IF(D40="",($E$42-H40)/(COUNT($B$10:$B$40)-COUNT($D$10:$D$40)),""),"")</f>
        <v>280.4</v>
      </c>
      <c r="L40" s="82">
        <f>IF((DAY(C6+30) &gt; 10),IF(D40="",L39+E40,L39+D40),"")</f>
        <v>11054.51613</v>
      </c>
      <c r="M40" s="40"/>
      <c r="N40" s="84">
        <v>2.0</v>
      </c>
      <c r="O40" s="85">
        <v>1.0</v>
      </c>
      <c r="P40" s="86">
        <f t="shared" si="5"/>
        <v>0.5</v>
      </c>
      <c r="Q40" s="8"/>
    </row>
    <row r="41" ht="15.0" customHeight="1">
      <c r="A41" s="8"/>
      <c r="B41" s="37"/>
      <c r="C41" s="37"/>
      <c r="D41" s="30"/>
      <c r="E41" s="30"/>
      <c r="F41" s="30"/>
      <c r="G41" s="37"/>
      <c r="H41" s="37"/>
      <c r="I41" s="37"/>
      <c r="J41" s="37"/>
      <c r="K41" s="37"/>
      <c r="L41" s="37"/>
      <c r="M41" s="37"/>
      <c r="N41" s="30"/>
      <c r="O41" s="30"/>
      <c r="P41" s="30"/>
      <c r="Q41" s="8"/>
    </row>
    <row r="42">
      <c r="A42" s="87"/>
      <c r="B42" s="88" t="s">
        <v>34</v>
      </c>
      <c r="C42" s="89"/>
      <c r="D42" s="90">
        <f t="shared" ref="D42:E42" si="34">SUM(D10:D40)</f>
        <v>2990</v>
      </c>
      <c r="E42" s="91">
        <f t="shared" si="34"/>
        <v>10000</v>
      </c>
      <c r="F42" s="92"/>
      <c r="G42" s="93"/>
      <c r="H42" s="94"/>
      <c r="I42" s="94"/>
      <c r="J42" s="95"/>
      <c r="K42" s="94"/>
      <c r="L42" s="94"/>
      <c r="M42" s="96"/>
      <c r="N42" s="97">
        <f t="shared" ref="N42:O42" si="35">SUM(N10:N40)</f>
        <v>124</v>
      </c>
      <c r="O42" s="98">
        <f t="shared" si="35"/>
        <v>66</v>
      </c>
      <c r="P42" s="99">
        <f>IFERROR(O42/N42)</f>
        <v>0.5322580645</v>
      </c>
      <c r="Q42" s="100"/>
    </row>
    <row r="43" ht="15.75" customHeight="1">
      <c r="A43" s="3"/>
      <c r="B43" s="101"/>
      <c r="C43" s="102"/>
      <c r="D43" s="35"/>
      <c r="E43" s="35"/>
      <c r="F43" s="35"/>
      <c r="G43" s="1"/>
      <c r="H43" s="35"/>
      <c r="I43" s="35"/>
      <c r="J43" s="35"/>
      <c r="K43" s="35"/>
      <c r="L43" s="35"/>
      <c r="M43" s="35"/>
      <c r="N43" s="35"/>
      <c r="O43" s="35"/>
      <c r="P43" s="35"/>
      <c r="Q43" s="1"/>
    </row>
  </sheetData>
  <mergeCells count="14">
    <mergeCell ref="O8:O9"/>
    <mergeCell ref="P8:P9"/>
    <mergeCell ref="L6:M6"/>
    <mergeCell ref="I6:J6"/>
    <mergeCell ref="K8:K9"/>
    <mergeCell ref="H8:I8"/>
    <mergeCell ref="N6:P6"/>
    <mergeCell ref="C6:D6"/>
    <mergeCell ref="B8:B9"/>
    <mergeCell ref="L8:L9"/>
    <mergeCell ref="N8:N9"/>
    <mergeCell ref="B2:P3"/>
    <mergeCell ref="F6:H6"/>
    <mergeCell ref="D8:F8"/>
  </mergeCells>
  <conditionalFormatting sqref="F10:F40">
    <cfRule type="cellIs" dxfId="0" priority="1" operator="greaterThanOrEqual">
      <formula>0</formula>
    </cfRule>
  </conditionalFormatting>
  <conditionalFormatting sqref="F10:F40">
    <cfRule type="cellIs" dxfId="1" priority="2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26" width="8.71"/>
  </cols>
  <sheetData>
    <row r="18">
      <c r="A18" t="s">
        <v>35</v>
      </c>
      <c r="B18" s="103">
        <f>Principal!D42</f>
        <v>2990</v>
      </c>
    </row>
    <row r="19">
      <c r="A19" t="s">
        <v>36</v>
      </c>
      <c r="B19" s="103">
        <f>Principal!E42</f>
        <v>10000</v>
      </c>
    </row>
    <row r="20">
      <c r="A20" t="s">
        <v>24</v>
      </c>
      <c r="B20" s="103">
        <f>Principal!L40</f>
        <v>11054.51613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145.0"/>
    <col customWidth="1" min="3" max="3" width="5.43"/>
  </cols>
  <sheetData>
    <row r="1">
      <c r="A1" s="2"/>
      <c r="B1" s="4"/>
      <c r="C1" s="2"/>
    </row>
    <row r="2">
      <c r="A2" s="2"/>
      <c r="B2" s="4" t="s">
        <v>30</v>
      </c>
      <c r="C2" s="2"/>
    </row>
    <row r="3">
      <c r="A3" s="2"/>
      <c r="B3" s="7"/>
      <c r="C3" s="7"/>
    </row>
    <row r="4" ht="22.5" customHeight="1">
      <c r="A4" s="2"/>
      <c r="B4" s="9" t="s">
        <v>31</v>
      </c>
      <c r="C4" s="7"/>
    </row>
    <row r="5">
      <c r="A5" s="2"/>
      <c r="B5" s="60" t="str">
        <f>HYPERLINK("https://www.treasy.com.br/blog/como-calcular-a-margem-de-contribuicao-de-seus-produtos/","- Agora que você possui um acompanhamento das vendas, pode utilizar essas informações para calcular um indicador fundamental para o seu negócio: a Margem de Contribuição.")</f>
        <v>- Agora que você possui um acompanhamento das vendas, pode utilizar essas informações para calcular um indicador fundamental para o seu negócio: a Margem de Contribuição.</v>
      </c>
      <c r="C5" s="7"/>
    </row>
    <row r="6">
      <c r="A6" s="2"/>
      <c r="B6" s="61"/>
      <c r="C6" s="7"/>
    </row>
    <row r="7">
      <c r="A7" s="2"/>
      <c r="B7" s="60" t="str">
        <f>HYPERLINK("https://www.treasy.com.br/blog/projecao-do-ponto-de-equilibrio-e-projecao-de-ebitda/","- Outro indicador importantíssimo para a gestão do seu negócio é o Ponto de Equilíbrio, que vai fornecer o quanto sua empresa precisa vender para chegar no ""zero a zero"", confira clicando aqui.")</f>
        <v>- Outro indicador importantíssimo para a gestão do seu negócio é o Ponto de Equilíbrio, que vai fornecer o quanto sua empresa precisa vender para chegar no "zero a zero", confira clicando aqui.</v>
      </c>
      <c r="C7" s="7"/>
    </row>
    <row r="8" ht="14.25" customHeight="1">
      <c r="A8" s="2"/>
      <c r="B8" s="64"/>
      <c r="C8" s="7"/>
    </row>
    <row r="9" ht="22.5" customHeight="1">
      <c r="A9" s="2"/>
      <c r="B9" s="18"/>
      <c r="C9" s="7"/>
    </row>
    <row r="10" ht="20.25" customHeight="1">
      <c r="A10" s="2"/>
      <c r="B10" s="65" t="s">
        <v>32</v>
      </c>
      <c r="C10" s="7"/>
    </row>
    <row r="11" ht="19.5" customHeight="1">
      <c r="A11" s="2"/>
      <c r="B11" s="67" t="s">
        <v>33</v>
      </c>
      <c r="C11" s="7"/>
    </row>
    <row r="12" ht="21.75" customHeight="1">
      <c r="A12" s="2"/>
      <c r="B12" s="15"/>
      <c r="C12" s="7"/>
    </row>
    <row r="13" ht="19.5" customHeight="1">
      <c r="A13" s="2"/>
      <c r="B13" s="68"/>
      <c r="C13" s="7"/>
    </row>
    <row r="14" ht="18.75" customHeight="1">
      <c r="A14" s="2"/>
      <c r="B14" s="70" t="str">
        <f>HYPERLINK("https://www.treasy.com.br/blog/one-metric-that-matters-omtm/","1 - Definir o principal Objetivo Financeiro da Empresa")</f>
        <v>1 - Definir o principal Objetivo Financeiro da Empresa</v>
      </c>
      <c r="C14" s="7"/>
    </row>
    <row r="15" ht="19.5" customHeight="1">
      <c r="A15" s="2"/>
      <c r="B15" s="70" t="str">
        <f>HYPERLINK("https://www.treasy.com.br/blog/o-que-e-planejamento-orcamentario/","2 - Elaborar um plano financeiro para atingir este objetivo")</f>
        <v>2 - Elaborar um plano financeiro para atingir este objetivo</v>
      </c>
      <c r="C15" s="7"/>
    </row>
    <row r="16" ht="18.75" customHeight="1">
      <c r="A16" s="2"/>
      <c r="B16" s="70" t="str">
        <f>HYPERLINK("https://www.treasy.com.br/blog/analise-de-cenarios-orcamentarios-e-projecao-de-cenarios-economicos-e-financeiros/","3 - Simular cenários alternativos")</f>
        <v>3 - Simular cenários alternativos</v>
      </c>
      <c r="C16" s="7"/>
    </row>
    <row r="17" ht="18.0" customHeight="1">
      <c r="A17" s="2"/>
      <c r="B17" s="70" t="str">
        <f>HYPERLINK("https://www.treasy.com.br/blog/tudo-que-voce-precisa-saber-sobre-gestao-orcamentaria/","4 - Acompanhar e aprender com seus resultados")</f>
        <v>4 - Acompanhar e aprender com seus resultados</v>
      </c>
      <c r="C17" s="7"/>
    </row>
    <row r="18" ht="18.0" customHeight="1">
      <c r="A18" s="2"/>
      <c r="B18" s="70" t="str">
        <f>HYPERLINK("https://www.treasy.com.br/blog/revisoes-orcamentarias/","5 - Identificar desvios e revisar seu plano quando necessário")</f>
        <v>5 - Identificar desvios e revisar seu plano quando necessário</v>
      </c>
      <c r="C18" s="7"/>
    </row>
    <row r="19" ht="17.25" customHeight="1">
      <c r="A19" s="2"/>
      <c r="B19" s="73"/>
      <c r="C19" s="7"/>
    </row>
    <row r="20" ht="19.5" customHeight="1">
      <c r="A20" s="2"/>
      <c r="B20" s="74"/>
      <c r="C20" s="7"/>
    </row>
    <row r="21">
      <c r="A21" s="2"/>
      <c r="B21" s="75" t="str">
        <f>HYPERLINK("https://materiais.treasy.com.br/outsourcing-de-controladoria-caas-solicitacao-de-contato?cta=kit-metodologia-treasy","Quero entender como aplicar a Metodologia Treasy em minha empresa!")</f>
        <v>Quero entender como aplicar a Metodologia Treasy em minha empresa!</v>
      </c>
      <c r="C21" s="7"/>
    </row>
    <row r="22">
      <c r="A22" s="2"/>
      <c r="B22" s="33" t="s">
        <v>19</v>
      </c>
      <c r="C22" s="7"/>
    </row>
  </sheetData>
  <mergeCells count="1">
    <mergeCell ref="B11:B12"/>
  </mergeCells>
  <drawing r:id="rId1"/>
</worksheet>
</file>