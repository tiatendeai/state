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5.xml" ContentType="application/vnd.ms-excel.controlproperties+xml"/>
  <Override PartName="/xl/drawings/drawing1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1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xandre\Desktop\"/>
    </mc:Choice>
  </mc:AlternateContent>
  <xr:revisionPtr revIDLastSave="0" documentId="13_ncr:1_{712518C4-CEBD-4477-B7A6-7A956CBB938B}" xr6:coauthVersionLast="45" xr6:coauthVersionMax="47" xr10:uidLastSave="{00000000-0000-0000-0000-000000000000}"/>
  <bookViews>
    <workbookView xWindow="-120" yWindow="-120" windowWidth="20730" windowHeight="11040" tabRatio="148" xr2:uid="{00000000-000D-0000-FFFF-FFFF00000000}"/>
  </bookViews>
  <sheets>
    <sheet name="INICIO" sheetId="1" r:id="rId1"/>
    <sheet name="CADASTROS" sheetId="2" r:id="rId2"/>
    <sheet name="LANÇAMENTOS" sheetId="3" r:id="rId3"/>
    <sheet name="CADASTRO_01" sheetId="4" r:id="rId4"/>
    <sheet name="CADASTRO_02" sheetId="5" r:id="rId5"/>
    <sheet name="CADASTRO_03" sheetId="6" r:id="rId6"/>
    <sheet name="CADASTRO_04" sheetId="7" r:id="rId7"/>
    <sheet name="CADASTRO_05" sheetId="8" r:id="rId8"/>
    <sheet name="CADASTRO_06" sheetId="9" r:id="rId9"/>
    <sheet name="CADASTRO_07" sheetId="10" r:id="rId10"/>
    <sheet name="CADASTRO_08" sheetId="11" state="hidden" r:id="rId11"/>
    <sheet name="CADASTRO_09" sheetId="12" state="hidden" r:id="rId12"/>
    <sheet name="CADASTRO_10" sheetId="13" state="hidden" r:id="rId13"/>
    <sheet name="LANÇAMENTOS_01" sheetId="14" r:id="rId14"/>
    <sheet name="LANÇAMENTOS_02" sheetId="15" r:id="rId15"/>
    <sheet name="LANÇAMENTOS_03" sheetId="16" r:id="rId16"/>
    <sheet name="LANÇAMENTOS_04" sheetId="17" state="hidden" r:id="rId17"/>
    <sheet name="RELATORIO_01" sheetId="18" r:id="rId18"/>
    <sheet name="RELATORIO_02" sheetId="19" r:id="rId19"/>
    <sheet name="RELATORIO_03" sheetId="20" r:id="rId20"/>
    <sheet name="RELATORIO_04" sheetId="21" r:id="rId21"/>
    <sheet name="RELATORIO_05" sheetId="22" r:id="rId22"/>
    <sheet name="RELATORIO_06" sheetId="23" r:id="rId23"/>
    <sheet name="RELATORIO_07" sheetId="24" r:id="rId24"/>
    <sheet name="RELATORIO_08" sheetId="25" r:id="rId25"/>
    <sheet name="RELATORIO_09" sheetId="26" r:id="rId26"/>
    <sheet name="RELATORIO_10" sheetId="27" r:id="rId27"/>
    <sheet name="RELATORIO_11" sheetId="28" r:id="rId28"/>
    <sheet name="RELATORIO_12" sheetId="29" r:id="rId29"/>
    <sheet name="LANÇAMENTOS_" sheetId="32" r:id="rId30"/>
    <sheet name="FORM_RECEITAS" sheetId="33" r:id="rId31"/>
    <sheet name="FORM_DESPESAS" sheetId="34" r:id="rId32"/>
    <sheet name="FORM_TRANSF" sheetId="35" r:id="rId33"/>
    <sheet name="Planilha36" sheetId="36" state="hidden" r:id="rId34"/>
    <sheet name="CADASTRO_01_" sheetId="45" state="hidden" r:id="rId35"/>
    <sheet name="CADASTRO_02_" sheetId="46" state="hidden" r:id="rId36"/>
    <sheet name="CADASTROS_" sheetId="37" r:id="rId37"/>
    <sheet name="FORM_CLIENTES" sheetId="38" r:id="rId38"/>
    <sheet name="FORM_FORNECEDORES" sheetId="39" r:id="rId39"/>
    <sheet name="FORM_CONT_RECEITAS" sheetId="40" r:id="rId40"/>
    <sheet name="FORM_CONT_DESPESAS" sheetId="41" r:id="rId41"/>
    <sheet name="FORM_CENTRO_DE_CUSTO" sheetId="42" r:id="rId42"/>
    <sheet name="FORM_CAIXA" sheetId="43" r:id="rId43"/>
    <sheet name="FORM_FORMAS_DE_PAGAMENTO" sheetId="44" r:id="rId44"/>
    <sheet name="APOIO" sheetId="47" r:id="rId45"/>
    <sheet name="Plan1" sheetId="48" r:id="rId46"/>
    <sheet name="AUX_03" sheetId="31" r:id="rId47"/>
    <sheet name="CADASTRO_AUX" sheetId="30" r:id="rId48"/>
  </sheets>
  <functionGroups builtInGroupCount="19"/>
  <definedNames>
    <definedName name="_xlnm._FilterDatabase" localSheetId="3" hidden="1">CADASTRO_01!$A$1:$C$1</definedName>
    <definedName name="_xlnm._FilterDatabase" localSheetId="4" hidden="1">CADASTRO_02!$A$1:$C$1</definedName>
    <definedName name="_xlnm._FilterDatabase" localSheetId="5" hidden="1">CADASTRO_03!$A$1:$B$1</definedName>
    <definedName name="_xlnm._FilterDatabase" localSheetId="6" hidden="1">CADASTRO_04!$A$1:$C$1</definedName>
    <definedName name="_xlnm._FilterDatabase" localSheetId="7" hidden="1">CADASTRO_05!$A$1:$G$1</definedName>
    <definedName name="_xlnm._FilterDatabase" localSheetId="8" hidden="1">CADASTRO_06!$A$1:$L$1</definedName>
    <definedName name="_xlnm._FilterDatabase" localSheetId="9" hidden="1">CADASTRO_07!$A$1:$L$1</definedName>
    <definedName name="_xlnm._FilterDatabase" localSheetId="13" hidden="1">LANÇAMENTOS_01!$A$1:$M$1</definedName>
    <definedName name="_xlnm._FilterDatabase" localSheetId="14" hidden="1">LANÇAMENTOS_02!$A$1:$M$1</definedName>
    <definedName name="_xlnm._FilterDatabase" localSheetId="15" hidden="1">LANÇAMENTOS_03!$A$1:$M$1</definedName>
    <definedName name="_xlnm._FilterDatabase" localSheetId="22" hidden="1">RELATORIO_06!$B$4:$L$11</definedName>
    <definedName name="_xlnm._FilterDatabase" localSheetId="23" hidden="1">RELATORIO_07!$B$4:$L$4</definedName>
    <definedName name="_xlnm._FilterDatabase" localSheetId="24" hidden="1">RELATORIO_08!$B$4:$N$47</definedName>
    <definedName name="_xlnm._FilterDatabase" localSheetId="25" hidden="1">RELATORIO_09!$B$4:$N$4</definedName>
    <definedName name="_xlnm._FilterDatabase" localSheetId="27" hidden="1">RELATORIO_11!$B$4:$N$4</definedName>
    <definedName name="_xlnm._FilterDatabase" localSheetId="28" hidden="1">RELATORIO_12!$B$4:$N$4</definedName>
    <definedName name="_xlnm.Print_Area" localSheetId="17">RELATORIO_01!$C$1:$Q$17</definedName>
    <definedName name="_xlnm.Print_Area" localSheetId="18">RELATORIO_02!$B$1:$H$36</definedName>
    <definedName name="_xlnm.Print_Area" localSheetId="19">RELATORIO_03!$C$1:$I$17</definedName>
    <definedName name="_xlnm.Print_Area" localSheetId="20">RELATORIO_04!$B$2:$P$9</definedName>
    <definedName name="_xlnm.Print_Area" localSheetId="21">RELATORIO_05!$B$2:$I$33</definedName>
    <definedName name="_xlnm.Print_Area" localSheetId="22">RELATORIO_06!$C$3:$L$11</definedName>
    <definedName name="_xlnm.Print_Area" localSheetId="23">RELATORIO_07!$C$3:$L$4</definedName>
    <definedName name="_xlnm.Print_Area" localSheetId="24">RELATORIO_08!$C$3:$N$12</definedName>
    <definedName name="_xlnm.Print_Area" localSheetId="25">RELATORIO_09!$C$3:$N$21</definedName>
    <definedName name="_xlnm.Print_Area" localSheetId="26">RELATORIO_10!$C$3:$P$18</definedName>
    <definedName name="_xlnm.Print_Area" localSheetId="27">RELATORIO_11!$C$3:$N$4</definedName>
    <definedName name="CAIXA_GRUPO">INDIRECT(CADASTRO_AUX!$AC$1)</definedName>
    <definedName name="CAIXA_VALOR">INDIRECT(CADASTRO_AUX!$AD$1)</definedName>
    <definedName name="GRUPO_DESPESA">INDIRECT(AUX_03!$Q$1)</definedName>
    <definedName name="GRUPO_RECEITA">INDIRECT(AUX_03!$O$1)</definedName>
    <definedName name="TESTE_GRUPO">INDIRECT(#REF!)</definedName>
    <definedName name="_xlnm.Print_Titles" localSheetId="17">RELATORIO_01!$3:$4</definedName>
    <definedName name="_xlnm.Print_Titles" localSheetId="22">RELATORIO_06!$3:$4</definedName>
    <definedName name="_xlnm.Print_Titles" localSheetId="23">RELATORIO_07!$3:$4</definedName>
    <definedName name="_xlnm.Print_Titles" localSheetId="24">RELATORIO_08!$3:$4</definedName>
    <definedName name="_xlnm.Print_Titles" localSheetId="25">RELATORIO_09!$3:$4</definedName>
    <definedName name="_xlnm.Print_Titles" localSheetId="26">RELATORIO_10!$3:$4</definedName>
    <definedName name="_xlnm.Print_Titles" localSheetId="27">RELATORIO_11!$3:$4</definedName>
    <definedName name="VALOR_DESPESA">INDIRECT(AUX_03!$Q$2)</definedName>
    <definedName name="VALOR_RECEITA">INDIRECT(AUX_03!$O$2)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AA1" i="31" l="1"/>
  <c r="AC1" i="31"/>
  <c r="AB1" i="31"/>
  <c r="J2" i="31"/>
  <c r="L2" i="31"/>
  <c r="P7" i="27" l="1"/>
  <c r="P8" i="27"/>
  <c r="N1" i="25" l="1"/>
  <c r="K3" i="18" l="1"/>
  <c r="P6" i="27" l="1"/>
  <c r="I3" i="1" l="1"/>
  <c r="A23" i="30" s="1"/>
  <c r="BD1" i="29" l="1"/>
  <c r="BB1" i="29"/>
  <c r="M1" i="29"/>
  <c r="BD1" i="28" l="1"/>
  <c r="BB1" i="28" l="1"/>
  <c r="M1" i="28"/>
  <c r="C6" i="27"/>
  <c r="Y2" i="27" l="1"/>
  <c r="X2" i="27"/>
  <c r="W2" i="27"/>
  <c r="V2" i="27"/>
  <c r="C4" i="27"/>
  <c r="BB1" i="27" s="1"/>
  <c r="BD1" i="27"/>
  <c r="K4" i="3" l="1"/>
  <c r="K3" i="3"/>
  <c r="G4" i="3"/>
  <c r="G3" i="3"/>
  <c r="AG3" i="30"/>
  <c r="AI3" i="30" s="1"/>
  <c r="AG2" i="30"/>
  <c r="AH2" i="30" s="1"/>
  <c r="AF3" i="30"/>
  <c r="AF4" i="30" s="1"/>
  <c r="AG5" i="30" s="1"/>
  <c r="AH5" i="30" s="1"/>
  <c r="AG4" i="30" l="1"/>
  <c r="AI4" i="30" s="1"/>
  <c r="AH3" i="30"/>
  <c r="AJ3" i="30" s="1"/>
  <c r="AI2" i="30"/>
  <c r="AJ2" i="30" s="1"/>
  <c r="AI5" i="30"/>
  <c r="AJ5" i="30" s="1"/>
  <c r="G5" i="3"/>
  <c r="K5" i="3"/>
  <c r="AF5" i="30"/>
  <c r="AG6" i="30" s="1"/>
  <c r="AI6" i="30" s="1"/>
  <c r="AH4" i="30" l="1"/>
  <c r="AJ4" i="30" s="1"/>
  <c r="AH6" i="30"/>
  <c r="AJ6" i="30" s="1"/>
  <c r="AF6" i="30"/>
  <c r="AG7" i="30" s="1"/>
  <c r="AI7" i="30" l="1"/>
  <c r="AH7" i="30"/>
  <c r="AF7" i="30"/>
  <c r="AG8" i="30" s="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BE1" i="25"/>
  <c r="BD1" i="26"/>
  <c r="BB1" i="26"/>
  <c r="M1" i="26"/>
  <c r="AH8" i="30" l="1"/>
  <c r="AI8" i="30"/>
  <c r="AJ7" i="30"/>
  <c r="AF8" i="30"/>
  <c r="AG9" i="30" s="1"/>
  <c r="H10" i="44"/>
  <c r="H8" i="44"/>
  <c r="H6" i="44"/>
  <c r="E10" i="44"/>
  <c r="E8" i="44"/>
  <c r="E6" i="44"/>
  <c r="AJ8" i="30" l="1"/>
  <c r="AH9" i="30"/>
  <c r="AI9" i="30"/>
  <c r="AF9" i="30"/>
  <c r="AG10" i="30" s="1"/>
  <c r="BB1" i="23"/>
  <c r="BB1" i="24"/>
  <c r="BB1" i="25"/>
  <c r="BE1" i="24"/>
  <c r="BE1" i="23"/>
  <c r="BD1" i="23" s="1"/>
  <c r="AJ9" i="30" l="1"/>
  <c r="AI10" i="30"/>
  <c r="AH10" i="30"/>
  <c r="AF10" i="30"/>
  <c r="AG11" i="30" s="1"/>
  <c r="H1" i="8"/>
  <c r="E1" i="7"/>
  <c r="AJ10" i="30" l="1"/>
  <c r="AI11" i="30"/>
  <c r="AH11" i="30"/>
  <c r="AF11" i="30"/>
  <c r="AG12" i="30" s="1"/>
  <c r="M1" i="25"/>
  <c r="AI12" i="30" l="1"/>
  <c r="AH12" i="30"/>
  <c r="AJ11" i="30"/>
  <c r="AF12" i="30"/>
  <c r="AG13" i="30" s="1"/>
  <c r="U3" i="20"/>
  <c r="AH13" i="30" l="1"/>
  <c r="AI13" i="30"/>
  <c r="AJ12" i="30"/>
  <c r="AF13" i="30"/>
  <c r="AG14" i="30" s="1"/>
  <c r="Z1" i="25"/>
  <c r="AJ13" i="30" l="1"/>
  <c r="AI14" i="30"/>
  <c r="AH14" i="30"/>
  <c r="AF14" i="30"/>
  <c r="AG15" i="30" s="1"/>
  <c r="V1" i="33"/>
  <c r="AJ14" i="30" l="1"/>
  <c r="AI15" i="30"/>
  <c r="AH15" i="30"/>
  <c r="AF15" i="30"/>
  <c r="AG16" i="30" s="1"/>
  <c r="M1" i="10"/>
  <c r="M1" i="9"/>
  <c r="AJ15" i="30" l="1"/>
  <c r="AH16" i="30"/>
  <c r="AI16" i="30"/>
  <c r="AF16" i="30"/>
  <c r="AG17" i="30" s="1"/>
  <c r="C1" i="6"/>
  <c r="D1" i="5"/>
  <c r="D1" i="4"/>
  <c r="AJ16" i="30" l="1"/>
  <c r="AH17" i="30"/>
  <c r="AI17" i="30"/>
  <c r="AF17" i="30"/>
  <c r="AG18" i="30" s="1"/>
  <c r="M1" i="40"/>
  <c r="P1" i="41"/>
  <c r="P1" i="40"/>
  <c r="O1" i="40"/>
  <c r="K2" i="30"/>
  <c r="AJ17" i="30" l="1"/>
  <c r="AI18" i="30"/>
  <c r="AH18" i="30"/>
  <c r="AF18" i="30"/>
  <c r="AG19" i="30" s="1"/>
  <c r="M1" i="24"/>
  <c r="AI19" i="30" l="1"/>
  <c r="AH19" i="30"/>
  <c r="AJ18" i="30"/>
  <c r="AF19" i="30"/>
  <c r="AG20" i="30" s="1"/>
  <c r="M1" i="44"/>
  <c r="AJ19" i="30" l="1"/>
  <c r="AI20" i="30"/>
  <c r="AH20" i="30"/>
  <c r="AF20" i="30"/>
  <c r="AG21" i="30" s="1"/>
  <c r="M1" i="38"/>
  <c r="M1" i="39"/>
  <c r="M1" i="41"/>
  <c r="M1" i="42"/>
  <c r="M1" i="43"/>
  <c r="O1" i="41"/>
  <c r="R1" i="35"/>
  <c r="M1" i="35"/>
  <c r="U1" i="34"/>
  <c r="T1" i="34"/>
  <c r="S1" i="34"/>
  <c r="R1" i="34"/>
  <c r="Q1" i="34"/>
  <c r="M1" i="34"/>
  <c r="V1" i="34"/>
  <c r="P1" i="34"/>
  <c r="O1" i="34"/>
  <c r="U1" i="33"/>
  <c r="T1" i="33"/>
  <c r="S1" i="33"/>
  <c r="R1" i="33"/>
  <c r="Q1" i="33"/>
  <c r="M1" i="33"/>
  <c r="P1" i="33"/>
  <c r="O1" i="33"/>
  <c r="AJ20" i="30" l="1"/>
  <c r="AH21" i="30"/>
  <c r="AI21" i="30"/>
  <c r="AF21" i="30"/>
  <c r="AG22" i="30" s="1"/>
  <c r="N2" i="22"/>
  <c r="N3" i="22" s="1"/>
  <c r="N4" i="22" s="1"/>
  <c r="J2" i="22"/>
  <c r="M1" i="20"/>
  <c r="N1" i="20" s="1"/>
  <c r="C2" i="20"/>
  <c r="S1" i="31"/>
  <c r="I3" i="31"/>
  <c r="A1" i="31"/>
  <c r="B1" i="31" s="1"/>
  <c r="W3" i="30"/>
  <c r="W2" i="30"/>
  <c r="V3" i="30"/>
  <c r="X3" i="30" s="1"/>
  <c r="V2" i="30"/>
  <c r="X2" i="30" s="1"/>
  <c r="U3" i="30"/>
  <c r="U4" i="30" s="1"/>
  <c r="W5" i="30" s="1"/>
  <c r="S3" i="30"/>
  <c r="S4" i="30"/>
  <c r="S2" i="30"/>
  <c r="R3" i="30"/>
  <c r="O2" i="30"/>
  <c r="O3" i="30" s="1"/>
  <c r="O4" i="30" s="1"/>
  <c r="O5" i="30" s="1"/>
  <c r="O6" i="30" s="1"/>
  <c r="O7" i="30" s="1"/>
  <c r="O8" i="30" s="1"/>
  <c r="O9" i="30" s="1"/>
  <c r="O10" i="30" s="1"/>
  <c r="O11" i="30" s="1"/>
  <c r="O12" i="30" s="1"/>
  <c r="O13" i="30" s="1"/>
  <c r="P1" i="30"/>
  <c r="T1" i="27" s="1"/>
  <c r="K3" i="30"/>
  <c r="K4" i="30" s="1"/>
  <c r="K5" i="30" s="1"/>
  <c r="K6" i="30" s="1"/>
  <c r="K7" i="30" s="1"/>
  <c r="K8" i="30" s="1"/>
  <c r="K9" i="30" s="1"/>
  <c r="K10" i="30" s="1"/>
  <c r="K11" i="30" s="1"/>
  <c r="K12" i="30" s="1"/>
  <c r="K13" i="30" s="1"/>
  <c r="J2" i="30"/>
  <c r="J3" i="30" s="1"/>
  <c r="J4" i="30" s="1"/>
  <c r="J5" i="30" s="1"/>
  <c r="J6" i="30" s="1"/>
  <c r="J7" i="30" s="1"/>
  <c r="J8" i="30" s="1"/>
  <c r="J9" i="30" s="1"/>
  <c r="J10" i="30" s="1"/>
  <c r="J11" i="30" s="1"/>
  <c r="J12" i="30" s="1"/>
  <c r="J13" i="30" s="1"/>
  <c r="B17" i="30"/>
  <c r="B14" i="30"/>
  <c r="A13" i="30"/>
  <c r="B18" i="30" s="1"/>
  <c r="W4" i="30" l="1"/>
  <c r="AJ21" i="30"/>
  <c r="V5" i="30"/>
  <c r="X5" i="30" s="1"/>
  <c r="V4" i="30"/>
  <c r="X4" i="30" s="1"/>
  <c r="AI22" i="30"/>
  <c r="AH22" i="30"/>
  <c r="V1" i="27"/>
  <c r="AM2" i="27"/>
  <c r="AL2" i="27" s="1"/>
  <c r="AB1" i="27"/>
  <c r="AG1" i="27"/>
  <c r="AH1" i="27"/>
  <c r="AI1" i="27"/>
  <c r="AF1" i="27"/>
  <c r="AJ1" i="27"/>
  <c r="AA1" i="27"/>
  <c r="AC1" i="27"/>
  <c r="AK1" i="27"/>
  <c r="AE1" i="27"/>
  <c r="AD1" i="27"/>
  <c r="AL1" i="27"/>
  <c r="AF22" i="30"/>
  <c r="AG23" i="30" s="1"/>
  <c r="B2" i="31"/>
  <c r="B3" i="31" s="1"/>
  <c r="B4" i="31" s="1"/>
  <c r="Y1" i="22"/>
  <c r="Y1" i="25"/>
  <c r="Y2" i="30"/>
  <c r="Y3" i="30"/>
  <c r="M3" i="22"/>
  <c r="T1" i="21"/>
  <c r="B4" i="21" s="1"/>
  <c r="P2" i="30"/>
  <c r="B15" i="30"/>
  <c r="N5" i="22"/>
  <c r="G1" i="31"/>
  <c r="U5" i="30"/>
  <c r="R4" i="30"/>
  <c r="S5" i="30" s="1"/>
  <c r="V1" i="21" s="1"/>
  <c r="AA1" i="1"/>
  <c r="Y4" i="30" l="1"/>
  <c r="Z4" i="30" s="1"/>
  <c r="Y5" i="30"/>
  <c r="Z5" i="30" s="1"/>
  <c r="AJ22" i="30"/>
  <c r="O4" i="27"/>
  <c r="AB2" i="27"/>
  <c r="AI23" i="30"/>
  <c r="AH23" i="30"/>
  <c r="AA2" i="27"/>
  <c r="AI2" i="27"/>
  <c r="AJ2" i="27"/>
  <c r="AE2" i="27"/>
  <c r="AK2" i="27"/>
  <c r="AH2" i="27"/>
  <c r="AG2" i="27"/>
  <c r="W6" i="30"/>
  <c r="V6" i="30"/>
  <c r="AC2" i="27"/>
  <c r="B3" i="21"/>
  <c r="BB1" i="21" s="1"/>
  <c r="AD2" i="27"/>
  <c r="AF2" i="27"/>
  <c r="AF23" i="30"/>
  <c r="AG24" i="30" s="1"/>
  <c r="AK1" i="21"/>
  <c r="AF1" i="21"/>
  <c r="AI1" i="21"/>
  <c r="AC1" i="21"/>
  <c r="AB2" i="21" s="1"/>
  <c r="AA1" i="21"/>
  <c r="AH1" i="21"/>
  <c r="AJ1" i="21"/>
  <c r="AB1" i="21"/>
  <c r="AG1" i="21"/>
  <c r="P3" i="30"/>
  <c r="P4" i="30" s="1"/>
  <c r="P5" i="30" s="1"/>
  <c r="P6" i="30" s="1"/>
  <c r="P7" i="30" s="1"/>
  <c r="P8" i="30" s="1"/>
  <c r="P9" i="30" s="1"/>
  <c r="P10" i="30" s="1"/>
  <c r="P11" i="30" s="1"/>
  <c r="P12" i="30" s="1"/>
  <c r="P13" i="30" s="1"/>
  <c r="C17" i="18"/>
  <c r="M1" i="22"/>
  <c r="N2" i="20"/>
  <c r="Q36" i="19"/>
  <c r="Q37" i="19" s="1"/>
  <c r="R5" i="19" s="1"/>
  <c r="AB1" i="25"/>
  <c r="AA1" i="25"/>
  <c r="AC1" i="25"/>
  <c r="AM2" i="21"/>
  <c r="AL2" i="21" s="1"/>
  <c r="AE1" i="21"/>
  <c r="AD2" i="21" s="1"/>
  <c r="C1" i="31"/>
  <c r="F3" i="31" s="1"/>
  <c r="X1" i="22"/>
  <c r="AD1" i="22" s="1"/>
  <c r="Z2" i="30"/>
  <c r="Z3" i="30"/>
  <c r="AL1" i="21"/>
  <c r="AD1" i="21"/>
  <c r="AE2" i="21"/>
  <c r="AI2" i="21"/>
  <c r="AH2" i="21"/>
  <c r="AG2" i="21"/>
  <c r="N6" i="22"/>
  <c r="O5" i="22"/>
  <c r="P5" i="22" s="1"/>
  <c r="Q5" i="22" s="1"/>
  <c r="G4" i="31"/>
  <c r="H4" i="31"/>
  <c r="U6" i="30"/>
  <c r="R5" i="30"/>
  <c r="S6" i="30" s="1"/>
  <c r="D5" i="27"/>
  <c r="G4" i="27" l="1"/>
  <c r="D4" i="27"/>
  <c r="J4" i="27"/>
  <c r="K4" i="27"/>
  <c r="I4" i="27"/>
  <c r="N4" i="27"/>
  <c r="H4" i="27"/>
  <c r="E4" i="27"/>
  <c r="M4" i="27"/>
  <c r="F4" i="27"/>
  <c r="L4" i="27"/>
  <c r="AJ2" i="21"/>
  <c r="X6" i="30"/>
  <c r="Y6" i="30"/>
  <c r="V7" i="30"/>
  <c r="W7" i="30"/>
  <c r="Z7" i="30" s="1"/>
  <c r="X1" i="27"/>
  <c r="Z6" i="30"/>
  <c r="AH24" i="30"/>
  <c r="AI24" i="30"/>
  <c r="AJ23" i="30"/>
  <c r="O5" i="21"/>
  <c r="AF2" i="21"/>
  <c r="AF24" i="30"/>
  <c r="AG25" i="30" s="1"/>
  <c r="E4" i="31"/>
  <c r="C4" i="31"/>
  <c r="AA2" i="21"/>
  <c r="AC2" i="21"/>
  <c r="O10" i="20"/>
  <c r="O9" i="20"/>
  <c r="O8" i="20"/>
  <c r="O4" i="20"/>
  <c r="O3" i="20"/>
  <c r="O15" i="20"/>
  <c r="P14" i="20" s="1"/>
  <c r="O7" i="20"/>
  <c r="O14" i="20"/>
  <c r="O6" i="20"/>
  <c r="O12" i="20"/>
  <c r="O11" i="20"/>
  <c r="O13" i="20"/>
  <c r="O5" i="20"/>
  <c r="O2" i="22"/>
  <c r="P2" i="22" s="1"/>
  <c r="Q2" i="22" s="1"/>
  <c r="O1" i="22"/>
  <c r="P1" i="22" s="1"/>
  <c r="Q1" i="22" s="1"/>
  <c r="O15" i="22"/>
  <c r="S3" i="22" s="1"/>
  <c r="O3" i="22"/>
  <c r="P3" i="22" s="1"/>
  <c r="Q3" i="22" s="1"/>
  <c r="O4" i="22"/>
  <c r="P4" i="22" s="1"/>
  <c r="Q4" i="22" s="1"/>
  <c r="H5" i="21"/>
  <c r="R6" i="19"/>
  <c r="Q5" i="19"/>
  <c r="B5" i="19" s="1"/>
  <c r="T17" i="18"/>
  <c r="U16" i="18" s="1"/>
  <c r="T8" i="18"/>
  <c r="U7" i="18" s="1"/>
  <c r="T12" i="18"/>
  <c r="U11" i="18" s="1"/>
  <c r="T16" i="18"/>
  <c r="T5" i="18"/>
  <c r="T14" i="18"/>
  <c r="U13" i="18" s="1"/>
  <c r="T11" i="18"/>
  <c r="U10" i="18" s="1"/>
  <c r="T13" i="18"/>
  <c r="U12" i="18" s="1"/>
  <c r="T15" i="18"/>
  <c r="U14" i="18" s="1"/>
  <c r="T7" i="18"/>
  <c r="U6" i="18" s="1"/>
  <c r="T6" i="18"/>
  <c r="U5" i="18" s="1"/>
  <c r="D5" i="18" s="1"/>
  <c r="T10" i="18"/>
  <c r="U9" i="18" s="1"/>
  <c r="T9" i="18"/>
  <c r="U8" i="18" s="1"/>
  <c r="AK2" i="21"/>
  <c r="D4" i="31"/>
  <c r="N7" i="22"/>
  <c r="O6" i="22"/>
  <c r="P6" i="22" s="1"/>
  <c r="Q6" i="22" s="1"/>
  <c r="I4" i="31"/>
  <c r="U7" i="30"/>
  <c r="R6" i="30"/>
  <c r="S7" i="30" s="1"/>
  <c r="E11" i="18" l="1"/>
  <c r="I13" i="18"/>
  <c r="E13" i="18"/>
  <c r="D13" i="18"/>
  <c r="H14" i="18"/>
  <c r="E14" i="18"/>
  <c r="AJ24" i="30"/>
  <c r="Z3" i="20"/>
  <c r="D1" i="21"/>
  <c r="X1" i="21"/>
  <c r="D4" i="21"/>
  <c r="P4" i="27"/>
  <c r="AH25" i="30"/>
  <c r="AI25" i="30"/>
  <c r="I14" i="18"/>
  <c r="O14" i="18" s="1"/>
  <c r="H9" i="18"/>
  <c r="I4" i="21"/>
  <c r="X7" i="30"/>
  <c r="Y7" i="30"/>
  <c r="V8" i="30"/>
  <c r="W8" i="30"/>
  <c r="H13" i="18"/>
  <c r="M13" i="18" s="1"/>
  <c r="H12" i="18"/>
  <c r="O13" i="18"/>
  <c r="E7" i="18"/>
  <c r="D11" i="18"/>
  <c r="H6" i="18"/>
  <c r="D12" i="18"/>
  <c r="D7" i="18"/>
  <c r="E8" i="18"/>
  <c r="D8" i="18"/>
  <c r="E5" i="18"/>
  <c r="F5" i="18" s="1"/>
  <c r="I10" i="18"/>
  <c r="D9" i="18"/>
  <c r="M9" i="18" s="1"/>
  <c r="H10" i="18"/>
  <c r="H7" i="18"/>
  <c r="I12" i="18"/>
  <c r="D10" i="18"/>
  <c r="I6" i="18"/>
  <c r="E9" i="18"/>
  <c r="H5" i="18"/>
  <c r="M5" i="18" s="1"/>
  <c r="E6" i="18"/>
  <c r="E10" i="18"/>
  <c r="D6" i="18"/>
  <c r="H11" i="18"/>
  <c r="I8" i="18"/>
  <c r="E12" i="18"/>
  <c r="I11" i="18"/>
  <c r="O11" i="18" s="1"/>
  <c r="H8" i="18"/>
  <c r="AF25" i="30"/>
  <c r="AG26" i="30" s="1"/>
  <c r="S14" i="20"/>
  <c r="R14" i="20"/>
  <c r="M2" i="31"/>
  <c r="F14" i="20"/>
  <c r="E14" i="20"/>
  <c r="W3" i="20"/>
  <c r="V3" i="20"/>
  <c r="N13" i="18"/>
  <c r="M5" i="21"/>
  <c r="F4" i="31"/>
  <c r="H5" i="19"/>
  <c r="G5" i="19"/>
  <c r="C5" i="19"/>
  <c r="D5" i="19"/>
  <c r="P6" i="20"/>
  <c r="S6" i="20" s="1"/>
  <c r="I9" i="18"/>
  <c r="U15" i="18"/>
  <c r="I16" i="18"/>
  <c r="H16" i="18"/>
  <c r="D16" i="18"/>
  <c r="E16" i="18"/>
  <c r="Q6" i="19"/>
  <c r="B6" i="19" s="1"/>
  <c r="R7" i="19"/>
  <c r="I5" i="18"/>
  <c r="S4" i="22"/>
  <c r="T3" i="22"/>
  <c r="B3" i="22" s="1"/>
  <c r="E3" i="22" s="1"/>
  <c r="P4" i="20"/>
  <c r="E4" i="20" s="1"/>
  <c r="I7" i="18"/>
  <c r="P12" i="20"/>
  <c r="E12" i="20" s="1"/>
  <c r="P3" i="20"/>
  <c r="E3" i="20" s="1"/>
  <c r="D14" i="18"/>
  <c r="M14" i="18" s="1"/>
  <c r="P10" i="20"/>
  <c r="E10" i="20" s="1"/>
  <c r="P7" i="20"/>
  <c r="E7" i="20" s="1"/>
  <c r="P11" i="20"/>
  <c r="E11" i="20" s="1"/>
  <c r="P8" i="20"/>
  <c r="F8" i="20" s="1"/>
  <c r="P5" i="20"/>
  <c r="F5" i="20" s="1"/>
  <c r="P9" i="20"/>
  <c r="E9" i="20" s="1"/>
  <c r="P13" i="20"/>
  <c r="F13" i="20" s="1"/>
  <c r="G5" i="21"/>
  <c r="G4" i="21"/>
  <c r="L4" i="21"/>
  <c r="I5" i="21"/>
  <c r="E4" i="21"/>
  <c r="J5" i="21"/>
  <c r="M4" i="21"/>
  <c r="E5" i="21"/>
  <c r="K5" i="21"/>
  <c r="K4" i="21"/>
  <c r="O4" i="21"/>
  <c r="O6" i="21" s="1"/>
  <c r="L5" i="21"/>
  <c r="H4" i="21"/>
  <c r="H6" i="21" s="1"/>
  <c r="J4" i="21"/>
  <c r="D5" i="21"/>
  <c r="F13" i="18"/>
  <c r="N8" i="22"/>
  <c r="O7" i="22"/>
  <c r="P7" i="22" s="1"/>
  <c r="Q7" i="22" s="1"/>
  <c r="U8" i="30"/>
  <c r="R7" i="30"/>
  <c r="S8" i="30" s="1"/>
  <c r="O5" i="18" l="1"/>
  <c r="J14" i="18"/>
  <c r="N14" i="18"/>
  <c r="O7" i="18"/>
  <c r="O8" i="18"/>
  <c r="O9" i="18"/>
  <c r="L5" i="18"/>
  <c r="L13" i="18"/>
  <c r="Q13" i="18" s="1"/>
  <c r="J13" i="18"/>
  <c r="X8" i="30"/>
  <c r="Y8" i="30"/>
  <c r="AJ25" i="30"/>
  <c r="V9" i="30"/>
  <c r="W9" i="30"/>
  <c r="Z9" i="30" s="1"/>
  <c r="AI26" i="30"/>
  <c r="AH26" i="30"/>
  <c r="Z8" i="30"/>
  <c r="M12" i="18"/>
  <c r="O10" i="18"/>
  <c r="L12" i="18"/>
  <c r="M7" i="18"/>
  <c r="M10" i="18"/>
  <c r="M6" i="18"/>
  <c r="M8" i="18"/>
  <c r="M16" i="18"/>
  <c r="M11" i="18"/>
  <c r="O16" i="18"/>
  <c r="J12" i="18"/>
  <c r="O12" i="18"/>
  <c r="O6" i="18"/>
  <c r="F7" i="18"/>
  <c r="N10" i="18"/>
  <c r="F8" i="18"/>
  <c r="L7" i="18"/>
  <c r="L11" i="18"/>
  <c r="J9" i="18"/>
  <c r="L8" i="18"/>
  <c r="N11" i="18"/>
  <c r="F11" i="18"/>
  <c r="J5" i="18"/>
  <c r="L6" i="18"/>
  <c r="J10" i="18"/>
  <c r="N7" i="18"/>
  <c r="N12" i="18"/>
  <c r="F9" i="18"/>
  <c r="D3" i="22"/>
  <c r="C3" i="22"/>
  <c r="F6" i="18"/>
  <c r="J8" i="18"/>
  <c r="N6" i="18"/>
  <c r="L10" i="18"/>
  <c r="J11" i="18"/>
  <c r="L9" i="18"/>
  <c r="F12" i="18"/>
  <c r="N8" i="18"/>
  <c r="J6" i="18"/>
  <c r="F10" i="18"/>
  <c r="AF26" i="30"/>
  <c r="AG27" i="30" s="1"/>
  <c r="R12" i="20"/>
  <c r="R4" i="20"/>
  <c r="R13" i="20"/>
  <c r="S12" i="20"/>
  <c r="S5" i="20"/>
  <c r="S10" i="20"/>
  <c r="R5" i="20"/>
  <c r="R10" i="20"/>
  <c r="R3" i="20"/>
  <c r="R7" i="20"/>
  <c r="R9" i="20"/>
  <c r="S7" i="20"/>
  <c r="S9" i="20"/>
  <c r="S3" i="20"/>
  <c r="S4" i="20"/>
  <c r="R8" i="20"/>
  <c r="S8" i="20"/>
  <c r="S13" i="20"/>
  <c r="R6" i="20"/>
  <c r="R11" i="20"/>
  <c r="S11" i="20"/>
  <c r="N5" i="18"/>
  <c r="Q5" i="18" s="1"/>
  <c r="F11" i="20"/>
  <c r="H11" i="20" s="1"/>
  <c r="I11" i="20" s="1"/>
  <c r="X3" i="20"/>
  <c r="D3" i="20" s="1"/>
  <c r="D15" i="20" s="1"/>
  <c r="F10" i="20"/>
  <c r="H10" i="20" s="1"/>
  <c r="I10" i="20" s="1"/>
  <c r="F4" i="20"/>
  <c r="H4" i="20" s="1"/>
  <c r="I4" i="20" s="1"/>
  <c r="E5" i="20"/>
  <c r="H5" i="20" s="1"/>
  <c r="I5" i="20" s="1"/>
  <c r="E6" i="20"/>
  <c r="F6" i="20"/>
  <c r="E13" i="20"/>
  <c r="H13" i="20" s="1"/>
  <c r="I13" i="20" s="1"/>
  <c r="F7" i="20"/>
  <c r="H7" i="20" s="1"/>
  <c r="I7" i="20" s="1"/>
  <c r="F9" i="20"/>
  <c r="H9" i="20" s="1"/>
  <c r="I9" i="20" s="1"/>
  <c r="E8" i="20"/>
  <c r="H8" i="20" s="1"/>
  <c r="I8" i="20" s="1"/>
  <c r="F3" i="20"/>
  <c r="F12" i="20"/>
  <c r="H12" i="20" s="1"/>
  <c r="I12" i="20" s="1"/>
  <c r="N9" i="18"/>
  <c r="M6" i="21"/>
  <c r="J7" i="18"/>
  <c r="N16" i="18"/>
  <c r="F5" i="21"/>
  <c r="L6" i="21"/>
  <c r="G6" i="21"/>
  <c r="N4" i="21"/>
  <c r="N5" i="21"/>
  <c r="T4" i="22"/>
  <c r="B4" i="22" s="1"/>
  <c r="E4" i="22" s="1"/>
  <c r="S5" i="22"/>
  <c r="F16" i="18"/>
  <c r="L16" i="18"/>
  <c r="J16" i="18"/>
  <c r="L5" i="19"/>
  <c r="F4" i="21"/>
  <c r="L14" i="18"/>
  <c r="Q14" i="18" s="1"/>
  <c r="K5" i="19"/>
  <c r="E5" i="19"/>
  <c r="H15" i="18"/>
  <c r="E15" i="18"/>
  <c r="D15" i="18"/>
  <c r="I15" i="18"/>
  <c r="I5" i="19"/>
  <c r="H14" i="20"/>
  <c r="I14" i="20" s="1"/>
  <c r="F14" i="18"/>
  <c r="R8" i="19"/>
  <c r="Q7" i="19"/>
  <c r="B7" i="19" s="1"/>
  <c r="C6" i="19"/>
  <c r="D6" i="19"/>
  <c r="G6" i="19"/>
  <c r="H6" i="19"/>
  <c r="I6" i="21"/>
  <c r="D6" i="21"/>
  <c r="K6" i="21"/>
  <c r="E6" i="21"/>
  <c r="J6" i="21"/>
  <c r="O8" i="22"/>
  <c r="P8" i="22" s="1"/>
  <c r="Q8" i="22" s="1"/>
  <c r="N9" i="22"/>
  <c r="U9" i="30"/>
  <c r="R8" i="30"/>
  <c r="S9" i="30" s="1"/>
  <c r="Q12" i="18" l="1"/>
  <c r="AJ26" i="30"/>
  <c r="X9" i="30"/>
  <c r="Y9" i="30"/>
  <c r="V10" i="30"/>
  <c r="W10" i="30"/>
  <c r="AI27" i="30"/>
  <c r="AH27" i="30"/>
  <c r="O15" i="18"/>
  <c r="Q7" i="18"/>
  <c r="M15" i="18"/>
  <c r="Q10" i="18"/>
  <c r="Q11" i="18"/>
  <c r="Q8" i="18"/>
  <c r="H17" i="18"/>
  <c r="Q6" i="18"/>
  <c r="C4" i="22"/>
  <c r="D4" i="22"/>
  <c r="Q9" i="18"/>
  <c r="AF27" i="30"/>
  <c r="AG28" i="30" s="1"/>
  <c r="H6" i="20"/>
  <c r="I6" i="20" s="1"/>
  <c r="P5" i="21"/>
  <c r="F6" i="21"/>
  <c r="Q16" i="18"/>
  <c r="N6" i="21"/>
  <c r="I6" i="19"/>
  <c r="P4" i="21"/>
  <c r="F15" i="20"/>
  <c r="D11" i="30" s="1"/>
  <c r="H3" i="20"/>
  <c r="E15" i="20"/>
  <c r="S6" i="22"/>
  <c r="T5" i="22"/>
  <c r="B5" i="22" s="1"/>
  <c r="E5" i="22" s="1"/>
  <c r="C7" i="19"/>
  <c r="D7" i="19"/>
  <c r="G7" i="19"/>
  <c r="H7" i="19"/>
  <c r="J15" i="18"/>
  <c r="J17" i="18" s="1"/>
  <c r="I17" i="18"/>
  <c r="Q8" i="19"/>
  <c r="B8" i="19" s="1"/>
  <c r="R9" i="19"/>
  <c r="L15" i="18"/>
  <c r="F15" i="18"/>
  <c r="F17" i="18" s="1"/>
  <c r="N15" i="18"/>
  <c r="N17" i="18" s="1"/>
  <c r="E17" i="18"/>
  <c r="L6" i="19"/>
  <c r="K6" i="19"/>
  <c r="E6" i="19"/>
  <c r="D17" i="18"/>
  <c r="M5" i="19"/>
  <c r="N10" i="22"/>
  <c r="O9" i="22"/>
  <c r="P9" i="22" s="1"/>
  <c r="Q9" i="22" s="1"/>
  <c r="U10" i="30"/>
  <c r="R9" i="30"/>
  <c r="S10" i="30" s="1"/>
  <c r="AJ27" i="30" l="1"/>
  <c r="Z10" i="30"/>
  <c r="V11" i="30"/>
  <c r="W11" i="30"/>
  <c r="Z11" i="30" s="1"/>
  <c r="X10" i="30"/>
  <c r="Y10" i="30"/>
  <c r="AI28" i="30"/>
  <c r="AH28" i="30"/>
  <c r="O17" i="18"/>
  <c r="M17" i="18"/>
  <c r="C5" i="22"/>
  <c r="D5" i="22"/>
  <c r="AF28" i="30"/>
  <c r="AG29" i="30" s="1"/>
  <c r="P6" i="21"/>
  <c r="L7" i="19"/>
  <c r="I7" i="19"/>
  <c r="M6" i="19"/>
  <c r="Q15" i="18"/>
  <c r="Q17" i="18" s="1"/>
  <c r="L17" i="18"/>
  <c r="H8" i="19"/>
  <c r="C8" i="19"/>
  <c r="D8" i="19"/>
  <c r="G8" i="19"/>
  <c r="E7" i="19"/>
  <c r="K7" i="19"/>
  <c r="T6" i="22"/>
  <c r="B6" i="22" s="1"/>
  <c r="E6" i="22" s="1"/>
  <c r="S7" i="22"/>
  <c r="B5" i="30"/>
  <c r="H15" i="20"/>
  <c r="R10" i="19"/>
  <c r="Q9" i="19"/>
  <c r="B9" i="19" s="1"/>
  <c r="I3" i="20"/>
  <c r="G3" i="20"/>
  <c r="D4" i="20" s="1"/>
  <c r="G4" i="20" s="1"/>
  <c r="D5" i="20" s="1"/>
  <c r="G5" i="20" s="1"/>
  <c r="D6" i="20" s="1"/>
  <c r="G6" i="20" s="1"/>
  <c r="D7" i="20" s="1"/>
  <c r="G7" i="20" s="1"/>
  <c r="D8" i="20" s="1"/>
  <c r="G8" i="20" s="1"/>
  <c r="D9" i="20" s="1"/>
  <c r="G9" i="20" s="1"/>
  <c r="D10" i="20" s="1"/>
  <c r="G10" i="20" s="1"/>
  <c r="D11" i="20" s="1"/>
  <c r="G11" i="20" s="1"/>
  <c r="D12" i="20" s="1"/>
  <c r="G12" i="20" s="1"/>
  <c r="D13" i="20" s="1"/>
  <c r="G13" i="20" s="1"/>
  <c r="D14" i="20" s="1"/>
  <c r="G14" i="20" s="1"/>
  <c r="N11" i="22"/>
  <c r="O10" i="22"/>
  <c r="P10" i="22" s="1"/>
  <c r="Q10" i="22" s="1"/>
  <c r="U11" i="30"/>
  <c r="R10" i="30"/>
  <c r="S11" i="30" s="1"/>
  <c r="AH29" i="30" l="1"/>
  <c r="AI29" i="30"/>
  <c r="X11" i="30"/>
  <c r="Y11" i="30"/>
  <c r="W12" i="30"/>
  <c r="Z12" i="30" s="1"/>
  <c r="V12" i="30"/>
  <c r="AJ28" i="30"/>
  <c r="C6" i="22"/>
  <c r="D6" i="22"/>
  <c r="AF29" i="30"/>
  <c r="AG30" i="30" s="1"/>
  <c r="M7" i="19"/>
  <c r="L8" i="19"/>
  <c r="I8" i="19"/>
  <c r="I15" i="20"/>
  <c r="G15" i="20"/>
  <c r="B20" i="30" s="1"/>
  <c r="B23" i="30" s="1"/>
  <c r="T7" i="22"/>
  <c r="B7" i="22" s="1"/>
  <c r="E7" i="22" s="1"/>
  <c r="S8" i="22"/>
  <c r="K8" i="19"/>
  <c r="E8" i="19"/>
  <c r="G9" i="19"/>
  <c r="H9" i="19"/>
  <c r="C9" i="19"/>
  <c r="D9" i="19"/>
  <c r="Q10" i="19"/>
  <c r="B10" i="19" s="1"/>
  <c r="R11" i="19"/>
  <c r="O11" i="22"/>
  <c r="P11" i="22" s="1"/>
  <c r="Q11" i="22" s="1"/>
  <c r="N12" i="22"/>
  <c r="O12" i="22" s="1"/>
  <c r="P12" i="22" s="1"/>
  <c r="Q12" i="22" s="1"/>
  <c r="M2" i="22" s="1"/>
  <c r="U12" i="30"/>
  <c r="R11" i="30"/>
  <c r="S12" i="30" s="1"/>
  <c r="AJ29" i="30" l="1"/>
  <c r="X12" i="30"/>
  <c r="Y12" i="30"/>
  <c r="W13" i="30"/>
  <c r="Z13" i="30" s="1"/>
  <c r="V13" i="30"/>
  <c r="AI30" i="30"/>
  <c r="AH30" i="30"/>
  <c r="B22" i="30"/>
  <c r="D7" i="22"/>
  <c r="C7" i="22"/>
  <c r="AF30" i="30"/>
  <c r="AG31" i="30" s="1"/>
  <c r="M8" i="19"/>
  <c r="L9" i="19"/>
  <c r="H10" i="19"/>
  <c r="C10" i="19"/>
  <c r="D10" i="19"/>
  <c r="G10" i="19"/>
  <c r="K9" i="19"/>
  <c r="E9" i="19"/>
  <c r="T8" i="22"/>
  <c r="B8" i="22" s="1"/>
  <c r="E8" i="22" s="1"/>
  <c r="S9" i="22"/>
  <c r="Q11" i="19"/>
  <c r="B11" i="19" s="1"/>
  <c r="R12" i="19"/>
  <c r="I9" i="19"/>
  <c r="Z1" i="22"/>
  <c r="U13" i="30"/>
  <c r="R12" i="30"/>
  <c r="S13" i="30" s="1"/>
  <c r="AJ30" i="30" l="1"/>
  <c r="X13" i="30"/>
  <c r="Y13" i="30"/>
  <c r="AI31" i="30"/>
  <c r="AH31" i="30"/>
  <c r="W14" i="30"/>
  <c r="Z14" i="30" s="1"/>
  <c r="V14" i="30"/>
  <c r="D8" i="22"/>
  <c r="C8" i="22"/>
  <c r="AF31" i="30"/>
  <c r="AG32" i="30" s="1"/>
  <c r="AB1" i="22"/>
  <c r="AA1" i="22"/>
  <c r="M9" i="19"/>
  <c r="L10" i="19"/>
  <c r="I10" i="19"/>
  <c r="S10" i="22"/>
  <c r="T9" i="22"/>
  <c r="B9" i="22" s="1"/>
  <c r="E9" i="22" s="1"/>
  <c r="Q12" i="19"/>
  <c r="B12" i="19" s="1"/>
  <c r="R13" i="19"/>
  <c r="E10" i="19"/>
  <c r="K10" i="19"/>
  <c r="G11" i="19"/>
  <c r="H11" i="19"/>
  <c r="C11" i="19"/>
  <c r="D11" i="19"/>
  <c r="AC1" i="22"/>
  <c r="U14" i="30"/>
  <c r="R13" i="30"/>
  <c r="S14" i="30" s="1"/>
  <c r="X14" i="30" l="1"/>
  <c r="Y14" i="30"/>
  <c r="AJ31" i="30"/>
  <c r="V15" i="30"/>
  <c r="W15" i="30"/>
  <c r="Z15" i="30" s="1"/>
  <c r="AH32" i="30"/>
  <c r="AI32" i="30"/>
  <c r="D9" i="22"/>
  <c r="C9" i="22"/>
  <c r="AF32" i="30"/>
  <c r="AG33" i="30" s="1"/>
  <c r="M10" i="19"/>
  <c r="W1" i="22"/>
  <c r="F1" i="22" s="1"/>
  <c r="Q13" i="19"/>
  <c r="B13" i="19" s="1"/>
  <c r="R14" i="19"/>
  <c r="C12" i="19"/>
  <c r="D12" i="19"/>
  <c r="G12" i="19"/>
  <c r="H12" i="19"/>
  <c r="L11" i="19"/>
  <c r="K11" i="19"/>
  <c r="E11" i="19"/>
  <c r="I11" i="19"/>
  <c r="S11" i="22"/>
  <c r="T10" i="22"/>
  <c r="B10" i="22" s="1"/>
  <c r="E10" i="22" s="1"/>
  <c r="U15" i="30"/>
  <c r="R14" i="30"/>
  <c r="S15" i="30" s="1"/>
  <c r="AJ32" i="30" l="1"/>
  <c r="X15" i="30"/>
  <c r="Y15" i="30"/>
  <c r="V16" i="30"/>
  <c r="W16" i="30"/>
  <c r="Z16" i="30" s="1"/>
  <c r="AH33" i="30"/>
  <c r="AI33" i="30"/>
  <c r="D10" i="22"/>
  <c r="C10" i="22"/>
  <c r="AF33" i="30"/>
  <c r="AG34" i="30" s="1"/>
  <c r="F3" i="22"/>
  <c r="F4" i="22" s="1"/>
  <c r="F5" i="22" s="1"/>
  <c r="F6" i="22" s="1"/>
  <c r="F7" i="22" s="1"/>
  <c r="F8" i="22" s="1"/>
  <c r="F9" i="22" s="1"/>
  <c r="I18" i="22"/>
  <c r="S12" i="22"/>
  <c r="T11" i="22"/>
  <c r="B11" i="22" s="1"/>
  <c r="E11" i="22" s="1"/>
  <c r="I12" i="19"/>
  <c r="L12" i="19"/>
  <c r="K12" i="19"/>
  <c r="E12" i="19"/>
  <c r="Q14" i="19"/>
  <c r="B14" i="19" s="1"/>
  <c r="R15" i="19"/>
  <c r="D13" i="19"/>
  <c r="G13" i="19"/>
  <c r="C13" i="19"/>
  <c r="H13" i="19"/>
  <c r="M11" i="19"/>
  <c r="U16" i="30"/>
  <c r="R15" i="30"/>
  <c r="S16" i="30" s="1"/>
  <c r="AJ33" i="30" l="1"/>
  <c r="X16" i="30"/>
  <c r="Y16" i="30"/>
  <c r="V17" i="30"/>
  <c r="W17" i="30"/>
  <c r="Z17" i="30" s="1"/>
  <c r="AI34" i="30"/>
  <c r="AH34" i="30"/>
  <c r="C11" i="22"/>
  <c r="D11" i="22"/>
  <c r="AF34" i="30"/>
  <c r="AG35" i="30" s="1"/>
  <c r="M12" i="19"/>
  <c r="F10" i="22"/>
  <c r="E13" i="19"/>
  <c r="K13" i="19"/>
  <c r="L13" i="19"/>
  <c r="D14" i="19"/>
  <c r="G14" i="19"/>
  <c r="H14" i="19"/>
  <c r="C14" i="19"/>
  <c r="I13" i="19"/>
  <c r="R16" i="19"/>
  <c r="Q15" i="19"/>
  <c r="B15" i="19" s="1"/>
  <c r="T12" i="22"/>
  <c r="B12" i="22" s="1"/>
  <c r="E12" i="22" s="1"/>
  <c r="S13" i="22"/>
  <c r="U17" i="30"/>
  <c r="R16" i="30"/>
  <c r="S17" i="30" s="1"/>
  <c r="AJ34" i="30" l="1"/>
  <c r="X17" i="30"/>
  <c r="Y17" i="30"/>
  <c r="V18" i="30"/>
  <c r="W18" i="30"/>
  <c r="Z18" i="30" s="1"/>
  <c r="AI35" i="30"/>
  <c r="AH35" i="30"/>
  <c r="D12" i="22"/>
  <c r="C12" i="22"/>
  <c r="AF35" i="30"/>
  <c r="AG36" i="30" s="1"/>
  <c r="L14" i="19"/>
  <c r="F11" i="22"/>
  <c r="E14" i="19"/>
  <c r="K14" i="19"/>
  <c r="T13" i="22"/>
  <c r="B13" i="22" s="1"/>
  <c r="E13" i="22" s="1"/>
  <c r="S14" i="22"/>
  <c r="G15" i="19"/>
  <c r="C15" i="19"/>
  <c r="H15" i="19"/>
  <c r="D15" i="19"/>
  <c r="I14" i="19"/>
  <c r="Q16" i="19"/>
  <c r="B16" i="19" s="1"/>
  <c r="R17" i="19"/>
  <c r="M13" i="19"/>
  <c r="U18" i="30"/>
  <c r="R17" i="30"/>
  <c r="S18" i="30" s="1"/>
  <c r="V19" i="30" l="1"/>
  <c r="W19" i="30"/>
  <c r="Z19" i="30" s="1"/>
  <c r="AJ35" i="30"/>
  <c r="X18" i="30"/>
  <c r="Y18" i="30"/>
  <c r="AI36" i="30"/>
  <c r="AH36" i="30"/>
  <c r="M14" i="19"/>
  <c r="D13" i="22"/>
  <c r="C13" i="22"/>
  <c r="AF36" i="30"/>
  <c r="AG37" i="30" s="1"/>
  <c r="F12" i="22"/>
  <c r="I15" i="19"/>
  <c r="E15" i="19"/>
  <c r="K15" i="19"/>
  <c r="T14" i="22"/>
  <c r="B14" i="22" s="1"/>
  <c r="E14" i="22" s="1"/>
  <c r="S15" i="22"/>
  <c r="C16" i="19"/>
  <c r="D16" i="19"/>
  <c r="G16" i="19"/>
  <c r="H16" i="19"/>
  <c r="Q17" i="19"/>
  <c r="B17" i="19" s="1"/>
  <c r="R18" i="19"/>
  <c r="L15" i="19"/>
  <c r="U19" i="30"/>
  <c r="R18" i="30"/>
  <c r="S19" i="30" s="1"/>
  <c r="AJ36" i="30" l="1"/>
  <c r="AH37" i="30"/>
  <c r="AI37" i="30"/>
  <c r="W20" i="30"/>
  <c r="Z20" i="30" s="1"/>
  <c r="V20" i="30"/>
  <c r="X19" i="30"/>
  <c r="Y19" i="30"/>
  <c r="D14" i="22"/>
  <c r="C14" i="22"/>
  <c r="AF37" i="30"/>
  <c r="AG38" i="30" s="1"/>
  <c r="F13" i="22"/>
  <c r="Q18" i="19"/>
  <c r="B18" i="19" s="1"/>
  <c r="R19" i="19"/>
  <c r="G17" i="19"/>
  <c r="C17" i="19"/>
  <c r="H17" i="19"/>
  <c r="D17" i="19"/>
  <c r="T15" i="22"/>
  <c r="B15" i="22" s="1"/>
  <c r="E15" i="22" s="1"/>
  <c r="S16" i="22"/>
  <c r="I16" i="19"/>
  <c r="L16" i="19"/>
  <c r="M15" i="19"/>
  <c r="E16" i="19"/>
  <c r="K16" i="19"/>
  <c r="U20" i="30"/>
  <c r="R19" i="30"/>
  <c r="S20" i="30" s="1"/>
  <c r="AJ37" i="30" l="1"/>
  <c r="X20" i="30"/>
  <c r="Y20" i="30"/>
  <c r="W21" i="30"/>
  <c r="Z21" i="30" s="1"/>
  <c r="V21" i="30"/>
  <c r="AI38" i="30"/>
  <c r="AH38" i="30"/>
  <c r="D15" i="22"/>
  <c r="C15" i="22"/>
  <c r="AF38" i="30"/>
  <c r="AG39" i="30" s="1"/>
  <c r="L17" i="19"/>
  <c r="F14" i="22"/>
  <c r="M16" i="19"/>
  <c r="T16" i="22"/>
  <c r="B16" i="22" s="1"/>
  <c r="E16" i="22" s="1"/>
  <c r="S17" i="22"/>
  <c r="E17" i="19"/>
  <c r="K17" i="19"/>
  <c r="I17" i="19"/>
  <c r="R20" i="19"/>
  <c r="Q19" i="19"/>
  <c r="B19" i="19" s="1"/>
  <c r="C18" i="19"/>
  <c r="D18" i="19"/>
  <c r="H18" i="19"/>
  <c r="G18" i="19"/>
  <c r="U21" i="30"/>
  <c r="R20" i="30"/>
  <c r="S21" i="30" s="1"/>
  <c r="AJ38" i="30" l="1"/>
  <c r="X21" i="30"/>
  <c r="Y21" i="30"/>
  <c r="W22" i="30"/>
  <c r="Z22" i="30" s="1"/>
  <c r="V22" i="30"/>
  <c r="AI39" i="30"/>
  <c r="AH39" i="30"/>
  <c r="D16" i="22"/>
  <c r="C16" i="22"/>
  <c r="AF39" i="30"/>
  <c r="AG40" i="30" s="1"/>
  <c r="M17" i="19"/>
  <c r="F15" i="22"/>
  <c r="I18" i="19"/>
  <c r="D19" i="19"/>
  <c r="G19" i="19"/>
  <c r="H19" i="19"/>
  <c r="C19" i="19"/>
  <c r="Q20" i="19"/>
  <c r="B20" i="19" s="1"/>
  <c r="R21" i="19"/>
  <c r="T17" i="22"/>
  <c r="B17" i="22" s="1"/>
  <c r="E17" i="22" s="1"/>
  <c r="S18" i="22"/>
  <c r="L18" i="19"/>
  <c r="K18" i="19"/>
  <c r="E18" i="19"/>
  <c r="U22" i="30"/>
  <c r="R21" i="30"/>
  <c r="S22" i="30" s="1"/>
  <c r="W23" i="30" l="1"/>
  <c r="Z23" i="30" s="1"/>
  <c r="V23" i="30"/>
  <c r="AJ39" i="30"/>
  <c r="X22" i="30"/>
  <c r="Y22" i="30"/>
  <c r="AH40" i="30"/>
  <c r="AI40" i="30"/>
  <c r="D17" i="22"/>
  <c r="C17" i="22"/>
  <c r="AF40" i="30"/>
  <c r="AG41" i="30" s="1"/>
  <c r="M18" i="19"/>
  <c r="F16" i="22"/>
  <c r="Q21" i="19"/>
  <c r="B21" i="19" s="1"/>
  <c r="R22" i="19"/>
  <c r="G20" i="19"/>
  <c r="C20" i="19"/>
  <c r="H20" i="19"/>
  <c r="D20" i="19"/>
  <c r="E19" i="19"/>
  <c r="K19" i="19"/>
  <c r="I19" i="19"/>
  <c r="L19" i="19"/>
  <c r="S19" i="22"/>
  <c r="T18" i="22"/>
  <c r="B18" i="22" s="1"/>
  <c r="E18" i="22" s="1"/>
  <c r="U23" i="30"/>
  <c r="R22" i="30"/>
  <c r="S23" i="30" s="1"/>
  <c r="AJ40" i="30" l="1"/>
  <c r="AH41" i="30"/>
  <c r="AI41" i="30"/>
  <c r="X23" i="30"/>
  <c r="Y23" i="30"/>
  <c r="V24" i="30"/>
  <c r="W24" i="30"/>
  <c r="Z24" i="30" s="1"/>
  <c r="C18" i="22"/>
  <c r="D18" i="22"/>
  <c r="AF41" i="30"/>
  <c r="AG42" i="30" s="1"/>
  <c r="L20" i="19"/>
  <c r="M19" i="19"/>
  <c r="F17" i="22"/>
  <c r="E20" i="19"/>
  <c r="K20" i="19"/>
  <c r="I20" i="19"/>
  <c r="T19" i="22"/>
  <c r="B19" i="22" s="1"/>
  <c r="E19" i="22" s="1"/>
  <c r="S20" i="22"/>
  <c r="Q22" i="19"/>
  <c r="B22" i="19" s="1"/>
  <c r="R23" i="19"/>
  <c r="C21" i="19"/>
  <c r="G21" i="19"/>
  <c r="D21" i="19"/>
  <c r="H21" i="19"/>
  <c r="U24" i="30"/>
  <c r="R23" i="30"/>
  <c r="S24" i="30" s="1"/>
  <c r="AJ41" i="30" l="1"/>
  <c r="X24" i="30"/>
  <c r="Y24" i="30"/>
  <c r="V25" i="30"/>
  <c r="W25" i="30"/>
  <c r="Z25" i="30" s="1"/>
  <c r="AI42" i="30"/>
  <c r="AH42" i="30"/>
  <c r="M20" i="19"/>
  <c r="C19" i="22"/>
  <c r="D19" i="22"/>
  <c r="AF42" i="30"/>
  <c r="AG43" i="30" s="1"/>
  <c r="F18" i="22"/>
  <c r="Q23" i="19"/>
  <c r="B23" i="19" s="1"/>
  <c r="R24" i="19"/>
  <c r="D22" i="19"/>
  <c r="H22" i="19"/>
  <c r="C22" i="19"/>
  <c r="G22" i="19"/>
  <c r="L21" i="19"/>
  <c r="T20" i="22"/>
  <c r="B20" i="22" s="1"/>
  <c r="E20" i="22" s="1"/>
  <c r="S21" i="22"/>
  <c r="I21" i="19"/>
  <c r="K21" i="19"/>
  <c r="E21" i="19"/>
  <c r="U25" i="30"/>
  <c r="R24" i="30"/>
  <c r="S25" i="30" s="1"/>
  <c r="AJ42" i="30" l="1"/>
  <c r="V26" i="30"/>
  <c r="W26" i="30"/>
  <c r="Z26" i="30" s="1"/>
  <c r="X25" i="30"/>
  <c r="Y25" i="30"/>
  <c r="AI43" i="30"/>
  <c r="AH43" i="30"/>
  <c r="C20" i="22"/>
  <c r="D20" i="22"/>
  <c r="AF43" i="30"/>
  <c r="AG44" i="30" s="1"/>
  <c r="M21" i="19"/>
  <c r="I22" i="19"/>
  <c r="F19" i="22"/>
  <c r="K22" i="19"/>
  <c r="E22" i="19"/>
  <c r="L22" i="19"/>
  <c r="Q24" i="19"/>
  <c r="B24" i="19" s="1"/>
  <c r="R25" i="19"/>
  <c r="S22" i="22"/>
  <c r="T21" i="22"/>
  <c r="B21" i="22" s="1"/>
  <c r="E21" i="22" s="1"/>
  <c r="D23" i="19"/>
  <c r="H23" i="19"/>
  <c r="C23" i="19"/>
  <c r="G23" i="19"/>
  <c r="U26" i="30"/>
  <c r="R25" i="30"/>
  <c r="S26" i="30" s="1"/>
  <c r="AJ43" i="30" l="1"/>
  <c r="AI44" i="30"/>
  <c r="AH44" i="30"/>
  <c r="X26" i="30"/>
  <c r="Y26" i="30"/>
  <c r="V27" i="30"/>
  <c r="W27" i="30"/>
  <c r="Z27" i="30" s="1"/>
  <c r="D21" i="22"/>
  <c r="C21" i="22"/>
  <c r="AF44" i="30"/>
  <c r="AG45" i="30" s="1"/>
  <c r="I23" i="19"/>
  <c r="L23" i="19"/>
  <c r="F20" i="22"/>
  <c r="H24" i="19"/>
  <c r="C24" i="19"/>
  <c r="G24" i="19"/>
  <c r="D24" i="19"/>
  <c r="E23" i="19"/>
  <c r="K23" i="19"/>
  <c r="M22" i="19"/>
  <c r="S23" i="22"/>
  <c r="T22" i="22"/>
  <c r="B22" i="22" s="1"/>
  <c r="E22" i="22" s="1"/>
  <c r="R26" i="19"/>
  <c r="Q25" i="19"/>
  <c r="B25" i="19" s="1"/>
  <c r="U27" i="30"/>
  <c r="R26" i="30"/>
  <c r="S27" i="30" s="1"/>
  <c r="W28" i="30" l="1"/>
  <c r="Z28" i="30" s="1"/>
  <c r="V28" i="30"/>
  <c r="X27" i="30"/>
  <c r="Y27" i="30"/>
  <c r="AJ44" i="30"/>
  <c r="AH45" i="30"/>
  <c r="AI45" i="30"/>
  <c r="D22" i="22"/>
  <c r="C22" i="22"/>
  <c r="AF45" i="30"/>
  <c r="AG46" i="30" s="1"/>
  <c r="M23" i="19"/>
  <c r="L24" i="19"/>
  <c r="I24" i="19"/>
  <c r="F21" i="22"/>
  <c r="G25" i="19"/>
  <c r="H25" i="19"/>
  <c r="D25" i="19"/>
  <c r="C25" i="19"/>
  <c r="R27" i="19"/>
  <c r="Q26" i="19"/>
  <c r="B26" i="19" s="1"/>
  <c r="S24" i="22"/>
  <c r="T23" i="22"/>
  <c r="B23" i="22" s="1"/>
  <c r="E23" i="22" s="1"/>
  <c r="E24" i="19"/>
  <c r="K24" i="19"/>
  <c r="U28" i="30"/>
  <c r="R27" i="30"/>
  <c r="S28" i="30" s="1"/>
  <c r="AJ45" i="30" l="1"/>
  <c r="AI46" i="30"/>
  <c r="AH46" i="30"/>
  <c r="X28" i="30"/>
  <c r="Y28" i="30"/>
  <c r="W29" i="30"/>
  <c r="Z29" i="30" s="1"/>
  <c r="V29" i="30"/>
  <c r="D23" i="22"/>
  <c r="C23" i="22"/>
  <c r="AF46" i="30"/>
  <c r="M24" i="19"/>
  <c r="F22" i="22"/>
  <c r="I25" i="19"/>
  <c r="L25" i="19"/>
  <c r="G26" i="19"/>
  <c r="H26" i="19"/>
  <c r="C26" i="19"/>
  <c r="D26" i="19"/>
  <c r="Q27" i="19"/>
  <c r="B27" i="19" s="1"/>
  <c r="R28" i="19"/>
  <c r="K25" i="19"/>
  <c r="E25" i="19"/>
  <c r="T24" i="22"/>
  <c r="B24" i="22" s="1"/>
  <c r="E24" i="22" s="1"/>
  <c r="S25" i="22"/>
  <c r="U29" i="30"/>
  <c r="R28" i="30"/>
  <c r="S29" i="30" s="1"/>
  <c r="AJ46" i="30" l="1"/>
  <c r="X29" i="30"/>
  <c r="Y29" i="30"/>
  <c r="W30" i="30"/>
  <c r="Z30" i="30" s="1"/>
  <c r="V30" i="30"/>
  <c r="D24" i="22"/>
  <c r="C24" i="22"/>
  <c r="M25" i="19"/>
  <c r="F23" i="22"/>
  <c r="L26" i="19"/>
  <c r="T25" i="22"/>
  <c r="B25" i="22" s="1"/>
  <c r="E25" i="22" s="1"/>
  <c r="S26" i="22"/>
  <c r="R29" i="19"/>
  <c r="Q28" i="19"/>
  <c r="B28" i="19" s="1"/>
  <c r="C27" i="19"/>
  <c r="D27" i="19"/>
  <c r="G27" i="19"/>
  <c r="H27" i="19"/>
  <c r="K26" i="19"/>
  <c r="E26" i="19"/>
  <c r="I26" i="19"/>
  <c r="U30" i="30"/>
  <c r="R29" i="30"/>
  <c r="S30" i="30" s="1"/>
  <c r="X30" i="30" l="1"/>
  <c r="Y30" i="30"/>
  <c r="V31" i="30"/>
  <c r="W31" i="30"/>
  <c r="Z31" i="30" s="1"/>
  <c r="D25" i="22"/>
  <c r="C25" i="22"/>
  <c r="M26" i="19"/>
  <c r="F24" i="22"/>
  <c r="G28" i="19"/>
  <c r="H28" i="19"/>
  <c r="D28" i="19"/>
  <c r="C28" i="19"/>
  <c r="Q29" i="19"/>
  <c r="B29" i="19" s="1"/>
  <c r="R30" i="19"/>
  <c r="I27" i="19"/>
  <c r="S27" i="22"/>
  <c r="T26" i="22"/>
  <c r="B26" i="22" s="1"/>
  <c r="E26" i="22" s="1"/>
  <c r="L27" i="19"/>
  <c r="E27" i="19"/>
  <c r="K27" i="19"/>
  <c r="U31" i="30"/>
  <c r="R30" i="30"/>
  <c r="S31" i="30" s="1"/>
  <c r="X31" i="30" l="1"/>
  <c r="Y31" i="30"/>
  <c r="V32" i="30"/>
  <c r="W32" i="30"/>
  <c r="Z32" i="30" s="1"/>
  <c r="D26" i="22"/>
  <c r="C26" i="22"/>
  <c r="M27" i="19"/>
  <c r="L28" i="19"/>
  <c r="I28" i="19"/>
  <c r="F25" i="22"/>
  <c r="T27" i="22"/>
  <c r="B27" i="22" s="1"/>
  <c r="E27" i="22" s="1"/>
  <c r="S28" i="22"/>
  <c r="Q30" i="19"/>
  <c r="B30" i="19" s="1"/>
  <c r="R31" i="19"/>
  <c r="D29" i="19"/>
  <c r="G29" i="19"/>
  <c r="C29" i="19"/>
  <c r="H29" i="19"/>
  <c r="E28" i="19"/>
  <c r="K28" i="19"/>
  <c r="U32" i="30"/>
  <c r="R31" i="30"/>
  <c r="S32" i="30" s="1"/>
  <c r="X32" i="30" l="1"/>
  <c r="Y32" i="30"/>
  <c r="V33" i="30"/>
  <c r="W33" i="30"/>
  <c r="Z33" i="30" s="1"/>
  <c r="C27" i="22"/>
  <c r="D27" i="22"/>
  <c r="M28" i="19"/>
  <c r="L29" i="19"/>
  <c r="I29" i="19"/>
  <c r="F26" i="22"/>
  <c r="K29" i="19"/>
  <c r="E29" i="19"/>
  <c r="Q31" i="19"/>
  <c r="B31" i="19" s="1"/>
  <c r="R32" i="19"/>
  <c r="H30" i="19"/>
  <c r="C30" i="19"/>
  <c r="G30" i="19"/>
  <c r="D30" i="19"/>
  <c r="T28" i="22"/>
  <c r="B28" i="22" s="1"/>
  <c r="E28" i="22" s="1"/>
  <c r="S29" i="22"/>
  <c r="U33" i="30"/>
  <c r="R32" i="30"/>
  <c r="S33" i="30" s="1"/>
  <c r="M29" i="19" l="1"/>
  <c r="X33" i="30"/>
  <c r="Y33" i="30"/>
  <c r="V34" i="30"/>
  <c r="W34" i="30"/>
  <c r="Z34" i="30" s="1"/>
  <c r="D28" i="22"/>
  <c r="C28" i="22"/>
  <c r="L30" i="19"/>
  <c r="I30" i="19"/>
  <c r="F27" i="22"/>
  <c r="K30" i="19"/>
  <c r="E30" i="19"/>
  <c r="R33" i="19"/>
  <c r="Q32" i="19"/>
  <c r="B32" i="19" s="1"/>
  <c r="H31" i="19"/>
  <c r="C31" i="19"/>
  <c r="D31" i="19"/>
  <c r="G31" i="19"/>
  <c r="S30" i="22"/>
  <c r="T29" i="22"/>
  <c r="B29" i="22" s="1"/>
  <c r="E29" i="22" s="1"/>
  <c r="U34" i="30"/>
  <c r="R33" i="30"/>
  <c r="S34" i="30" s="1"/>
  <c r="V35" i="30" l="1"/>
  <c r="W35" i="30"/>
  <c r="Z35" i="30" s="1"/>
  <c r="M30" i="19"/>
  <c r="X34" i="30"/>
  <c r="Y34" i="30"/>
  <c r="D29" i="22"/>
  <c r="C29" i="22"/>
  <c r="I31" i="19"/>
  <c r="L31" i="19"/>
  <c r="F28" i="22"/>
  <c r="K31" i="19"/>
  <c r="E31" i="19"/>
  <c r="H32" i="19"/>
  <c r="C32" i="19"/>
  <c r="D32" i="19"/>
  <c r="G32" i="19"/>
  <c r="R34" i="19"/>
  <c r="Q33" i="19"/>
  <c r="B33" i="19" s="1"/>
  <c r="T30" i="22"/>
  <c r="B30" i="22" s="1"/>
  <c r="E30" i="22" s="1"/>
  <c r="S31" i="22"/>
  <c r="U35" i="30"/>
  <c r="R34" i="30"/>
  <c r="S35" i="30" s="1"/>
  <c r="W36" i="30" l="1"/>
  <c r="Z36" i="30" s="1"/>
  <c r="V36" i="30"/>
  <c r="X35" i="30"/>
  <c r="Y35" i="30"/>
  <c r="M31" i="19"/>
  <c r="D30" i="22"/>
  <c r="C30" i="22"/>
  <c r="L32" i="19"/>
  <c r="I32" i="19"/>
  <c r="F29" i="22"/>
  <c r="Q34" i="19"/>
  <c r="B34" i="19" s="1"/>
  <c r="R35" i="19"/>
  <c r="Q35" i="19" s="1"/>
  <c r="B35" i="19" s="1"/>
  <c r="S32" i="22"/>
  <c r="T31" i="22"/>
  <c r="B31" i="22" s="1"/>
  <c r="E31" i="22" s="1"/>
  <c r="K32" i="19"/>
  <c r="E32" i="19"/>
  <c r="G33" i="19"/>
  <c r="H33" i="19"/>
  <c r="C33" i="19"/>
  <c r="D33" i="19"/>
  <c r="U36" i="30"/>
  <c r="R35" i="30"/>
  <c r="S36" i="30" s="1"/>
  <c r="W37" i="30" l="1"/>
  <c r="Z37" i="30" s="1"/>
  <c r="V37" i="30"/>
  <c r="X36" i="30"/>
  <c r="Y36" i="30"/>
  <c r="M32" i="19"/>
  <c r="D31" i="22"/>
  <c r="C31" i="22"/>
  <c r="L33" i="19"/>
  <c r="F30" i="22"/>
  <c r="S33" i="22"/>
  <c r="T33" i="22" s="1"/>
  <c r="B33" i="22" s="1"/>
  <c r="E33" i="22" s="1"/>
  <c r="T32" i="22"/>
  <c r="B32" i="22" s="1"/>
  <c r="E32" i="22" s="1"/>
  <c r="I33" i="19"/>
  <c r="K33" i="19"/>
  <c r="E33" i="19"/>
  <c r="C35" i="19"/>
  <c r="H35" i="19"/>
  <c r="D35" i="19"/>
  <c r="G35" i="19"/>
  <c r="C34" i="19"/>
  <c r="D34" i="19"/>
  <c r="G34" i="19"/>
  <c r="H34" i="19"/>
  <c r="U37" i="30"/>
  <c r="R36" i="30"/>
  <c r="S37" i="30" s="1"/>
  <c r="W38" i="30" l="1"/>
  <c r="Z38" i="30" s="1"/>
  <c r="V38" i="30"/>
  <c r="X37" i="30"/>
  <c r="Y37" i="30"/>
  <c r="M33" i="19"/>
  <c r="D32" i="22"/>
  <c r="C32" i="22"/>
  <c r="D33" i="22"/>
  <c r="C33" i="22"/>
  <c r="D36" i="19"/>
  <c r="L35" i="19"/>
  <c r="I35" i="19"/>
  <c r="F31" i="22"/>
  <c r="H36" i="19"/>
  <c r="K35" i="19"/>
  <c r="E35" i="19"/>
  <c r="I34" i="19"/>
  <c r="E34" i="19"/>
  <c r="K34" i="19"/>
  <c r="L34" i="19"/>
  <c r="G36" i="19"/>
  <c r="C36" i="19"/>
  <c r="U38" i="30"/>
  <c r="R37" i="30"/>
  <c r="S38" i="30" s="1"/>
  <c r="V39" i="30" l="1"/>
  <c r="W39" i="30"/>
  <c r="Z39" i="30" s="1"/>
  <c r="X38" i="30"/>
  <c r="Y38" i="30"/>
  <c r="I36" i="19"/>
  <c r="M35" i="19"/>
  <c r="L36" i="19"/>
  <c r="F32" i="22"/>
  <c r="F33" i="22" s="1"/>
  <c r="E36" i="19"/>
  <c r="I22" i="22"/>
  <c r="I24" i="22"/>
  <c r="K36" i="19"/>
  <c r="M34" i="19"/>
  <c r="I20" i="22"/>
  <c r="U39" i="30"/>
  <c r="R38" i="30"/>
  <c r="S39" i="30" s="1"/>
  <c r="V40" i="30" l="1"/>
  <c r="W40" i="30"/>
  <c r="Z40" i="30" s="1"/>
  <c r="X39" i="30"/>
  <c r="Y39" i="30"/>
  <c r="M36" i="19"/>
  <c r="H16" i="22"/>
  <c r="U40" i="30"/>
  <c r="R39" i="30"/>
  <c r="S40" i="30" s="1"/>
  <c r="V41" i="30" l="1"/>
  <c r="W41" i="30"/>
  <c r="Z41" i="30" s="1"/>
  <c r="X40" i="30"/>
  <c r="Y40" i="30"/>
  <c r="U41" i="30"/>
  <c r="R40" i="30"/>
  <c r="S41" i="30" s="1"/>
  <c r="V42" i="30" l="1"/>
  <c r="W42" i="30"/>
  <c r="Z42" i="30" s="1"/>
  <c r="X41" i="30"/>
  <c r="Y41" i="30"/>
  <c r="U42" i="30"/>
  <c r="R41" i="30"/>
  <c r="S42" i="30" s="1"/>
  <c r="V43" i="30" l="1"/>
  <c r="W43" i="30"/>
  <c r="Z43" i="30" s="1"/>
  <c r="X42" i="30"/>
  <c r="Y42" i="30"/>
  <c r="U43" i="30"/>
  <c r="R42" i="30"/>
  <c r="S43" i="30" s="1"/>
  <c r="W44" i="30" l="1"/>
  <c r="Z44" i="30" s="1"/>
  <c r="V44" i="30"/>
  <c r="X43" i="30"/>
  <c r="Y43" i="30"/>
  <c r="U44" i="30"/>
  <c r="R43" i="30"/>
  <c r="S44" i="30" s="1"/>
  <c r="W45" i="30" l="1"/>
  <c r="Z45" i="30" s="1"/>
  <c r="V45" i="30"/>
  <c r="X44" i="30"/>
  <c r="Y44" i="30"/>
  <c r="U45" i="30"/>
  <c r="R44" i="30"/>
  <c r="S45" i="30" s="1"/>
  <c r="W46" i="30" l="1"/>
  <c r="AD1" i="25" s="1"/>
  <c r="Q1" i="25" s="1"/>
  <c r="V46" i="30"/>
  <c r="X45" i="30"/>
  <c r="Y45" i="30"/>
  <c r="U46" i="30"/>
  <c r="R45" i="30"/>
  <c r="S46" i="30" s="1"/>
  <c r="X46" i="30" l="1"/>
  <c r="Y46" i="30"/>
  <c r="Z46" i="30"/>
  <c r="AB1" i="30"/>
  <c r="R46" i="30"/>
  <c r="AD1" i="30" l="1"/>
  <c r="AC1" i="30"/>
  <c r="K2" i="31"/>
  <c r="J3" i="31"/>
  <c r="K3" i="31" l="1"/>
  <c r="L3" i="31"/>
  <c r="L4" i="31"/>
  <c r="M4" i="31" l="1"/>
  <c r="M3" i="31"/>
  <c r="L5" i="31"/>
  <c r="M5" i="31" l="1"/>
  <c r="L6" i="31"/>
  <c r="M6" i="31" l="1"/>
  <c r="L7" i="31"/>
  <c r="L8" i="31"/>
  <c r="M8" i="31" l="1"/>
  <c r="M7" i="31"/>
  <c r="L9" i="31"/>
  <c r="M9" i="31" l="1"/>
  <c r="L10" i="31"/>
  <c r="M10" i="31" l="1"/>
  <c r="J4" i="31"/>
  <c r="J5" i="31"/>
  <c r="L11" i="31"/>
  <c r="L12" i="31"/>
  <c r="M12" i="31" l="1"/>
  <c r="M11" i="31"/>
  <c r="K5" i="31"/>
  <c r="K4" i="31"/>
  <c r="J6" i="31"/>
  <c r="J7" i="31"/>
  <c r="L13" i="31"/>
  <c r="L14" i="31"/>
  <c r="M14" i="31" l="1"/>
  <c r="K7" i="31"/>
  <c r="M13" i="31"/>
  <c r="K6" i="31"/>
  <c r="J8" i="31"/>
  <c r="J9" i="31"/>
  <c r="K9" i="31" l="1"/>
  <c r="K8" i="31"/>
  <c r="L15" i="31"/>
  <c r="M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50" i="31"/>
  <c r="L51" i="31"/>
  <c r="L52" i="31"/>
  <c r="L53" i="31"/>
  <c r="L54" i="31"/>
  <c r="L55" i="31"/>
  <c r="L56" i="31"/>
  <c r="L57" i="31"/>
  <c r="L58" i="31"/>
  <c r="L59" i="31"/>
  <c r="L60" i="31"/>
  <c r="L61" i="31"/>
  <c r="L62" i="31"/>
  <c r="L63" i="31"/>
  <c r="L64" i="31"/>
  <c r="L65" i="31"/>
  <c r="L66" i="31"/>
  <c r="L67" i="31"/>
  <c r="L68" i="31"/>
  <c r="L69" i="31"/>
  <c r="L70" i="31"/>
  <c r="L71" i="31"/>
  <c r="L72" i="31"/>
  <c r="L73" i="31"/>
  <c r="L74" i="31"/>
  <c r="L75" i="31"/>
  <c r="L76" i="31"/>
  <c r="L77" i="31"/>
  <c r="L78" i="31"/>
  <c r="L79" i="31"/>
  <c r="L80" i="31"/>
  <c r="L81" i="31"/>
  <c r="L82" i="31"/>
  <c r="L83" i="31"/>
  <c r="L84" i="31"/>
  <c r="L85" i="31"/>
  <c r="L86" i="31"/>
  <c r="L87" i="31"/>
  <c r="L88" i="31"/>
  <c r="L89" i="31"/>
  <c r="L90" i="31"/>
  <c r="L91" i="31"/>
  <c r="L92" i="31"/>
  <c r="L93" i="31"/>
  <c r="L94" i="31"/>
  <c r="L95" i="31"/>
  <c r="L96" i="31"/>
  <c r="L97" i="31"/>
  <c r="L98" i="31"/>
  <c r="L99" i="31"/>
  <c r="L100" i="31"/>
  <c r="L101" i="31"/>
  <c r="L102" i="31"/>
  <c r="L103" i="31"/>
  <c r="L104" i="31"/>
  <c r="L105" i="31"/>
  <c r="L106" i="31"/>
  <c r="L107" i="31"/>
  <c r="L108" i="31"/>
  <c r="L109" i="31"/>
  <c r="L110" i="31"/>
  <c r="L111" i="31"/>
  <c r="L112" i="31"/>
  <c r="L113" i="31"/>
  <c r="L114" i="31"/>
  <c r="L115" i="31"/>
  <c r="L116" i="31"/>
  <c r="L117" i="31"/>
  <c r="L118" i="31"/>
  <c r="L119" i="31"/>
  <c r="L120" i="31"/>
  <c r="L121" i="31"/>
  <c r="L122" i="31"/>
  <c r="L123" i="31"/>
  <c r="L124" i="31"/>
  <c r="L125" i="31"/>
  <c r="L126" i="31"/>
  <c r="L127" i="31"/>
  <c r="L128" i="31"/>
  <c r="L129" i="31"/>
  <c r="L130" i="31"/>
  <c r="L131" i="31"/>
  <c r="L132" i="31"/>
  <c r="L133" i="31"/>
  <c r="L134" i="31"/>
  <c r="L135" i="31"/>
  <c r="L136" i="31"/>
  <c r="L137" i="31"/>
  <c r="L138" i="31"/>
  <c r="L139" i="31"/>
  <c r="L140" i="31"/>
  <c r="L141" i="31"/>
  <c r="L142" i="31"/>
  <c r="L143" i="31"/>
  <c r="L144" i="31"/>
  <c r="L145" i="31"/>
  <c r="L146" i="31"/>
  <c r="L147" i="31"/>
  <c r="L148" i="31"/>
  <c r="L149" i="31"/>
  <c r="L150" i="31"/>
  <c r="L151" i="31"/>
  <c r="M1" i="31"/>
  <c r="Q2" i="31" s="1"/>
  <c r="M21" i="31"/>
  <c r="M25" i="31"/>
  <c r="M29" i="31"/>
  <c r="M33" i="31"/>
  <c r="M37" i="31"/>
  <c r="M41" i="31"/>
  <c r="M45" i="31"/>
  <c r="M49" i="31"/>
  <c r="M53" i="31"/>
  <c r="M57" i="31"/>
  <c r="M61" i="31"/>
  <c r="M65" i="31"/>
  <c r="M69" i="31"/>
  <c r="M73" i="31"/>
  <c r="M77" i="31"/>
  <c r="M81" i="31"/>
  <c r="M85" i="31"/>
  <c r="M89" i="31"/>
  <c r="M93" i="31"/>
  <c r="M97" i="31"/>
  <c r="M101" i="31"/>
  <c r="M105" i="31"/>
  <c r="M109" i="31"/>
  <c r="M113" i="31"/>
  <c r="M117" i="31"/>
  <c r="M121" i="31"/>
  <c r="M125" i="31"/>
  <c r="M129" i="31"/>
  <c r="M133" i="31"/>
  <c r="M137" i="31"/>
  <c r="M141" i="31"/>
  <c r="M145" i="31"/>
  <c r="M149" i="31"/>
  <c r="J10" i="31"/>
  <c r="Q1" i="31" l="1"/>
  <c r="K10" i="31"/>
  <c r="M18" i="31"/>
  <c r="M22" i="31"/>
  <c r="M26" i="31"/>
  <c r="M30" i="31"/>
  <c r="M34" i="31"/>
  <c r="M38" i="31"/>
  <c r="M42" i="31"/>
  <c r="M46" i="31"/>
  <c r="M50" i="31"/>
  <c r="M54" i="31"/>
  <c r="M58" i="31"/>
  <c r="M62" i="31"/>
  <c r="M66" i="31"/>
  <c r="M70" i="31"/>
  <c r="M74" i="31"/>
  <c r="M78" i="31"/>
  <c r="M82" i="31"/>
  <c r="M86" i="31"/>
  <c r="M90" i="31"/>
  <c r="M94" i="31"/>
  <c r="M98" i="31"/>
  <c r="M102" i="31"/>
  <c r="M106" i="31"/>
  <c r="M110" i="31"/>
  <c r="M114" i="31"/>
  <c r="M118" i="31"/>
  <c r="M122" i="31"/>
  <c r="M126" i="31"/>
  <c r="M130" i="31"/>
  <c r="M134" i="31"/>
  <c r="M138" i="31"/>
  <c r="M142" i="31"/>
  <c r="M146" i="31"/>
  <c r="M150" i="31"/>
  <c r="J11" i="31"/>
  <c r="K11" i="31"/>
  <c r="M19" i="31"/>
  <c r="M27" i="31"/>
  <c r="M35" i="31"/>
  <c r="M43" i="31"/>
  <c r="M51" i="31"/>
  <c r="M59" i="31"/>
  <c r="M67" i="31"/>
  <c r="M75" i="31"/>
  <c r="M83" i="31"/>
  <c r="M91" i="31"/>
  <c r="M99" i="31"/>
  <c r="M107" i="31"/>
  <c r="M115" i="31"/>
  <c r="M123" i="31"/>
  <c r="M131" i="31"/>
  <c r="M139" i="31"/>
  <c r="M147" i="31"/>
  <c r="J12" i="31"/>
  <c r="K12" i="31"/>
  <c r="M23" i="31"/>
  <c r="M31" i="31"/>
  <c r="M39" i="31"/>
  <c r="M47" i="31"/>
  <c r="M55" i="31"/>
  <c r="M63" i="31"/>
  <c r="M71" i="31"/>
  <c r="M79" i="31"/>
  <c r="M87" i="31"/>
  <c r="M95" i="31"/>
  <c r="M103" i="31"/>
  <c r="M111" i="31"/>
  <c r="M127" i="31"/>
  <c r="M143" i="31"/>
  <c r="M16" i="31"/>
  <c r="M20" i="31"/>
  <c r="M28" i="31"/>
  <c r="M36" i="31"/>
  <c r="M44" i="31"/>
  <c r="M52" i="31"/>
  <c r="M60" i="31"/>
  <c r="M68" i="31"/>
  <c r="M76" i="31"/>
  <c r="M84" i="31"/>
  <c r="M92" i="31"/>
  <c r="M100" i="31"/>
  <c r="M108" i="31"/>
  <c r="M116" i="31"/>
  <c r="M124" i="31"/>
  <c r="M132" i="31"/>
  <c r="M140" i="31"/>
  <c r="M148" i="31"/>
  <c r="J13" i="31"/>
  <c r="K13" i="31"/>
  <c r="M119" i="31"/>
  <c r="M135" i="31"/>
  <c r="M151" i="31"/>
  <c r="M17" i="31"/>
  <c r="M48" i="31"/>
  <c r="M80" i="31"/>
  <c r="M112" i="31"/>
  <c r="M144" i="31"/>
  <c r="M136" i="31"/>
  <c r="M24" i="31"/>
  <c r="M56" i="31"/>
  <c r="M88" i="31"/>
  <c r="M120" i="31"/>
  <c r="M32" i="31"/>
  <c r="M64" i="31"/>
  <c r="M96" i="31"/>
  <c r="M128" i="31"/>
  <c r="M40" i="31"/>
  <c r="M72" i="31"/>
  <c r="M104" i="31"/>
  <c r="J14" i="31"/>
  <c r="J15" i="31"/>
  <c r="J16" i="31"/>
  <c r="J17" i="31"/>
  <c r="J18" i="31"/>
  <c r="J19" i="31"/>
  <c r="J20" i="31"/>
  <c r="J21" i="31"/>
  <c r="J22" i="31"/>
  <c r="J23" i="31"/>
  <c r="J24" i="31"/>
  <c r="J25" i="31"/>
  <c r="J26" i="31"/>
  <c r="J27" i="31"/>
  <c r="J28" i="31"/>
  <c r="J29" i="31"/>
  <c r="J30" i="31"/>
  <c r="J31" i="31"/>
  <c r="J32" i="31"/>
  <c r="J33" i="31"/>
  <c r="J34" i="31"/>
  <c r="J35" i="31"/>
  <c r="J36" i="31"/>
  <c r="J37" i="31"/>
  <c r="J38" i="3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92" i="31"/>
  <c r="J93" i="31"/>
  <c r="J94" i="31"/>
  <c r="J95" i="31"/>
  <c r="J96" i="31"/>
  <c r="J97" i="31"/>
  <c r="J98" i="31"/>
  <c r="J99" i="31"/>
  <c r="J100" i="31"/>
  <c r="J101" i="31"/>
  <c r="J102" i="31"/>
  <c r="J103" i="31"/>
  <c r="J104" i="31"/>
  <c r="J105" i="31"/>
  <c r="J106" i="31"/>
  <c r="J107" i="31"/>
  <c r="J108" i="31"/>
  <c r="J109" i="31"/>
  <c r="J110" i="31"/>
  <c r="J111" i="31"/>
  <c r="J112" i="31"/>
  <c r="J113" i="31"/>
  <c r="J114" i="31"/>
  <c r="J115" i="31"/>
  <c r="J116" i="31"/>
  <c r="J117" i="31"/>
  <c r="J118" i="31"/>
  <c r="J119" i="31"/>
  <c r="J120" i="31"/>
  <c r="J121" i="31"/>
  <c r="J122" i="31"/>
  <c r="J123" i="31"/>
  <c r="J124" i="31"/>
  <c r="J125" i="31"/>
  <c r="J126" i="31"/>
  <c r="J127" i="31"/>
  <c r="J128" i="31"/>
  <c r="J129" i="31"/>
  <c r="J130" i="31"/>
  <c r="J131" i="31"/>
  <c r="J132" i="31"/>
  <c r="J133" i="31"/>
  <c r="J134" i="31"/>
  <c r="J135" i="31"/>
  <c r="J136" i="31"/>
  <c r="J137" i="31"/>
  <c r="J138" i="31"/>
  <c r="J139" i="31"/>
  <c r="J140" i="31"/>
  <c r="J141" i="31"/>
  <c r="J142" i="31"/>
  <c r="J143" i="31"/>
  <c r="J144" i="31"/>
  <c r="J145" i="31"/>
  <c r="J146" i="31"/>
  <c r="J147" i="31"/>
  <c r="J148" i="31"/>
  <c r="J149" i="31"/>
  <c r="J150" i="31"/>
  <c r="J151" i="31"/>
  <c r="K1" i="31"/>
  <c r="O2" i="31" s="1"/>
  <c r="K121" i="31"/>
  <c r="K57" i="31"/>
  <c r="K145" i="31"/>
  <c r="K113" i="31"/>
  <c r="K81" i="31"/>
  <c r="K49" i="31"/>
  <c r="K17" i="31"/>
  <c r="K25" i="31"/>
  <c r="K137" i="31"/>
  <c r="K105" i="31"/>
  <c r="K73" i="31"/>
  <c r="K41" i="31"/>
  <c r="K89" i="31"/>
  <c r="K129" i="31"/>
  <c r="K97" i="31"/>
  <c r="K65" i="31"/>
  <c r="K33" i="31"/>
  <c r="K136" i="31"/>
  <c r="K120" i="31"/>
  <c r="K104" i="31"/>
  <c r="K88" i="31"/>
  <c r="K72" i="31"/>
  <c r="K56" i="31"/>
  <c r="K40" i="31"/>
  <c r="K24" i="31"/>
  <c r="K149" i="31"/>
  <c r="K141" i="31"/>
  <c r="K133" i="31"/>
  <c r="K125" i="31"/>
  <c r="K117" i="31"/>
  <c r="K109" i="31"/>
  <c r="K101" i="31"/>
  <c r="K93" i="31"/>
  <c r="K85" i="31"/>
  <c r="K77" i="31"/>
  <c r="K69" i="31"/>
  <c r="K61" i="31"/>
  <c r="K53" i="31"/>
  <c r="K45" i="31"/>
  <c r="K37" i="31"/>
  <c r="K29" i="31"/>
  <c r="K21" i="31"/>
  <c r="K144" i="31"/>
  <c r="K128" i="31"/>
  <c r="K112" i="31"/>
  <c r="K96" i="31"/>
  <c r="K80" i="31"/>
  <c r="K64" i="31"/>
  <c r="K48" i="31"/>
  <c r="K32" i="31"/>
  <c r="K16" i="31"/>
  <c r="K148" i="31"/>
  <c r="K140" i="31"/>
  <c r="K132" i="31"/>
  <c r="K124" i="31"/>
  <c r="K116" i="31"/>
  <c r="K108" i="31"/>
  <c r="K100" i="31"/>
  <c r="K92" i="31"/>
  <c r="K84" i="31"/>
  <c r="K76" i="31"/>
  <c r="K68" i="31"/>
  <c r="K60" i="31"/>
  <c r="K52" i="31"/>
  <c r="K44" i="31"/>
  <c r="K36" i="31"/>
  <c r="K28" i="31"/>
  <c r="K20" i="31"/>
  <c r="K151" i="31"/>
  <c r="K147" i="31"/>
  <c r="K143" i="31"/>
  <c r="K139" i="31"/>
  <c r="K135" i="31"/>
  <c r="K131" i="31"/>
  <c r="K127" i="31"/>
  <c r="K123" i="31"/>
  <c r="K119" i="31"/>
  <c r="K115" i="31"/>
  <c r="K111" i="31"/>
  <c r="K107" i="31"/>
  <c r="K103" i="31"/>
  <c r="K99" i="31"/>
  <c r="K95" i="31"/>
  <c r="K91" i="31"/>
  <c r="K87" i="31"/>
  <c r="K83" i="31"/>
  <c r="K79" i="31"/>
  <c r="K75" i="31"/>
  <c r="K71" i="31"/>
  <c r="K67" i="31"/>
  <c r="K63" i="31"/>
  <c r="K59" i="31"/>
  <c r="K55" i="31"/>
  <c r="K51" i="31"/>
  <c r="K47" i="31"/>
  <c r="K43" i="31"/>
  <c r="K39" i="31"/>
  <c r="K35" i="31"/>
  <c r="K31" i="31"/>
  <c r="K27" i="31"/>
  <c r="K23" i="31"/>
  <c r="K19" i="31"/>
  <c r="K15" i="31"/>
  <c r="K150" i="31"/>
  <c r="K146" i="31"/>
  <c r="K142" i="31"/>
  <c r="K138" i="31"/>
  <c r="K134" i="31"/>
  <c r="K130" i="31"/>
  <c r="K126" i="31"/>
  <c r="K122" i="31"/>
  <c r="K118" i="31"/>
  <c r="K114" i="31"/>
  <c r="K110" i="31"/>
  <c r="K106" i="31"/>
  <c r="K102" i="31"/>
  <c r="K98" i="31"/>
  <c r="K94" i="31"/>
  <c r="K90" i="31"/>
  <c r="K86" i="31"/>
  <c r="K82" i="31"/>
  <c r="K78" i="31"/>
  <c r="K74" i="31"/>
  <c r="K70" i="31"/>
  <c r="K66" i="31"/>
  <c r="K62" i="31"/>
  <c r="K58" i="31"/>
  <c r="K54" i="31"/>
  <c r="K50" i="31"/>
  <c r="K46" i="31"/>
  <c r="K42" i="31"/>
  <c r="K38" i="31"/>
  <c r="K34" i="31"/>
  <c r="K30" i="31"/>
  <c r="K26" i="31"/>
  <c r="K22" i="31"/>
  <c r="K18" i="31"/>
  <c r="K14" i="31"/>
  <c r="O1" i="31" l="1"/>
</calcChain>
</file>

<file path=xl/sharedStrings.xml><?xml version="1.0" encoding="utf-8"?>
<sst xmlns="http://schemas.openxmlformats.org/spreadsheetml/2006/main" count="474" uniqueCount="183">
  <si>
    <t>Versão:</t>
  </si>
  <si>
    <t>id</t>
  </si>
  <si>
    <t>Grupo de Contas</t>
  </si>
  <si>
    <t>Conta</t>
  </si>
  <si>
    <t>Centro de Custo</t>
  </si>
  <si>
    <t>Caixa ou Banco</t>
  </si>
  <si>
    <t>Saldo inicial</t>
  </si>
  <si>
    <t>Forma de Pagamento</t>
  </si>
  <si>
    <t>ID</t>
  </si>
  <si>
    <t>CNPJ ou  CPF</t>
  </si>
  <si>
    <t>Estado</t>
  </si>
  <si>
    <t>Cidade</t>
  </si>
  <si>
    <t>Endereço</t>
  </si>
  <si>
    <t>Telefone</t>
  </si>
  <si>
    <t>Email</t>
  </si>
  <si>
    <t>Observações</t>
  </si>
  <si>
    <t>-</t>
  </si>
  <si>
    <t>Nome Cliente</t>
  </si>
  <si>
    <t>Nome Fornecedor</t>
  </si>
  <si>
    <t>Data Lançamento</t>
  </si>
  <si>
    <t xml:space="preserve">Grupo de Contas </t>
  </si>
  <si>
    <t>Forma Pagamento</t>
  </si>
  <si>
    <t>Cliente ou Fornecedor</t>
  </si>
  <si>
    <t>Valor</t>
  </si>
  <si>
    <t>Data Vencimento</t>
  </si>
  <si>
    <t>Data  Pagamento</t>
  </si>
  <si>
    <t>PREVISTO</t>
  </si>
  <si>
    <t>REALIZADO</t>
  </si>
  <si>
    <t>EM ATRASO</t>
  </si>
  <si>
    <t>SALDO</t>
  </si>
  <si>
    <t>RECEITAS</t>
  </si>
  <si>
    <t>DESPESAS</t>
  </si>
  <si>
    <t>TOTAIS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</si>
  <si>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</si>
  <si>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</si>
  <si>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</si>
  <si>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</si>
  <si>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</si>
  <si>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</si>
  <si>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</si>
  <si>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</si>
  <si>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</si>
  <si>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</si>
  <si>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</si>
  <si>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</si>
  <si>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Previsto Versus Realizado Ano</t>
  </si>
  <si>
    <t>Ano:</t>
  </si>
  <si>
    <t>A RECEBER</t>
  </si>
  <si>
    <t>A PAGAR</t>
  </si>
  <si>
    <t>SALDOS BANCOS</t>
  </si>
  <si>
    <t>Necessidade de Caixa</t>
  </si>
  <si>
    <t>Todos</t>
  </si>
  <si>
    <t>Saldo Inicial</t>
  </si>
  <si>
    <t>MOVI</t>
  </si>
  <si>
    <t>TANSF</t>
  </si>
  <si>
    <t>Saldo_Atual</t>
  </si>
  <si>
    <t>Previsto Versus Realizado</t>
  </si>
  <si>
    <t>Mês:</t>
  </si>
  <si>
    <t>DRE - RESUMO</t>
  </si>
  <si>
    <t>Centro de Custo:</t>
  </si>
  <si>
    <t>Receitas</t>
  </si>
  <si>
    <t>Despesas</t>
  </si>
  <si>
    <t>Total</t>
  </si>
  <si>
    <t>Lucro</t>
  </si>
  <si>
    <t>Lucratividade</t>
  </si>
  <si>
    <t>DRE DETALHADO</t>
  </si>
  <si>
    <t>Total Receita</t>
  </si>
  <si>
    <t>Total Despesa</t>
  </si>
  <si>
    <t>Receitas - Grupo de Contas</t>
  </si>
  <si>
    <t>Receitas - Contas</t>
  </si>
  <si>
    <t>Despesas - Grupo de Contas</t>
  </si>
  <si>
    <t>Despesas - Contas</t>
  </si>
  <si>
    <t>Saldo inicial:</t>
  </si>
  <si>
    <t>Ano</t>
  </si>
  <si>
    <t>Receita</t>
  </si>
  <si>
    <t>Despesa</t>
  </si>
  <si>
    <t>Transferência</t>
  </si>
  <si>
    <t>Resultado do dia</t>
  </si>
  <si>
    <t>Conciliação Bancária</t>
  </si>
  <si>
    <t>Mês</t>
  </si>
  <si>
    <t>Caixa:</t>
  </si>
  <si>
    <t>Resultado</t>
  </si>
  <si>
    <t>Transferências</t>
  </si>
  <si>
    <t>Descrição</t>
  </si>
  <si>
    <t>Caixa</t>
  </si>
  <si>
    <t>Cliente / Fornecedor</t>
  </si>
  <si>
    <t>Data Pagamento</t>
  </si>
  <si>
    <t>Saldo</t>
  </si>
  <si>
    <t>Lançamentos de Receitas</t>
  </si>
  <si>
    <t>Cliente ou Fornecedor?</t>
  </si>
  <si>
    <t>Nome</t>
  </si>
  <si>
    <t>Data de Vencimento</t>
  </si>
  <si>
    <t>Data de Pagamento</t>
  </si>
  <si>
    <t>Lançamentos de Despesas</t>
  </si>
  <si>
    <t>Lançamentos de Transferências entre Caixa/Banco</t>
  </si>
  <si>
    <t>Caixa ou Banco Saida</t>
  </si>
  <si>
    <t>Caixa ou Banco Entrada</t>
  </si>
  <si>
    <t>CADASTRO_06</t>
  </si>
  <si>
    <t>CADASTRO DE CLIENTES</t>
  </si>
  <si>
    <t>CADASTRO_07</t>
  </si>
  <si>
    <t>CADASTRO DE FORNECEDORES</t>
  </si>
  <si>
    <t>CADASTRO_01</t>
  </si>
  <si>
    <t>CADASTRO CONTAS DE RECEITAS</t>
  </si>
  <si>
    <t>GRUPO DE CONTAS</t>
  </si>
  <si>
    <t>CONTA</t>
  </si>
  <si>
    <t>CADASTRO_02</t>
  </si>
  <si>
    <t>CADASTRO CONTAS DE DESPESAS</t>
  </si>
  <si>
    <t>CADASTRO_03</t>
  </si>
  <si>
    <t>CADASTRO CENTRO DE CUSTO</t>
  </si>
  <si>
    <t>CENTRO DE CUSTO</t>
  </si>
  <si>
    <t>CADASTRO_04</t>
  </si>
  <si>
    <t>CADASTRO DE CAIXA OU BANCO</t>
  </si>
  <si>
    <t>CAIXA OU BANCO</t>
  </si>
  <si>
    <t>SALDO INICIAL</t>
  </si>
  <si>
    <t>CADASTRO_05</t>
  </si>
  <si>
    <t>CADASTRO FORMAS DE PAGAMENTO</t>
  </si>
  <si>
    <t/>
  </si>
  <si>
    <t xml:space="preserve">Nome </t>
  </si>
  <si>
    <t>CNPJ OU CPF</t>
  </si>
  <si>
    <t>NOVO GRUPO RECEITAS</t>
  </si>
  <si>
    <t>REC 2</t>
  </si>
  <si>
    <t>Parcela</t>
  </si>
  <si>
    <t>Dias Recebimento</t>
  </si>
  <si>
    <t>Parcelas</t>
  </si>
  <si>
    <t>Taxa de intermediação</t>
  </si>
  <si>
    <t>Tarifa Fixa por Transação</t>
  </si>
  <si>
    <t>Taxa de Parcelamento ao mês</t>
  </si>
  <si>
    <t>FACEBOOK</t>
  </si>
  <si>
    <t>RAFAEL CONTADOR</t>
  </si>
  <si>
    <t>LUAN REDATOR</t>
  </si>
  <si>
    <t>IMPOSTO</t>
  </si>
  <si>
    <t>RELATORIO_03</t>
  </si>
  <si>
    <t>C1:I17</t>
  </si>
  <si>
    <t>RELATORIO_01</t>
  </si>
  <si>
    <t>xlPortrait</t>
  </si>
  <si>
    <t xml:space="preserve">xlLandscape </t>
  </si>
  <si>
    <t>Relatório Previsto Versus Realizado - Ano</t>
  </si>
  <si>
    <t>RELATORIO_02</t>
  </si>
  <si>
    <t>Relatório Previsto Versus Realizado - Mês</t>
  </si>
  <si>
    <t>B1:H36</t>
  </si>
  <si>
    <t>Relatório DRE - Ano</t>
  </si>
  <si>
    <t>RELATORIO_04</t>
  </si>
  <si>
    <t>Relatório DRE - Detalhado</t>
  </si>
  <si>
    <t>RELATORIO_05</t>
  </si>
  <si>
    <t>Relatório Resumo Conciliação Bancária</t>
  </si>
  <si>
    <t>B2:I33</t>
  </si>
  <si>
    <t>RELATORIO_06</t>
  </si>
  <si>
    <t>RELATORIO_07</t>
  </si>
  <si>
    <t>Relatório Movimento por Centro de Custo</t>
  </si>
  <si>
    <t>RELATORIO_08</t>
  </si>
  <si>
    <t>Relatório Fluxo de Caixa</t>
  </si>
  <si>
    <t>Tipo:</t>
  </si>
  <si>
    <t>Real</t>
  </si>
  <si>
    <t>Projetado</t>
  </si>
  <si>
    <t>Tipo</t>
  </si>
  <si>
    <t>Visão:</t>
  </si>
  <si>
    <t>RELATORIO_09</t>
  </si>
  <si>
    <t>Dash 1</t>
  </si>
  <si>
    <t>Dash 2</t>
  </si>
  <si>
    <t>Entradas</t>
  </si>
  <si>
    <t>Saidas</t>
  </si>
  <si>
    <t>Lançadas</t>
  </si>
  <si>
    <t>Quitadas</t>
  </si>
  <si>
    <t>Em Aberto</t>
  </si>
  <si>
    <t>RELATORIO_10</t>
  </si>
  <si>
    <t>Saídas</t>
  </si>
  <si>
    <t>Quitados</t>
  </si>
  <si>
    <t>Forma de Pagamentos</t>
  </si>
  <si>
    <t>RELATORIO_11</t>
  </si>
  <si>
    <t>Movimentação</t>
  </si>
  <si>
    <t>Tipo de Movimento</t>
  </si>
  <si>
    <t>Indentificação</t>
  </si>
  <si>
    <t>SIM</t>
  </si>
  <si>
    <t>NÃO</t>
  </si>
  <si>
    <t>DISPERSÃO</t>
  </si>
  <si>
    <t>DIF TT</t>
  </si>
  <si>
    <t>C1:Q17</t>
  </si>
  <si>
    <t>PROJETADO</t>
  </si>
  <si>
    <t>RELATORIO_12</t>
  </si>
  <si>
    <t>M.C. AUTOMACAO E SERVICOS LTDA</t>
  </si>
  <si>
    <t>BANCO ITAÚ</t>
  </si>
  <si>
    <t>Dinheiro</t>
  </si>
  <si>
    <t>8.15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</si>
</sst>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&quot;R$&quot;\ #,##0.00"/>
    <numFmt numFmtId="166" formatCode="#,##0.00_ ;\-#,##0.00\ "/>
    <numFmt numFmtId="167" formatCode="[$-416]d;@"/>
    <numFmt numFmtId="168" formatCode="0.0%"/>
    <numFmt numFmtId="169" formatCode="&quot;R$&quot;#,##0.00"/>
  </numFmts>
  <fonts count="5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4" tint="0.3999755851924192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6"/>
      <color rgb="FFFF5050"/>
      <name val="Calibri"/>
      <family val="2"/>
      <scheme val="minor"/>
    </font>
    <font>
      <b/>
      <sz val="16"/>
      <color theme="1" tint="0.499984740745262"/>
      <name val="Calibri"/>
      <family val="2"/>
      <scheme val="minor"/>
    </font>
    <font>
      <b/>
      <sz val="12"/>
      <color rgb="FFFF505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FF7C8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48"/>
      <color theme="0"/>
      <name val="Arial Black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827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n">
        <color theme="0" tint="-4.9989318521683403E-2"/>
      </top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4.9989318521683403E-2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4.9989318521683403E-2"/>
      </bottom>
      <diagonal/>
    </border>
    <border>
      <left style="medium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4.9989318521683403E-2"/>
      </bottom>
      <diagonal/>
    </border>
    <border>
      <left style="medium">
        <color indexed="64"/>
      </left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 style="medium">
        <color indexed="64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0" fontId="31" fillId="0" borderId="0" applyNumberFormat="0" applyFill="0" applyBorder="0" applyAlignment="0" applyProtection="0"/>
  </cellStyleXfs>
  <cellXfs count="320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2" fillId="3" borderId="0" xfId="0" applyFont="1" applyFill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7" fillId="0" borderId="0" xfId="3" applyFont="1"/>
    <xf numFmtId="0" fontId="7" fillId="0" borderId="0" xfId="3" applyFont="1" applyAlignment="1">
      <alignment wrapText="1"/>
    </xf>
    <xf numFmtId="0" fontId="6" fillId="0" borderId="0" xfId="3" applyAlignment="1">
      <alignment horizontal="center" wrapText="1"/>
    </xf>
    <xf numFmtId="0" fontId="8" fillId="0" borderId="0" xfId="3" applyFont="1" applyProtection="1">
      <protection locked="0"/>
    </xf>
    <xf numFmtId="0" fontId="6" fillId="0" borderId="0" xfId="3" applyAlignment="1">
      <alignment horizontal="center"/>
    </xf>
    <xf numFmtId="4" fontId="0" fillId="0" borderId="1" xfId="0" applyNumberFormat="1" applyBorder="1" applyAlignment="1">
      <alignment horizontal="center" vertical="center"/>
    </xf>
    <xf numFmtId="0" fontId="9" fillId="0" borderId="0" xfId="3" applyFont="1" applyAlignment="1">
      <alignment horizontal="center" vertical="center"/>
    </xf>
    <xf numFmtId="14" fontId="6" fillId="0" borderId="0" xfId="3" applyNumberFormat="1" applyAlignment="1">
      <alignment horizontal="center" vertical="center"/>
    </xf>
    <xf numFmtId="0" fontId="8" fillId="0" borderId="0" xfId="3" applyFont="1" applyAlignment="1">
      <alignment horizontal="center"/>
    </xf>
    <xf numFmtId="0" fontId="6" fillId="0" borderId="0" xfId="3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top"/>
    </xf>
    <xf numFmtId="14" fontId="0" fillId="2" borderId="0" xfId="0" applyNumberFormat="1" applyFill="1" applyAlignment="1">
      <alignment horizontal="left"/>
    </xf>
    <xf numFmtId="0" fontId="0" fillId="2" borderId="2" xfId="0" applyFill="1" applyBorder="1"/>
    <xf numFmtId="44" fontId="0" fillId="2" borderId="2" xfId="1" applyFont="1" applyFill="1" applyBorder="1"/>
    <xf numFmtId="166" fontId="0" fillId="2" borderId="2" xfId="1" applyNumberFormat="1" applyFont="1" applyFill="1" applyBorder="1"/>
    <xf numFmtId="164" fontId="0" fillId="2" borderId="2" xfId="0" applyNumberFormat="1" applyFill="1" applyBorder="1"/>
    <xf numFmtId="0" fontId="9" fillId="2" borderId="2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2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4" fontId="0" fillId="2" borderId="0" xfId="0" applyNumberFormat="1" applyFill="1"/>
    <xf numFmtId="14" fontId="0" fillId="0" borderId="0" xfId="0" quotePrefix="1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6" fillId="0" borderId="0" xfId="3" applyAlignment="1">
      <alignment wrapText="1"/>
    </xf>
    <xf numFmtId="0" fontId="8" fillId="0" borderId="0" xfId="3" applyFont="1" applyAlignment="1" applyProtection="1">
      <alignment horizontal="center" wrapText="1"/>
      <protection locked="0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3" fontId="3" fillId="5" borderId="0" xfId="0" applyNumberFormat="1" applyFont="1" applyFill="1" applyAlignment="1">
      <alignment horizontal="center"/>
    </xf>
    <xf numFmtId="0" fontId="8" fillId="0" borderId="0" xfId="3" applyFont="1" applyAlignment="1" applyProtection="1">
      <alignment horizontal="center"/>
      <protection locked="0"/>
    </xf>
    <xf numFmtId="0" fontId="6" fillId="0" borderId="0" xfId="3"/>
    <xf numFmtId="167" fontId="1" fillId="5" borderId="3" xfId="0" applyNumberFormat="1" applyFont="1" applyFill="1" applyBorder="1" applyAlignment="1">
      <alignment horizontal="center" vertical="center"/>
    </xf>
    <xf numFmtId="4" fontId="0" fillId="8" borderId="1" xfId="0" applyNumberFormat="1" applyFill="1" applyBorder="1" applyAlignment="1">
      <alignment horizontal="center"/>
    </xf>
    <xf numFmtId="4" fontId="8" fillId="5" borderId="1" xfId="0" applyNumberFormat="1" applyFont="1" applyFill="1" applyBorder="1" applyAlignment="1">
      <alignment horizontal="center"/>
    </xf>
    <xf numFmtId="167" fontId="0" fillId="0" borderId="0" xfId="0" applyNumberFormat="1" applyAlignment="1">
      <alignment horizontal="center" vertical="center"/>
    </xf>
    <xf numFmtId="4" fontId="8" fillId="5" borderId="0" xfId="3" applyNumberFormat="1" applyFont="1" applyFill="1" applyAlignment="1">
      <alignment horizontal="center"/>
    </xf>
    <xf numFmtId="0" fontId="6" fillId="0" borderId="0" xfId="3" applyAlignment="1">
      <alignment horizontal="left" vertical="top"/>
    </xf>
    <xf numFmtId="0" fontId="6" fillId="0" borderId="0" xfId="3" applyAlignment="1">
      <alignment horizontal="center" vertical="center" wrapText="1"/>
    </xf>
    <xf numFmtId="0" fontId="6" fillId="0" borderId="0" xfId="3" applyAlignment="1">
      <alignment vertical="center"/>
    </xf>
    <xf numFmtId="0" fontId="11" fillId="0" borderId="0" xfId="3" applyFont="1" applyAlignment="1">
      <alignment horizontal="left" vertical="center"/>
    </xf>
    <xf numFmtId="0" fontId="4" fillId="0" borderId="0" xfId="3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165" fontId="5" fillId="5" borderId="1" xfId="0" applyNumberFormat="1" applyFont="1" applyFill="1" applyBorder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4" fontId="1" fillId="5" borderId="1" xfId="0" applyNumberFormat="1" applyFont="1" applyFill="1" applyBorder="1" applyAlignment="1">
      <alignment horizontal="center" vertical="center"/>
    </xf>
    <xf numFmtId="168" fontId="0" fillId="0" borderId="1" xfId="2" applyNumberFormat="1" applyFont="1" applyBorder="1" applyAlignment="1">
      <alignment horizontal="center" vertical="center"/>
    </xf>
    <xf numFmtId="4" fontId="3" fillId="5" borderId="1" xfId="0" applyNumberFormat="1" applyFont="1" applyFill="1" applyBorder="1" applyAlignment="1">
      <alignment horizontal="center" vertical="center" wrapText="1"/>
    </xf>
    <xf numFmtId="4" fontId="3" fillId="5" borderId="1" xfId="0" applyNumberFormat="1" applyFont="1" applyFill="1" applyBorder="1" applyAlignment="1">
      <alignment horizontal="center" vertical="center"/>
    </xf>
    <xf numFmtId="0" fontId="6" fillId="0" borderId="0" xfId="3" applyAlignment="1">
      <alignment horizontal="left" vertical="center" wrapText="1"/>
    </xf>
    <xf numFmtId="0" fontId="7" fillId="0" borderId="0" xfId="3" applyFont="1" applyAlignment="1">
      <alignment vertical="center"/>
    </xf>
    <xf numFmtId="169" fontId="4" fillId="0" borderId="0" xfId="3" applyNumberFormat="1" applyFont="1" applyAlignment="1">
      <alignment horizontal="center" vertical="center"/>
    </xf>
    <xf numFmtId="0" fontId="8" fillId="0" borderId="0" xfId="3" applyFont="1" applyAlignment="1" applyProtection="1">
      <alignment horizontal="center" vertical="center"/>
      <protection locked="0"/>
    </xf>
    <xf numFmtId="4" fontId="6" fillId="0" borderId="0" xfId="3" applyNumberFormat="1" applyAlignment="1">
      <alignment horizontal="center" vertical="center"/>
    </xf>
    <xf numFmtId="0" fontId="14" fillId="0" borderId="0" xfId="3" applyFont="1" applyAlignment="1">
      <alignment horizontal="center"/>
    </xf>
    <xf numFmtId="0" fontId="15" fillId="0" borderId="0" xfId="3" applyFont="1" applyAlignment="1">
      <alignment horizontal="center"/>
    </xf>
    <xf numFmtId="0" fontId="8" fillId="0" borderId="0" xfId="3" applyFont="1" applyAlignment="1">
      <alignment vertical="center"/>
    </xf>
    <xf numFmtId="0" fontId="6" fillId="0" borderId="0" xfId="3" applyAlignment="1">
      <alignment horizontal="left"/>
    </xf>
    <xf numFmtId="165" fontId="5" fillId="5" borderId="1" xfId="0" applyNumberFormat="1" applyFont="1" applyFill="1" applyBorder="1" applyAlignment="1" applyProtection="1">
      <alignment horizontal="center" vertical="center"/>
      <protection hidden="1"/>
    </xf>
    <xf numFmtId="0" fontId="15" fillId="0" borderId="0" xfId="3" applyFont="1" applyAlignment="1">
      <alignment horizontal="left" vertical="center"/>
    </xf>
    <xf numFmtId="0" fontId="6" fillId="8" borderId="1" xfId="0" applyFont="1" applyFill="1" applyBorder="1" applyAlignment="1">
      <alignment horizontal="right" vertical="center" wrapText="1"/>
    </xf>
    <xf numFmtId="4" fontId="15" fillId="0" borderId="1" xfId="3" applyNumberFormat="1" applyFont="1" applyBorder="1" applyAlignment="1">
      <alignment horizontal="center" vertical="center"/>
    </xf>
    <xf numFmtId="4" fontId="16" fillId="8" borderId="1" xfId="0" applyNumberFormat="1" applyFont="1" applyFill="1" applyBorder="1" applyAlignment="1">
      <alignment horizontal="center" vertical="center"/>
    </xf>
    <xf numFmtId="0" fontId="15" fillId="0" borderId="0" xfId="3" applyFont="1" applyAlignment="1">
      <alignment horizontal="left"/>
    </xf>
    <xf numFmtId="4" fontId="15" fillId="0" borderId="0" xfId="3" applyNumberFormat="1" applyFont="1" applyAlignment="1">
      <alignment horizontal="center"/>
    </xf>
    <xf numFmtId="0" fontId="6" fillId="8" borderId="4" xfId="0" applyFont="1" applyFill="1" applyBorder="1" applyAlignment="1">
      <alignment horizontal="right" vertical="center" wrapText="1"/>
    </xf>
    <xf numFmtId="4" fontId="15" fillId="0" borderId="4" xfId="3" applyNumberFormat="1" applyFont="1" applyBorder="1" applyAlignment="1">
      <alignment horizontal="center" vertical="center"/>
    </xf>
    <xf numFmtId="4" fontId="16" fillId="8" borderId="4" xfId="0" applyNumberFormat="1" applyFont="1" applyFill="1" applyBorder="1" applyAlignment="1">
      <alignment horizontal="center" vertical="center"/>
    </xf>
    <xf numFmtId="4" fontId="13" fillId="5" borderId="0" xfId="0" applyNumberFormat="1" applyFont="1" applyFill="1" applyBorder="1" applyAlignment="1">
      <alignment horizontal="center" vertical="center"/>
    </xf>
    <xf numFmtId="0" fontId="6" fillId="0" borderId="0" xfId="3" applyAlignment="1">
      <alignment horizontal="right"/>
    </xf>
    <xf numFmtId="4" fontId="6" fillId="0" borderId="0" xfId="3" applyNumberFormat="1" applyAlignment="1">
      <alignment horizontal="center"/>
    </xf>
    <xf numFmtId="0" fontId="12" fillId="0" borderId="0" xfId="3" applyFont="1" applyAlignment="1">
      <alignment horizontal="left" vertical="center"/>
    </xf>
    <xf numFmtId="14" fontId="0" fillId="0" borderId="0" xfId="0" applyNumberFormat="1"/>
    <xf numFmtId="0" fontId="17" fillId="0" borderId="0" xfId="3" applyFont="1"/>
    <xf numFmtId="3" fontId="3" fillId="0" borderId="5" xfId="3" applyNumberFormat="1" applyFont="1" applyBorder="1" applyAlignment="1">
      <alignment horizontal="center"/>
    </xf>
    <xf numFmtId="0" fontId="9" fillId="0" borderId="0" xfId="3" applyFont="1" applyAlignment="1">
      <alignment horizontal="center"/>
    </xf>
    <xf numFmtId="14" fontId="9" fillId="0" borderId="0" xfId="3" applyNumberFormat="1" applyFont="1" applyAlignment="1">
      <alignment horizontal="left"/>
    </xf>
    <xf numFmtId="0" fontId="12" fillId="0" borderId="0" xfId="0" applyFont="1"/>
    <xf numFmtId="0" fontId="9" fillId="0" borderId="0" xfId="3" applyFont="1" applyAlignment="1">
      <alignment horizontal="left"/>
    </xf>
    <xf numFmtId="0" fontId="9" fillId="0" borderId="0" xfId="3" applyFont="1" applyAlignment="1">
      <alignment horizontal="center" wrapText="1"/>
    </xf>
    <xf numFmtId="0" fontId="11" fillId="0" borderId="0" xfId="3" applyFont="1" applyAlignment="1">
      <alignment horizontal="right" vertical="center"/>
    </xf>
    <xf numFmtId="0" fontId="9" fillId="0" borderId="0" xfId="3" applyFont="1" applyAlignment="1">
      <alignment horizontal="right"/>
    </xf>
    <xf numFmtId="0" fontId="11" fillId="0" borderId="0" xfId="3" applyFont="1" applyAlignment="1">
      <alignment horizontal="right" vertical="top"/>
    </xf>
    <xf numFmtId="0" fontId="11" fillId="0" borderId="0" xfId="3" applyFont="1" applyAlignment="1">
      <alignment horizontal="right"/>
    </xf>
    <xf numFmtId="0" fontId="9" fillId="0" borderId="0" xfId="3" applyFont="1"/>
    <xf numFmtId="0" fontId="12" fillId="0" borderId="0" xfId="3" applyFont="1" applyAlignment="1">
      <alignment horizontal="right" vertical="center"/>
    </xf>
    <xf numFmtId="0" fontId="12" fillId="0" borderId="0" xfId="0" applyFont="1" applyAlignment="1">
      <alignment horizontal="right"/>
    </xf>
    <xf numFmtId="0" fontId="18" fillId="5" borderId="1" xfId="0" applyFont="1" applyFill="1" applyBorder="1" applyAlignment="1">
      <alignment horizontal="center" vertical="center" wrapText="1"/>
    </xf>
    <xf numFmtId="14" fontId="18" fillId="5" borderId="1" xfId="0" applyNumberFormat="1" applyFont="1" applyFill="1" applyBorder="1" applyAlignment="1">
      <alignment horizontal="center" vertical="center" wrapText="1"/>
    </xf>
    <xf numFmtId="4" fontId="18" fillId="5" borderId="1" xfId="0" applyNumberFormat="1" applyFont="1" applyFill="1" applyBorder="1" applyAlignment="1">
      <alignment horizontal="center" vertical="center" wrapText="1"/>
    </xf>
    <xf numFmtId="0" fontId="19" fillId="0" borderId="0" xfId="0" applyFont="1" applyAlignment="1" applyProtection="1">
      <alignment horizontal="center"/>
      <protection locked="0"/>
    </xf>
    <xf numFmtId="14" fontId="19" fillId="0" borderId="0" xfId="0" applyNumberFormat="1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left"/>
      <protection locked="0"/>
    </xf>
    <xf numFmtId="0" fontId="12" fillId="9" borderId="0" xfId="3" applyFont="1" applyFill="1" applyAlignment="1" applyProtection="1">
      <alignment horizontal="center" vertical="center"/>
      <protection locked="0"/>
    </xf>
    <xf numFmtId="0" fontId="9" fillId="10" borderId="0" xfId="3" applyFont="1" applyFill="1" applyAlignment="1" applyProtection="1">
      <alignment horizontal="center"/>
      <protection locked="0"/>
    </xf>
    <xf numFmtId="0" fontId="9" fillId="0" borderId="0" xfId="3" applyFont="1" applyAlignment="1" applyProtection="1">
      <alignment horizontal="center" wrapText="1"/>
      <protection locked="0"/>
    </xf>
    <xf numFmtId="0" fontId="21" fillId="0" borderId="0" xfId="0" applyFont="1"/>
    <xf numFmtId="0" fontId="22" fillId="0" borderId="0" xfId="3" applyFont="1" applyAlignment="1">
      <alignment vertical="center"/>
    </xf>
    <xf numFmtId="0" fontId="22" fillId="0" borderId="0" xfId="3" applyFont="1" applyAlignment="1">
      <alignment horizontal="left" vertical="center"/>
    </xf>
    <xf numFmtId="0" fontId="23" fillId="0" borderId="0" xfId="3" applyFont="1" applyAlignment="1">
      <alignment horizontal="left" vertical="center"/>
    </xf>
    <xf numFmtId="14" fontId="0" fillId="14" borderId="7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4" borderId="7" xfId="0" applyFill="1" applyBorder="1" applyAlignment="1">
      <alignment horizontal="left" vertical="center"/>
    </xf>
    <xf numFmtId="0" fontId="6" fillId="0" borderId="0" xfId="3" applyAlignment="1">
      <alignment horizontal="left" vertical="center"/>
    </xf>
    <xf numFmtId="0" fontId="24" fillId="0" borderId="0" xfId="3" applyFont="1" applyAlignment="1">
      <alignment vertical="center"/>
    </xf>
    <xf numFmtId="0" fontId="23" fillId="0" borderId="0" xfId="3" applyFont="1"/>
    <xf numFmtId="0" fontId="6" fillId="14" borderId="7" xfId="3" applyFill="1" applyBorder="1" applyAlignment="1">
      <alignment horizontal="left" vertical="center"/>
    </xf>
    <xf numFmtId="0" fontId="25" fillId="0" borderId="0" xfId="0" applyFont="1"/>
    <xf numFmtId="4" fontId="0" fillId="14" borderId="7" xfId="0" applyNumberFormat="1" applyFill="1" applyBorder="1" applyAlignment="1">
      <alignment horizontal="left" vertical="center"/>
    </xf>
    <xf numFmtId="0" fontId="26" fillId="0" borderId="0" xfId="0" applyFont="1"/>
    <xf numFmtId="0" fontId="0" fillId="14" borderId="7" xfId="0" applyFill="1" applyBorder="1" applyAlignment="1">
      <alignment horizontal="left" vertical="center" wrapText="1"/>
    </xf>
    <xf numFmtId="0" fontId="27" fillId="0" borderId="0" xfId="0" applyFont="1"/>
    <xf numFmtId="0" fontId="28" fillId="0" borderId="0" xfId="3" applyFont="1" applyAlignment="1">
      <alignment horizontal="left" vertical="center"/>
    </xf>
    <xf numFmtId="0" fontId="29" fillId="0" borderId="0" xfId="3" applyFont="1" applyAlignment="1">
      <alignment horizontal="left" vertical="center"/>
    </xf>
    <xf numFmtId="0" fontId="30" fillId="0" borderId="0" xfId="0" applyFont="1"/>
    <xf numFmtId="2" fontId="0" fillId="14" borderId="7" xfId="0" applyNumberFormat="1" applyFill="1" applyBorder="1" applyAlignment="1" applyProtection="1">
      <alignment horizontal="left" vertical="center"/>
      <protection locked="0"/>
    </xf>
    <xf numFmtId="2" fontId="31" fillId="14" borderId="7" xfId="4" applyNumberFormat="1" applyFill="1" applyBorder="1" applyAlignment="1" applyProtection="1">
      <alignment horizontal="left" vertical="center"/>
      <protection locked="0"/>
    </xf>
    <xf numFmtId="0" fontId="0" fillId="14" borderId="7" xfId="0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14" fontId="0" fillId="14" borderId="7" xfId="0" applyNumberFormat="1" applyFill="1" applyBorder="1" applyAlignment="1" applyProtection="1">
      <alignment horizontal="left" vertical="center"/>
      <protection locked="0"/>
    </xf>
    <xf numFmtId="14" fontId="31" fillId="14" borderId="7" xfId="4" applyNumberFormat="1" applyFill="1" applyBorder="1" applyAlignment="1" applyProtection="1">
      <alignment horizontal="left" vertical="center"/>
      <protection locked="0"/>
    </xf>
    <xf numFmtId="4" fontId="0" fillId="14" borderId="7" xfId="0" applyNumberFormat="1" applyFill="1" applyBorder="1" applyAlignment="1" applyProtection="1">
      <alignment horizontal="left" vertical="center"/>
      <protection locked="0"/>
    </xf>
    <xf numFmtId="0" fontId="22" fillId="0" borderId="0" xfId="3" applyFont="1" applyAlignment="1" applyProtection="1">
      <alignment vertical="center"/>
      <protection locked="0"/>
    </xf>
    <xf numFmtId="0" fontId="6" fillId="0" borderId="0" xfId="3" applyProtection="1">
      <protection locked="0"/>
    </xf>
    <xf numFmtId="0" fontId="22" fillId="0" borderId="0" xfId="3" applyFont="1" applyAlignment="1" applyProtection="1">
      <alignment horizontal="left" vertical="center"/>
      <protection locked="0"/>
    </xf>
    <xf numFmtId="0" fontId="23" fillId="0" borderId="0" xfId="3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6" fillId="0" borderId="0" xfId="3" applyAlignment="1" applyProtection="1">
      <alignment horizontal="left" vertical="center"/>
      <protection locked="0"/>
    </xf>
    <xf numFmtId="0" fontId="24" fillId="0" borderId="0" xfId="3" applyFont="1" applyAlignment="1" applyProtection="1">
      <alignment vertical="center"/>
      <protection locked="0"/>
    </xf>
    <xf numFmtId="0" fontId="23" fillId="0" borderId="0" xfId="3" applyFont="1" applyProtection="1">
      <protection locked="0"/>
    </xf>
    <xf numFmtId="0" fontId="32" fillId="0" borderId="0" xfId="0" applyFont="1"/>
    <xf numFmtId="14" fontId="33" fillId="5" borderId="1" xfId="0" applyNumberFormat="1" applyFont="1" applyFill="1" applyBorder="1" applyAlignment="1">
      <alignment horizontal="center" vertical="center" wrapText="1"/>
    </xf>
    <xf numFmtId="4" fontId="15" fillId="0" borderId="0" xfId="3" applyNumberFormat="1" applyFont="1" applyAlignment="1">
      <alignment horizontal="center" vertical="center"/>
    </xf>
    <xf numFmtId="0" fontId="34" fillId="0" borderId="0" xfId="3" applyFont="1" applyAlignment="1" applyProtection="1">
      <alignment horizontal="left"/>
      <protection locked="0"/>
    </xf>
    <xf numFmtId="4" fontId="0" fillId="0" borderId="0" xfId="0" applyNumberFormat="1"/>
    <xf numFmtId="2" fontId="0" fillId="0" borderId="0" xfId="0" applyNumberFormat="1"/>
    <xf numFmtId="0" fontId="0" fillId="0" borderId="0" xfId="0" applyNumberFormat="1" applyAlignment="1"/>
    <xf numFmtId="1" fontId="35" fillId="0" borderId="0" xfId="3" applyNumberFormat="1" applyFont="1" applyFill="1" applyAlignment="1">
      <alignment horizontal="center"/>
    </xf>
    <xf numFmtId="0" fontId="35" fillId="0" borderId="0" xfId="3" applyFont="1" applyFill="1" applyAlignment="1">
      <alignment horizontal="center"/>
    </xf>
    <xf numFmtId="4" fontId="35" fillId="0" borderId="0" xfId="3" applyNumberFormat="1" applyFont="1" applyFill="1"/>
    <xf numFmtId="0" fontId="35" fillId="0" borderId="0" xfId="3" applyFont="1" applyFill="1"/>
    <xf numFmtId="4" fontId="20" fillId="0" borderId="0" xfId="3" applyNumberFormat="1" applyFont="1" applyFill="1"/>
    <xf numFmtId="0" fontId="12" fillId="0" borderId="0" xfId="3" applyFont="1" applyAlignment="1">
      <alignment horizontal="center" vertical="center"/>
    </xf>
    <xf numFmtId="14" fontId="20" fillId="0" borderId="0" xfId="0" applyNumberFormat="1" applyFont="1"/>
    <xf numFmtId="0" fontId="20" fillId="0" borderId="0" xfId="0" applyFont="1"/>
    <xf numFmtId="4" fontId="20" fillId="0" borderId="0" xfId="0" applyNumberFormat="1" applyFont="1"/>
    <xf numFmtId="0" fontId="1" fillId="0" borderId="0" xfId="0" applyNumberFormat="1" applyFont="1" applyAlignment="1">
      <alignment horizontal="center"/>
    </xf>
    <xf numFmtId="14" fontId="35" fillId="0" borderId="0" xfId="3" applyNumberFormat="1" applyFont="1" applyFill="1" applyProtection="1">
      <protection locked="0"/>
    </xf>
    <xf numFmtId="0" fontId="35" fillId="0" borderId="0" xfId="1" applyNumberFormat="1" applyFont="1" applyFill="1" applyAlignment="1" applyProtection="1">
      <alignment horizontal="center"/>
      <protection locked="0"/>
    </xf>
    <xf numFmtId="0" fontId="35" fillId="0" borderId="0" xfId="3" applyFont="1" applyFill="1" applyProtection="1">
      <protection locked="0"/>
    </xf>
    <xf numFmtId="0" fontId="35" fillId="0" borderId="0" xfId="0" applyFont="1" applyFill="1"/>
    <xf numFmtId="2" fontId="2" fillId="3" borderId="0" xfId="0" applyNumberFormat="1" applyFont="1" applyFill="1"/>
    <xf numFmtId="1" fontId="0" fillId="0" borderId="0" xfId="0" applyNumberFormat="1"/>
    <xf numFmtId="1" fontId="2" fillId="3" borderId="0" xfId="0" applyNumberFormat="1" applyFont="1" applyFill="1"/>
    <xf numFmtId="0" fontId="0" fillId="0" borderId="0" xfId="0" applyFont="1"/>
    <xf numFmtId="4" fontId="36" fillId="0" borderId="1" xfId="0" applyNumberFormat="1" applyFont="1" applyBorder="1" applyAlignment="1">
      <alignment horizontal="center" vertical="center"/>
    </xf>
    <xf numFmtId="165" fontId="36" fillId="0" borderId="1" xfId="0" applyNumberFormat="1" applyFont="1" applyBorder="1" applyAlignment="1">
      <alignment horizontal="center" vertical="center"/>
    </xf>
    <xf numFmtId="165" fontId="15" fillId="2" borderId="1" xfId="0" applyNumberFormat="1" applyFont="1" applyFill="1" applyBorder="1" applyAlignment="1">
      <alignment horizontal="center" vertical="center"/>
    </xf>
    <xf numFmtId="167" fontId="13" fillId="5" borderId="3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4" fontId="20" fillId="0" borderId="0" xfId="0" applyNumberFormat="1" applyFont="1" applyAlignment="1">
      <alignment horizontal="right"/>
    </xf>
    <xf numFmtId="14" fontId="0" fillId="0" borderId="0" xfId="0" applyNumberFormat="1" applyAlignment="1">
      <alignment horizontal="left"/>
    </xf>
    <xf numFmtId="14" fontId="20" fillId="0" borderId="0" xfId="0" applyNumberFormat="1" applyFont="1" applyAlignment="1">
      <alignment horizontal="left"/>
    </xf>
    <xf numFmtId="4" fontId="0" fillId="0" borderId="0" xfId="0" applyNumberFormat="1" applyAlignment="1"/>
    <xf numFmtId="14" fontId="35" fillId="0" borderId="0" xfId="0" applyNumberFormat="1" applyFont="1" applyFill="1" applyAlignment="1"/>
    <xf numFmtId="0" fontId="35" fillId="0" borderId="0" xfId="0" applyNumberFormat="1" applyFont="1" applyFill="1" applyAlignment="1"/>
    <xf numFmtId="4" fontId="35" fillId="0" borderId="0" xfId="3" applyNumberFormat="1" applyFont="1" applyFill="1" applyAlignment="1" applyProtection="1">
      <protection locked="0"/>
    </xf>
    <xf numFmtId="14" fontId="0" fillId="0" borderId="0" xfId="0" applyNumberFormat="1" applyAlignment="1"/>
    <xf numFmtId="4" fontId="19" fillId="0" borderId="0" xfId="0" applyNumberFormat="1" applyFont="1" applyAlignment="1" applyProtection="1">
      <protection locked="0"/>
    </xf>
    <xf numFmtId="14" fontId="19" fillId="0" borderId="0" xfId="0" applyNumberFormat="1" applyFont="1" applyAlignment="1" applyProtection="1">
      <protection locked="0"/>
    </xf>
    <xf numFmtId="4" fontId="20" fillId="0" borderId="0" xfId="3" applyNumberFormat="1" applyFont="1" applyAlignment="1" applyProtection="1">
      <protection locked="0"/>
    </xf>
    <xf numFmtId="4" fontId="20" fillId="0" borderId="0" xfId="0" applyNumberFormat="1" applyFont="1" applyAlignment="1"/>
    <xf numFmtId="14" fontId="20" fillId="0" borderId="0" xfId="0" applyNumberFormat="1" applyFont="1" applyAlignment="1"/>
    <xf numFmtId="0" fontId="0" fillId="0" borderId="0" xfId="0" applyAlignment="1">
      <alignment horizontal="right"/>
    </xf>
    <xf numFmtId="14" fontId="20" fillId="0" borderId="0" xfId="3" applyNumberFormat="1" applyFont="1" applyFill="1" applyProtection="1">
      <protection locked="0"/>
    </xf>
    <xf numFmtId="0" fontId="20" fillId="0" borderId="0" xfId="1" applyNumberFormat="1" applyFont="1" applyFill="1" applyAlignment="1" applyProtection="1">
      <alignment horizontal="center"/>
      <protection locked="0"/>
    </xf>
    <xf numFmtId="0" fontId="20" fillId="0" borderId="0" xfId="3" applyFont="1" applyFill="1" applyProtection="1">
      <protection locked="0"/>
    </xf>
    <xf numFmtId="0" fontId="20" fillId="0" borderId="0" xfId="0" applyFont="1" applyFill="1"/>
    <xf numFmtId="0" fontId="0" fillId="0" borderId="0" xfId="0" applyAlignment="1">
      <alignment horizontal="right" vertical="center"/>
    </xf>
    <xf numFmtId="0" fontId="1" fillId="5" borderId="0" xfId="0" applyFont="1" applyFill="1"/>
    <xf numFmtId="0" fontId="1" fillId="5" borderId="0" xfId="0" applyFont="1" applyFill="1" applyAlignment="1">
      <alignment horizontal="center"/>
    </xf>
    <xf numFmtId="0" fontId="38" fillId="3" borderId="0" xfId="0" applyFont="1" applyFill="1" applyAlignment="1">
      <alignment horizontal="center"/>
    </xf>
    <xf numFmtId="1" fontId="23" fillId="0" borderId="0" xfId="3" applyNumberFormat="1" applyFont="1" applyAlignment="1">
      <alignment horizontal="left" vertical="center"/>
    </xf>
    <xf numFmtId="2" fontId="23" fillId="0" borderId="0" xfId="3" applyNumberFormat="1" applyFont="1" applyAlignment="1">
      <alignment horizontal="left" vertical="center"/>
    </xf>
    <xf numFmtId="0" fontId="0" fillId="14" borderId="7" xfId="0" applyNumberFormat="1" applyFill="1" applyBorder="1" applyAlignment="1">
      <alignment horizontal="left" vertical="center"/>
    </xf>
    <xf numFmtId="19" fontId="20" fillId="0" borderId="0" xfId="0" applyNumberFormat="1" applyFont="1"/>
    <xf numFmtId="0" fontId="6" fillId="0" borderId="0" xfId="3" applyAlignment="1">
      <alignment horizontal="right" vertical="center" wrapText="1"/>
    </xf>
    <xf numFmtId="0" fontId="6" fillId="0" borderId="0" xfId="3" applyAlignment="1">
      <alignment horizontal="right" vertical="center"/>
    </xf>
    <xf numFmtId="0" fontId="0" fillId="0" borderId="0" xfId="0" applyFill="1"/>
    <xf numFmtId="2" fontId="0" fillId="0" borderId="0" xfId="0" applyNumberFormat="1" applyFill="1"/>
    <xf numFmtId="14" fontId="0" fillId="0" borderId="0" xfId="0" applyNumberFormat="1" applyFill="1"/>
    <xf numFmtId="8" fontId="0" fillId="0" borderId="0" xfId="0" applyNumberFormat="1" applyFill="1"/>
    <xf numFmtId="165" fontId="0" fillId="0" borderId="0" xfId="0" applyNumberFormat="1" applyFill="1"/>
    <xf numFmtId="4" fontId="0" fillId="0" borderId="0" xfId="0" applyNumberFormat="1" applyFill="1"/>
    <xf numFmtId="44" fontId="0" fillId="0" borderId="0" xfId="1" applyFont="1" applyFill="1"/>
    <xf numFmtId="14" fontId="20" fillId="0" borderId="0" xfId="0" applyNumberFormat="1" applyFont="1" applyAlignment="1">
      <alignment horizontal="right"/>
    </xf>
    <xf numFmtId="0" fontId="20" fillId="0" borderId="0" xfId="0" applyFont="1" applyAlignment="1">
      <alignment horizontal="right"/>
    </xf>
    <xf numFmtId="0" fontId="40" fillId="0" borderId="0" xfId="0" applyFont="1" applyAlignment="1"/>
    <xf numFmtId="0" fontId="39" fillId="0" borderId="0" xfId="0" applyFont="1" applyAlignment="1">
      <alignment horizontal="center"/>
    </xf>
    <xf numFmtId="0" fontId="0" fillId="0" borderId="0" xfId="0" applyAlignment="1"/>
    <xf numFmtId="0" fontId="41" fillId="6" borderId="0" xfId="0" applyFont="1" applyFill="1" applyAlignment="1">
      <alignment vertical="center"/>
    </xf>
    <xf numFmtId="0" fontId="42" fillId="6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41" fillId="4" borderId="0" xfId="0" applyFont="1" applyFill="1" applyAlignment="1">
      <alignment vertical="center"/>
    </xf>
    <xf numFmtId="0" fontId="42" fillId="4" borderId="0" xfId="0" applyFont="1" applyFill="1" applyAlignment="1">
      <alignment horizontal="center" vertical="center"/>
    </xf>
    <xf numFmtId="0" fontId="41" fillId="15" borderId="0" xfId="0" applyFont="1" applyFill="1" applyAlignment="1">
      <alignment vertical="center"/>
    </xf>
    <xf numFmtId="0" fontId="42" fillId="15" borderId="0" xfId="0" applyFont="1" applyFill="1" applyAlignment="1">
      <alignment horizontal="center" vertical="center"/>
    </xf>
    <xf numFmtId="0" fontId="44" fillId="3" borderId="0" xfId="4" applyFont="1" applyFill="1" applyAlignment="1">
      <alignment horizontal="center"/>
    </xf>
    <xf numFmtId="0" fontId="5" fillId="6" borderId="1" xfId="0" applyFont="1" applyFill="1" applyBorder="1" applyAlignment="1">
      <alignment horizontal="center" vertical="center" wrapText="1"/>
    </xf>
    <xf numFmtId="0" fontId="5" fillId="15" borderId="1" xfId="0" applyFont="1" applyFill="1" applyBorder="1" applyAlignment="1">
      <alignment horizontal="center" vertical="center" wrapText="1"/>
    </xf>
    <xf numFmtId="168" fontId="3" fillId="16" borderId="1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3" applyFont="1" applyAlignment="1" applyProtection="1">
      <alignment horizontal="center" vertical="center"/>
      <protection locked="0"/>
    </xf>
    <xf numFmtId="0" fontId="8" fillId="0" borderId="0" xfId="3" applyFont="1"/>
    <xf numFmtId="14" fontId="8" fillId="0" borderId="0" xfId="3" applyNumberFormat="1" applyFont="1" applyAlignment="1">
      <alignment horizontal="center" vertical="center"/>
    </xf>
    <xf numFmtId="0" fontId="6" fillId="0" borderId="0" xfId="3" applyAlignment="1">
      <alignment horizontal="right" wrapText="1"/>
    </xf>
    <xf numFmtId="0" fontId="4" fillId="0" borderId="0" xfId="3" applyFont="1" applyAlignment="1">
      <alignment horizontal="center"/>
    </xf>
    <xf numFmtId="0" fontId="9" fillId="0" borderId="0" xfId="3" applyFont="1" applyAlignment="1">
      <alignment vertical="center"/>
    </xf>
    <xf numFmtId="4" fontId="15" fillId="8" borderId="1" xfId="0" applyNumberFormat="1" applyFont="1" applyFill="1" applyBorder="1" applyAlignment="1">
      <alignment horizontal="center" vertical="center"/>
    </xf>
    <xf numFmtId="4" fontId="15" fillId="8" borderId="1" xfId="0" applyNumberFormat="1" applyFont="1" applyFill="1" applyBorder="1" applyAlignment="1">
      <alignment horizontal="left" vertical="center"/>
    </xf>
    <xf numFmtId="0" fontId="46" fillId="0" borderId="0" xfId="0" applyFont="1"/>
    <xf numFmtId="165" fontId="5" fillId="5" borderId="1" xfId="0" applyNumberFormat="1" applyFont="1" applyFill="1" applyBorder="1" applyAlignment="1" applyProtection="1">
      <alignment horizontal="left" vertical="center"/>
      <protection hidden="1"/>
    </xf>
    <xf numFmtId="0" fontId="47" fillId="3" borderId="0" xfId="0" applyFont="1" applyFill="1"/>
    <xf numFmtId="0" fontId="47" fillId="3" borderId="0" xfId="0" applyFont="1" applyFill="1" applyAlignment="1">
      <alignment horizontal="left" wrapText="1"/>
    </xf>
    <xf numFmtId="0" fontId="47" fillId="3" borderId="0" xfId="0" applyFont="1" applyFill="1" applyAlignment="1">
      <alignment horizontal="left"/>
    </xf>
    <xf numFmtId="0" fontId="33" fillId="5" borderId="1" xfId="0" applyFont="1" applyFill="1" applyBorder="1" applyAlignment="1">
      <alignment horizontal="center" vertical="center" wrapText="1"/>
    </xf>
    <xf numFmtId="4" fontId="33" fillId="5" borderId="1" xfId="0" applyNumberFormat="1" applyFont="1" applyFill="1" applyBorder="1" applyAlignment="1">
      <alignment horizontal="center" vertical="center" wrapText="1"/>
    </xf>
    <xf numFmtId="44" fontId="0" fillId="0" borderId="0" xfId="1" applyFont="1"/>
    <xf numFmtId="0" fontId="13" fillId="5" borderId="0" xfId="0" applyFont="1" applyFill="1" applyBorder="1" applyAlignment="1">
      <alignment horizontal="right" vertical="center"/>
    </xf>
    <xf numFmtId="0" fontId="48" fillId="0" borderId="0" xfId="0" applyFont="1"/>
    <xf numFmtId="2" fontId="48" fillId="0" borderId="0" xfId="0" applyNumberFormat="1" applyFont="1"/>
    <xf numFmtId="0" fontId="48" fillId="0" borderId="0" xfId="0" applyFont="1" applyAlignment="1">
      <alignment horizontal="center"/>
    </xf>
    <xf numFmtId="1" fontId="0" fillId="0" borderId="2" xfId="0" applyNumberFormat="1" applyFont="1" applyBorder="1" applyAlignment="1">
      <alignment horizontal="center"/>
    </xf>
    <xf numFmtId="0" fontId="0" fillId="0" borderId="0" xfId="0" applyFill="1" applyBorder="1"/>
    <xf numFmtId="0" fontId="3" fillId="0" borderId="0" xfId="0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4" fontId="8" fillId="0" borderId="0" xfId="0" applyNumberFormat="1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6" fillId="0" borderId="0" xfId="3" applyFill="1" applyBorder="1" applyAlignment="1">
      <alignment horizontal="center" vertical="center"/>
    </xf>
    <xf numFmtId="4" fontId="0" fillId="8" borderId="9" xfId="0" applyNumberFormat="1" applyFill="1" applyBorder="1" applyAlignment="1">
      <alignment horizontal="center"/>
    </xf>
    <xf numFmtId="0" fontId="6" fillId="0" borderId="0" xfId="3" applyFill="1" applyBorder="1" applyAlignment="1">
      <alignment horizontal="left" vertical="top"/>
    </xf>
    <xf numFmtId="3" fontId="3" fillId="0" borderId="0" xfId="0" applyNumberFormat="1" applyFont="1" applyFill="1" applyBorder="1" applyAlignment="1">
      <alignment horizontal="center"/>
    </xf>
    <xf numFmtId="4" fontId="8" fillId="0" borderId="0" xfId="0" applyNumberFormat="1" applyFont="1" applyFill="1" applyBorder="1" applyAlignment="1">
      <alignment horizontal="center"/>
    </xf>
    <xf numFmtId="4" fontId="8" fillId="0" borderId="0" xfId="3" applyNumberFormat="1" applyFont="1" applyFill="1" applyBorder="1" applyAlignment="1">
      <alignment horizontal="center"/>
    </xf>
    <xf numFmtId="0" fontId="6" fillId="0" borderId="0" xfId="3" applyFill="1" applyBorder="1" applyAlignment="1">
      <alignment horizontal="center"/>
    </xf>
    <xf numFmtId="0" fontId="11" fillId="0" borderId="0" xfId="3" applyFont="1" applyAlignment="1">
      <alignment horizontal="left" vertical="top"/>
    </xf>
    <xf numFmtId="4" fontId="8" fillId="5" borderId="3" xfId="0" applyNumberFormat="1" applyFont="1" applyFill="1" applyBorder="1" applyAlignment="1">
      <alignment horizontal="center"/>
    </xf>
    <xf numFmtId="0" fontId="8" fillId="5" borderId="0" xfId="3" applyFont="1" applyFill="1"/>
    <xf numFmtId="4" fontId="0" fillId="0" borderId="12" xfId="0" applyNumberFormat="1" applyBorder="1" applyAlignment="1">
      <alignment horizontal="center" vertical="center"/>
    </xf>
    <xf numFmtId="10" fontId="0" fillId="0" borderId="13" xfId="2" applyNumberFormat="1" applyFont="1" applyBorder="1" applyAlignment="1">
      <alignment horizontal="center" vertical="center"/>
    </xf>
    <xf numFmtId="4" fontId="8" fillId="5" borderId="14" xfId="0" applyNumberFormat="1" applyFont="1" applyFill="1" applyBorder="1" applyAlignment="1">
      <alignment horizontal="center" vertical="center"/>
    </xf>
    <xf numFmtId="10" fontId="5" fillId="5" borderId="15" xfId="2" applyNumberFormat="1" applyFont="1" applyFill="1" applyBorder="1" applyAlignment="1">
      <alignment horizontal="center" vertical="center"/>
    </xf>
    <xf numFmtId="9" fontId="0" fillId="0" borderId="13" xfId="2" applyFont="1" applyBorder="1" applyAlignment="1">
      <alignment horizontal="center" vertical="center"/>
    </xf>
    <xf numFmtId="4" fontId="8" fillId="5" borderId="18" xfId="0" applyNumberFormat="1" applyFont="1" applyFill="1" applyBorder="1" applyAlignment="1">
      <alignment horizontal="center" vertical="center"/>
    </xf>
    <xf numFmtId="4" fontId="10" fillId="17" borderId="19" xfId="0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3" fontId="3" fillId="5" borderId="24" xfId="0" applyNumberFormat="1" applyFont="1" applyFill="1" applyBorder="1" applyAlignment="1">
      <alignment horizontal="center" vertical="center"/>
    </xf>
    <xf numFmtId="4" fontId="8" fillId="5" borderId="13" xfId="0" applyNumberFormat="1" applyFont="1" applyFill="1" applyBorder="1" applyAlignment="1">
      <alignment horizontal="center" vertical="center"/>
    </xf>
    <xf numFmtId="4" fontId="8" fillId="5" borderId="25" xfId="0" applyNumberFormat="1" applyFont="1" applyFill="1" applyBorder="1" applyAlignment="1">
      <alignment horizontal="center" vertical="center"/>
    </xf>
    <xf numFmtId="4" fontId="8" fillId="17" borderId="15" xfId="0" applyNumberFormat="1" applyFont="1" applyFill="1" applyBorder="1" applyAlignment="1">
      <alignment horizontal="center" vertical="center"/>
    </xf>
    <xf numFmtId="165" fontId="1" fillId="5" borderId="3" xfId="0" applyNumberFormat="1" applyFont="1" applyFill="1" applyBorder="1" applyAlignment="1">
      <alignment horizontal="left" vertical="center"/>
    </xf>
    <xf numFmtId="4" fontId="6" fillId="0" borderId="0" xfId="3" applyNumberFormat="1" applyAlignment="1">
      <alignment horizontal="center" vertical="center" wrapText="1"/>
    </xf>
    <xf numFmtId="14" fontId="48" fillId="0" borderId="0" xfId="0" applyNumberFormat="1" applyFont="1" applyAlignment="1">
      <alignment horizontal="center" vertical="center"/>
    </xf>
    <xf numFmtId="14" fontId="49" fillId="5" borderId="1" xfId="0" applyNumberFormat="1" applyFont="1" applyFill="1" applyBorder="1" applyAlignment="1">
      <alignment horizontal="center" vertical="center" wrapText="1"/>
    </xf>
    <xf numFmtId="14" fontId="47" fillId="3" borderId="0" xfId="0" applyNumberFormat="1" applyFont="1" applyFill="1" applyAlignment="1">
      <alignment horizontal="left" wrapText="1"/>
    </xf>
    <xf numFmtId="4" fontId="47" fillId="3" borderId="0" xfId="0" applyNumberFormat="1" applyFont="1" applyFill="1"/>
    <xf numFmtId="0" fontId="0" fillId="0" borderId="0" xfId="0" applyNumberFormat="1"/>
    <xf numFmtId="0" fontId="15" fillId="0" borderId="0" xfId="3" applyNumberFormat="1" applyFont="1" applyAlignment="1">
      <alignment horizontal="left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50" fillId="3" borderId="0" xfId="0" applyFont="1" applyFill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51" fillId="3" borderId="0" xfId="0" applyFont="1" applyFill="1" applyAlignment="1">
      <alignment horizontal="center" vertical="center"/>
    </xf>
    <xf numFmtId="0" fontId="37" fillId="3" borderId="0" xfId="0" applyFont="1" applyFill="1" applyAlignment="1">
      <alignment horizontal="center" vertical="center"/>
    </xf>
    <xf numFmtId="0" fontId="43" fillId="0" borderId="0" xfId="0" applyFont="1" applyAlignment="1">
      <alignment horizontal="center"/>
    </xf>
    <xf numFmtId="3" fontId="3" fillId="5" borderId="16" xfId="0" applyNumberFormat="1" applyFont="1" applyFill="1" applyBorder="1" applyAlignment="1">
      <alignment horizontal="center" vertical="center"/>
    </xf>
    <xf numFmtId="3" fontId="3" fillId="5" borderId="17" xfId="0" applyNumberFormat="1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5" borderId="26" xfId="0" applyFont="1" applyFill="1" applyBorder="1" applyAlignment="1">
      <alignment horizontal="center" vertical="center"/>
    </xf>
    <xf numFmtId="0" fontId="3" fillId="5" borderId="27" xfId="0" applyFont="1" applyFill="1" applyBorder="1" applyAlignment="1">
      <alignment horizontal="center" vertical="center"/>
    </xf>
    <xf numFmtId="0" fontId="3" fillId="5" borderId="28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5" fillId="0" borderId="0" xfId="0" applyFont="1" applyAlignment="1">
      <alignment horizontal="left" wrapText="1"/>
    </xf>
    <xf numFmtId="0" fontId="15" fillId="0" borderId="8" xfId="0" applyFont="1" applyBorder="1" applyAlignment="1">
      <alignment horizontal="left" wrapText="1"/>
    </xf>
    <xf numFmtId="0" fontId="5" fillId="12" borderId="0" xfId="0" applyFont="1" applyFill="1" applyAlignment="1">
      <alignment horizontal="center" vertical="center" wrapText="1"/>
    </xf>
    <xf numFmtId="165" fontId="1" fillId="12" borderId="0" xfId="0" applyNumberFormat="1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 wrapText="1"/>
    </xf>
    <xf numFmtId="165" fontId="1" fillId="13" borderId="0" xfId="0" applyNumberFormat="1" applyFont="1" applyFill="1" applyAlignment="1">
      <alignment horizontal="center" vertical="center"/>
    </xf>
    <xf numFmtId="0" fontId="6" fillId="2" borderId="0" xfId="3" applyFill="1" applyAlignment="1">
      <alignment horizontal="center"/>
    </xf>
    <xf numFmtId="165" fontId="6" fillId="2" borderId="0" xfId="1" applyNumberFormat="1" applyFont="1" applyFill="1" applyAlignment="1">
      <alignment horizontal="center" vertical="center"/>
    </xf>
    <xf numFmtId="44" fontId="6" fillId="2" borderId="0" xfId="1" applyFont="1" applyFill="1" applyAlignment="1">
      <alignment horizontal="center" vertical="center"/>
    </xf>
    <xf numFmtId="0" fontId="5" fillId="11" borderId="6" xfId="0" applyFont="1" applyFill="1" applyBorder="1" applyAlignment="1">
      <alignment horizontal="center" vertical="center" wrapText="1"/>
    </xf>
    <xf numFmtId="0" fontId="5" fillId="11" borderId="0" xfId="0" applyFont="1" applyFill="1" applyAlignment="1">
      <alignment horizontal="center" vertical="center" wrapText="1"/>
    </xf>
    <xf numFmtId="165" fontId="1" fillId="11" borderId="6" xfId="0" applyNumberFormat="1" applyFont="1" applyFill="1" applyBorder="1" applyAlignment="1">
      <alignment horizontal="center" vertical="center"/>
    </xf>
    <xf numFmtId="165" fontId="1" fillId="11" borderId="0" xfId="0" applyNumberFormat="1" applyFont="1" applyFill="1" applyAlignment="1">
      <alignment horizontal="center" vertical="center"/>
    </xf>
    <xf numFmtId="0" fontId="5" fillId="6" borderId="6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165" fontId="1" fillId="6" borderId="6" xfId="0" applyNumberFormat="1" applyFont="1" applyFill="1" applyBorder="1" applyAlignment="1">
      <alignment horizontal="center" vertical="center"/>
    </xf>
    <xf numFmtId="165" fontId="1" fillId="6" borderId="0" xfId="0" applyNumberFormat="1" applyFont="1" applyFill="1" applyAlignment="1">
      <alignment horizontal="center" vertical="center"/>
    </xf>
  </cellXfs>
  <cellStyles count="5">
    <cellStyle name="Hiperlink" xfId="4" builtinId="8"/>
    <cellStyle name="Moeda" xfId="1" builtinId="4"/>
    <cellStyle name="Normal" xfId="0" builtinId="0"/>
    <cellStyle name="Normal 2 2" xfId="3" xr:uid="{00000000-0005-0000-0000-000003000000}"/>
    <cellStyle name="Porcentagem" xfId="2" builtinId="5"/>
  </cellStyles>
  <dxfs count="5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rgb="FFFF7C80"/>
        </patternFill>
      </fill>
    </dxf>
    <dxf>
      <font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7C8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4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FF7C8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00B0F0"/>
        </patternFill>
      </fill>
    </dxf>
    <dxf>
      <fill>
        <patternFill>
          <bgColor rgb="FFFF6699"/>
        </patternFill>
      </fill>
    </dxf>
    <dxf>
      <fill>
        <patternFill>
          <bgColor rgb="FF00B0F0"/>
        </patternFill>
      </fill>
    </dxf>
    <dxf>
      <fill>
        <patternFill>
          <bgColor rgb="FFFF6699"/>
        </patternFill>
      </fill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7C80"/>
        </patternFill>
      </fill>
    </dxf>
    <dxf>
      <font>
        <color theme="0"/>
      </font>
      <fill>
        <patternFill>
          <bgColor rgb="FFFF7C80"/>
        </patternFill>
      </fill>
    </dxf>
    <dxf>
      <font>
        <color theme="0"/>
      </font>
      <fill>
        <patternFill>
          <bgColor rgb="FFFF7C80"/>
        </patternFill>
      </fill>
    </dxf>
    <dxf>
      <font>
        <color theme="0"/>
      </font>
      <fill>
        <patternFill>
          <bgColor rgb="FFFF7C8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7C8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99E-43EF-A59C-20801FF05F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[0]!GRUPO_RECEITA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[0]!VALOR_RECEITA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99E-43EF-A59C-20801FF05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913633700083546"/>
          <c:y val="3.5703569090810107E-2"/>
          <c:w val="0.37969163863410993"/>
          <c:h val="0.944671896780858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FAA-4FFE-9825-BF85B089E2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[0]!GRUPO_DESPESA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[0]!VALOR_DESPESA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AA-4FFE-9825-BF85B089E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372061509357396"/>
          <c:y val="3.1682438742966279E-2"/>
          <c:w val="0.41498020182233797"/>
          <c:h val="0.920555243485604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FLUXO DE CAIXA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Receitas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RELATORIO_03!$C$3:$C$14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RELATORIO_03!$E$3:$E$14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C25-48FC-9470-E0FF156F6D61}"/>
            </c:ext>
          </c:extLst>
        </c:ser>
        <c:ser>
          <c:idx val="1"/>
          <c:order val="1"/>
          <c:tx>
            <c:v>Despesas</c:v>
          </c:tx>
          <c:spPr>
            <a:ln w="28575" cap="rnd">
              <a:solidFill>
                <a:srgbClr val="FF7C80"/>
              </a:solidFill>
              <a:round/>
            </a:ln>
            <a:effectLst>
              <a:softEdge rad="0"/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RELATORIO_03!$C$3:$C$14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RELATORIO_03!$F$3:$F$14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C25-48FC-9470-E0FF156F6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520512"/>
        <c:axId val="671523232"/>
      </c:lineChart>
      <c:catAx>
        <c:axId val="67152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523232"/>
        <c:crosses val="autoZero"/>
        <c:auto val="1"/>
        <c:lblAlgn val="ctr"/>
        <c:lblOffset val="100"/>
        <c:noMultiLvlLbl val="0"/>
      </c:catAx>
      <c:valAx>
        <c:axId val="67152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52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RESULTADO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percent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RELATORIO_03!$C$3:$C$14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RELATORIO_03!$H$3:$H$14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14E-4B2E-B2DD-96FD624BF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533024"/>
        <c:axId val="671521600"/>
      </c:lineChart>
      <c:catAx>
        <c:axId val="6715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00B050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pt-BR"/>
          </a:p>
        </c:txPr>
        <c:crossAx val="671521600"/>
        <c:crosses val="autoZero"/>
        <c:auto val="1"/>
        <c:lblAlgn val="ctr"/>
        <c:lblOffset val="100"/>
        <c:noMultiLvlLbl val="0"/>
      </c:catAx>
      <c:valAx>
        <c:axId val="67152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5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36833483062943E-2"/>
          <c:y val="0.11454453342505101"/>
          <c:w val="0.33986963461628367"/>
          <c:h val="0.7884265305774650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E4B-4138-9E14-C7F532F3322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01B-45D2-90DB-CB25388121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[0]!CAIXA_GRUPO</c:f>
              <c:strCache>
                <c:ptCount val="1"/>
                <c:pt idx="0">
                  <c:v>Todos</c:v>
                </c:pt>
              </c:strCache>
            </c:strRef>
          </c:cat>
          <c:val>
            <c:numRef>
              <c:f>[0]!CAIXA_VALOR</c:f>
              <c:numCache>
                <c:formatCode>#,##0.00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9-49FC-A443-FAC4F36F5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523137627930736"/>
          <c:y val="0.10352911648919605"/>
          <c:w val="0.48459039264387255"/>
          <c:h val="0.851969218803982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CONTAS A RECEBER X CONTAS A PAGAR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 Receber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RELATORIO_03!$C$3:$C$14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RELATORIO_03!$R$3:$R$14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1B7-4966-A464-A1483824CC6B}"/>
            </c:ext>
          </c:extLst>
        </c:ser>
        <c:ser>
          <c:idx val="1"/>
          <c:order val="1"/>
          <c:tx>
            <c:v>A Pagar</c:v>
          </c:tx>
          <c:spPr>
            <a:ln w="28575" cap="rnd">
              <a:solidFill>
                <a:srgbClr val="FF7C8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RELATORIO_03!$C$3:$C$14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RELATORIO_03!$S$3:$S$14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1B7-4966-A464-A1483824C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530304"/>
        <c:axId val="671533568"/>
      </c:lineChart>
      <c:catAx>
        <c:axId val="67153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533568"/>
        <c:crosses val="autoZero"/>
        <c:auto val="1"/>
        <c:lblAlgn val="ctr"/>
        <c:lblOffset val="100"/>
        <c:noMultiLvlLbl val="0"/>
      </c:catAx>
      <c:valAx>
        <c:axId val="67153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153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09263477600606E-2"/>
          <c:y val="0.12035691810099326"/>
          <c:w val="0.93318147304479881"/>
          <c:h val="0.670116395674331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RELATORIO_03!$E$2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RELATORIO_03!$E$15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2F-4F19-855F-72E4F0599BF4}"/>
            </c:ext>
          </c:extLst>
        </c:ser>
        <c:ser>
          <c:idx val="1"/>
          <c:order val="1"/>
          <c:tx>
            <c:strRef>
              <c:f>RELATORIO_03!$F$2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RELATORIO_03!$F$15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2F-4F19-855F-72E4F0599BF4}"/>
            </c:ext>
          </c:extLst>
        </c:ser>
        <c:ser>
          <c:idx val="2"/>
          <c:order val="2"/>
          <c:tx>
            <c:strRef>
              <c:f>RELATORIO_03!$H$2</c:f>
              <c:strCache>
                <c:ptCount val="1"/>
                <c:pt idx="0">
                  <c:v>Lucro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RELATORIO_03!$H$15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2F-4F19-855F-72E4F0599BF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71519968"/>
        <c:axId val="67152105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RELATORIO_03!$E$2:$F$2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782F-4F19-855F-72E4F0599BF4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RELATORIO_03!$H$2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82F-4F19-855F-72E4F0599BF4}"/>
                  </c:ext>
                </c:extLst>
              </c15:ser>
            </c15:filteredBarSeries>
          </c:ext>
        </c:extLst>
      </c:barChart>
      <c:catAx>
        <c:axId val="671519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671521056"/>
        <c:crosses val="autoZero"/>
        <c:auto val="1"/>
        <c:lblAlgn val="ctr"/>
        <c:lblOffset val="100"/>
        <c:noMultiLvlLbl val="0"/>
      </c:catAx>
      <c:valAx>
        <c:axId val="671521056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67151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6077732121571"/>
          <c:y val="0.82507268893989005"/>
          <c:w val="0.56078421261757849"/>
          <c:h val="0.121566066169811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44349861672697"/>
          <c:y val="2.7877474382383714E-2"/>
          <c:w val="0.41768508666146464"/>
          <c:h val="0.93192147817457716"/>
        </c:manualLayout>
      </c:layout>
      <c:doughnut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267-49C2-BB9D-ACC81057B3E0}"/>
              </c:ext>
            </c:extLst>
          </c:dPt>
          <c:dPt>
            <c:idx val="1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67-49C2-BB9D-ACC81057B3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(CADASTRO_AUX!$A$14,CADASTRO_AUX!$A$17)</c:f>
              <c:strCache>
                <c:ptCount val="2"/>
                <c:pt idx="0">
                  <c:v>A RECEBER</c:v>
                </c:pt>
                <c:pt idx="1">
                  <c:v>A PAGAR</c:v>
                </c:pt>
              </c:strCache>
            </c:strRef>
          </c:cat>
          <c:val>
            <c:numRef>
              <c:f>(CADASTRO_AUX!$B$14,CADASTRO_AUX!$B$17)</c:f>
              <c:numCache>
                <c:formatCode>_("R$"* #,##0.00_);_("R$"* \(#,##0.00\);_("R$"*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67-49C2-BB9D-ACC81057B3E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202493302279246"/>
          <c:y val="0.38710894754185177"/>
          <c:w val="0.26354978238417703"/>
          <c:h val="0.237358091728267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Receitas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98-4AEF-85E0-536C8D509EB6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C98-4AEF-85E0-536C8D509EB6}"/>
              </c:ext>
            </c:extLst>
          </c:dPt>
          <c:dPt>
            <c:idx val="2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C98-4AEF-85E0-536C8D509E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LANÇAMENTOS!$F$3:$F$5</c:f>
              <c:strCache>
                <c:ptCount val="3"/>
                <c:pt idx="0">
                  <c:v>Lançadas</c:v>
                </c:pt>
                <c:pt idx="1">
                  <c:v>Quitadas</c:v>
                </c:pt>
                <c:pt idx="2">
                  <c:v>Em Aberto</c:v>
                </c:pt>
              </c:strCache>
            </c:strRef>
          </c:cat>
          <c:val>
            <c:numRef>
              <c:f>LANÇAMENTOS!$G$3:$G$5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98-4AEF-85E0-536C8D509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2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FF-41D7-BAE9-38BAAA4A1B8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FF-41D7-BAE9-38BAAA4A1B8A}"/>
              </c:ext>
            </c:extLst>
          </c:dPt>
          <c:dPt>
            <c:idx val="2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FF-41D7-BAE9-38BAAA4A1B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LANÇAMENTOS!$J$3:$J$5</c:f>
              <c:strCache>
                <c:ptCount val="3"/>
                <c:pt idx="0">
                  <c:v>Lançadas</c:v>
                </c:pt>
                <c:pt idx="1">
                  <c:v>Quitadas</c:v>
                </c:pt>
                <c:pt idx="2">
                  <c:v>Em Aberto</c:v>
                </c:pt>
              </c:strCache>
            </c:strRef>
          </c:cat>
          <c:val>
            <c:numRef>
              <c:f>LANÇAMENTOS!$K$3:$K$5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FF-41D7-BAE9-38BAAA4A1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2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2" dropStyle="combo" dx="22" fmlaLink="RELATORIO_03!$L$1" fmlaRange="CADASTRO_AUX!$P$1:$P$13" noThreeD="1" sel="1" val="0"/>
</file>

<file path=xl/ctrlProps/ctrlProp2.xml><?xml version="1.0" encoding="utf-8"?>
<formControlPr xmlns="http://schemas.microsoft.com/office/spreadsheetml/2009/9/main" objectType="Drop" dropLines="12" dropStyle="combo" dx="22" fmlaLink="RELATORIO_04!$R$1" fmlaRange="CADASTRO_AUX!$S$1:$S$46" noThreeD="1" sel="1" val="0"/>
</file>

<file path=xl/ctrlProps/ctrlProp3.xml><?xml version="1.0" encoding="utf-8"?>
<formControlPr xmlns="http://schemas.microsoft.com/office/spreadsheetml/2009/9/main" objectType="Drop" dropLines="2" dropStyle="combo" dx="22" fmlaLink="RELATORIO_03!$O$1" fmlaRange="RELATORIO_05!$V$1:$V$2" noThreeD="1" sel="1" val="0"/>
</file>

<file path=xl/ctrlProps/ctrlProp4.xml><?xml version="1.0" encoding="utf-8"?>
<formControlPr xmlns="http://schemas.microsoft.com/office/spreadsheetml/2009/9/main" objectType="Drop" dropLines="12" dropStyle="combo" dx="22" fmlaLink="CADASTROS!$AB$1" fmlaRange="CADASTROS!$AA$1:$AA$2" noThreeD="1" sel="1" val="0"/>
</file>

<file path=xl/ctrlProps/ctrlProp5.xml><?xml version="1.0" encoding="utf-8"?>
<formControlPr xmlns="http://schemas.microsoft.com/office/spreadsheetml/2009/9/main" objectType="Drop" dropLines="12" dropStyle="combo" dx="22" fmlaLink="$C$4" fmlaRange="CADASTRO_AUX!$P$1:$P$13" noThreeD="1" sel="1" val="0"/>
</file>

<file path=xl/ctrlProps/ctrlProp6.xml><?xml version="1.0" encoding="utf-8"?>
<formControlPr xmlns="http://schemas.microsoft.com/office/spreadsheetml/2009/9/main" objectType="Drop" dropLines="12" dropStyle="combo" dx="22" fmlaLink="$B$4" fmlaRange="CADASTRO_AUX!$P$1:$P$46" noThreeD="1" sel="1" val="0"/>
</file>

<file path=xl/ctrlProps/ctrlProp7.xml><?xml version="1.0" encoding="utf-8"?>
<formControlPr xmlns="http://schemas.microsoft.com/office/spreadsheetml/2009/9/main" objectType="Drop" dropLines="12" dropStyle="combo" dx="22" fmlaLink="$N$4" fmlaRange="CADASTRO_AUX!$N$1:$N$12" noThreeD="1" sel="5" val="0"/>
</file>

<file path=xl/ctrlProps/ctrlProp8.xml><?xml version="1.0" encoding="utf-8"?>
<formControlPr xmlns="http://schemas.microsoft.com/office/spreadsheetml/2009/9/main" objectType="Drop" dropLines="12" dropStyle="combo" dx="22" fmlaLink="$L$1" fmlaRange="CADASTRO_AUX!$P$1:$P$13" noThreeD="1" sel="1" val="0"/>
</file>

<file path=xl/ctrlProps/ctrlProp9.xml><?xml version="1.0" encoding="utf-8"?>
<formControlPr xmlns="http://schemas.microsoft.com/office/spreadsheetml/2009/9/main" objectType="Drop" dropLines="12" dropStyle="combo" dx="22" fmlaLink="RELATORIO_04!$R$1" fmlaRange="CADASTRO_AUX!$S$1:$S$46" noThreeD="1" sel="1" val="0"/>
</file>

<file path=xl/ctrlProps/ctrlProp10.xml><?xml version="1.0" encoding="utf-8"?>
<formControlPr xmlns="http://schemas.microsoft.com/office/spreadsheetml/2009/9/main" objectType="Drop" dropLines="2" dropStyle="combo" dx="22" fmlaLink="$O$1" fmlaRange="RELATORIO_05!$V$1:$V$2" noThreeD="1" sel="1" val="0"/>
</file>

<file path=xl/ctrlProps/ctrlProp11.xml><?xml version="1.0" encoding="utf-8"?>
<formControlPr xmlns="http://schemas.microsoft.com/office/spreadsheetml/2009/9/main" objectType="Drop" dropLines="12" dropStyle="combo" dx="22" fmlaLink="$S$1" fmlaRange="CADASTRO_AUX!$P$1:$P$46" noThreeD="1" sel="1" val="0"/>
</file>

<file path=xl/ctrlProps/ctrlProp12.xml><?xml version="1.0" encoding="utf-8"?>
<formControlPr xmlns="http://schemas.microsoft.com/office/spreadsheetml/2009/9/main" objectType="Drop" dropLines="12" dropStyle="combo" dx="22" fmlaLink="$U$1" fmlaRange="CADASTRO_AUX!$S$1:$S$46" noThreeD="1" sel="1" val="0"/>
</file>

<file path=xl/ctrlProps/ctrlProp13.xml><?xml version="1.0" encoding="utf-8"?>
<formControlPr xmlns="http://schemas.microsoft.com/office/spreadsheetml/2009/9/main" objectType="Drop" dropLines="2" dropStyle="combo" dx="22" fmlaLink="$Y$1" fmlaRange="RELATORIO_05!$V$1:$V$2" noThreeD="1" sel="1" val="0"/>
</file>

<file path=xl/ctrlProps/ctrlProp14.xml><?xml version="1.0" encoding="utf-8"?>
<formControlPr xmlns="http://schemas.microsoft.com/office/spreadsheetml/2009/9/main" objectType="Drop" dropLines="12" dropStyle="combo" dx="22" fmlaLink="$L$3" fmlaRange="CADASTRO_AUX!$V$1:$V$46" noThreeD="1" sel="1" val="0"/>
</file>

<file path=xl/ctrlProps/ctrlProp15.xml><?xml version="1.0" encoding="utf-8"?>
<formControlPr xmlns="http://schemas.microsoft.com/office/spreadsheetml/2009/9/main" objectType="Drop" dropLines="12" dropStyle="combo" dx="22" fmlaLink="$L$1" fmlaRange="CADASTRO_AUX!$P$1:$P$46" noThreeD="1" sel="1" val="0"/>
</file>

<file path=xl/ctrlProps/ctrlProp16.xml><?xml version="1.0" encoding="utf-8"?>
<formControlPr xmlns="http://schemas.microsoft.com/office/spreadsheetml/2009/9/main" objectType="Drop" dropLines="12" dropStyle="combo" dx="22" fmlaLink="$L$2" fmlaRange="CADASTRO_AUX!$N$1:$N$12" noThreeD="1" sel="3" val="0"/>
</file>

<file path=xl/ctrlProps/ctrlProp17.xml><?xml version="1.0" encoding="utf-8"?>
<formControlPr xmlns="http://schemas.microsoft.com/office/spreadsheetml/2009/9/main" objectType="Drop" dropLines="2" dropStyle="combo" dx="22" fmlaLink="$L$4" fmlaRange="RELATORIO_05!$V$1:$V$2" noThreeD="1" sel="2" val="0"/>
</file>

<file path=xl/ctrlProps/ctrlProp18.xml><?xml version="1.0" encoding="utf-8"?>
<formControlPr xmlns="http://schemas.microsoft.com/office/spreadsheetml/2009/9/main" objectType="Drop" dropLines="12" dropStyle="combo" dx="22" fmlaLink="$S$1" fmlaRange="CADASTRO_AUX!$P$1:$P$46" noThreeD="1" sel="1" val="0"/>
</file>

<file path=xl/ctrlProps/ctrlProp19.xml><?xml version="1.0" encoding="utf-8"?>
<formControlPr xmlns="http://schemas.microsoft.com/office/spreadsheetml/2009/9/main" objectType="Drop" dropLines="2" dropStyle="combo" dx="22" fmlaLink="$Z$1" fmlaRange="$AR$1:$AR$2" noThreeD="1" sel="2" val="0"/>
</file>

<file path=xl/ctrlProps/ctrlProp20.xml><?xml version="1.0" encoding="utf-8"?>
<formControlPr xmlns="http://schemas.microsoft.com/office/spreadsheetml/2009/9/main" objectType="Drop" dropLines="2" dropStyle="combo" dx="22" fmlaLink="$Y$1" fmlaRange="RELATORIO_10!$AO$1:$AO$2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https://www.youtube.com/watch?v=K-l38_1DLrk&amp;list=PL1qw1W-gbF_ZgrFKvRubYUcumR6bIPfEk" TargetMode="External"/><Relationship Id="rId18" Type="http://schemas.openxmlformats.org/officeDocument/2006/relationships/chart" Target="../charts/chart4.xml"/><Relationship Id="rId3" Type="http://schemas.openxmlformats.org/officeDocument/2006/relationships/image" Target="../media/image3.png"/><Relationship Id="rId21" Type="http://schemas.openxmlformats.org/officeDocument/2006/relationships/chart" Target="../charts/chart7.xml"/><Relationship Id="rId7" Type="http://schemas.openxmlformats.org/officeDocument/2006/relationships/image" Target="../media/image6.png"/><Relationship Id="rId12" Type="http://schemas.openxmlformats.org/officeDocument/2006/relationships/image" Target="../media/image9.png"/><Relationship Id="rId17" Type="http://schemas.openxmlformats.org/officeDocument/2006/relationships/chart" Target="../charts/chart3.xml"/><Relationship Id="rId2" Type="http://schemas.openxmlformats.org/officeDocument/2006/relationships/image" Target="../media/image2.png"/><Relationship Id="rId16" Type="http://schemas.openxmlformats.org/officeDocument/2006/relationships/chart" Target="../charts/chart2.xml"/><Relationship Id="rId20" Type="http://schemas.openxmlformats.org/officeDocument/2006/relationships/chart" Target="../charts/chart6.xml"/><Relationship Id="rId1" Type="http://schemas.openxmlformats.org/officeDocument/2006/relationships/image" Target="../media/image1.png"/><Relationship Id="rId6" Type="http://schemas.openxmlformats.org/officeDocument/2006/relationships/hyperlink" Target="#CADASTROS!A1"/><Relationship Id="rId11" Type="http://schemas.openxmlformats.org/officeDocument/2006/relationships/hyperlink" Target="https://excelcoaching.com.br" TargetMode="External"/><Relationship Id="rId5" Type="http://schemas.openxmlformats.org/officeDocument/2006/relationships/image" Target="../media/image5.png"/><Relationship Id="rId15" Type="http://schemas.openxmlformats.org/officeDocument/2006/relationships/chart" Target="../charts/chart1.xml"/><Relationship Id="rId10" Type="http://schemas.openxmlformats.org/officeDocument/2006/relationships/image" Target="../media/image8.png"/><Relationship Id="rId19" Type="http://schemas.openxmlformats.org/officeDocument/2006/relationships/chart" Target="../charts/chart5.xml"/><Relationship Id="rId4" Type="http://schemas.openxmlformats.org/officeDocument/2006/relationships/image" Target="../media/image4.png"/><Relationship Id="rId9" Type="http://schemas.openxmlformats.org/officeDocument/2006/relationships/hyperlink" Target="#RELATORIO_01!A1"/><Relationship Id="rId14" Type="http://schemas.openxmlformats.org/officeDocument/2006/relationships/image" Target="../media/image10.png"/><Relationship Id="rId22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1.svg"/><Relationship Id="rId3" Type="http://schemas.openxmlformats.org/officeDocument/2006/relationships/image" Target="../media/image11.png"/><Relationship Id="rId7" Type="http://schemas.openxmlformats.org/officeDocument/2006/relationships/image" Target="../media/image15.svg"/><Relationship Id="rId12" Type="http://schemas.openxmlformats.org/officeDocument/2006/relationships/image" Target="../media/image20.png"/><Relationship Id="rId17" Type="http://schemas.openxmlformats.org/officeDocument/2006/relationships/image" Target="../media/image25.svg"/><Relationship Id="rId2" Type="http://schemas.openxmlformats.org/officeDocument/2006/relationships/hyperlink" Target="#INICIO!A1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4.png"/><Relationship Id="rId11" Type="http://schemas.openxmlformats.org/officeDocument/2006/relationships/image" Target="../media/image19.svg"/><Relationship Id="rId5" Type="http://schemas.openxmlformats.org/officeDocument/2006/relationships/image" Target="../media/image13.svg"/><Relationship Id="rId15" Type="http://schemas.openxmlformats.org/officeDocument/2006/relationships/image" Target="../media/image23.sv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svg"/><Relationship Id="rId14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7.png"/><Relationship Id="rId1" Type="http://schemas.openxmlformats.org/officeDocument/2006/relationships/hyperlink" Target="#Jan!A1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11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11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11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11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10" Type="http://schemas.openxmlformats.org/officeDocument/2006/relationships/hyperlink" Target="#RELATORIO_12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11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11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11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11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5!A1"/><Relationship Id="rId3" Type="http://schemas.openxmlformats.org/officeDocument/2006/relationships/hyperlink" Target="#RELATORIO_01!A1"/><Relationship Id="rId7" Type="http://schemas.openxmlformats.org/officeDocument/2006/relationships/hyperlink" Target="#RELATORIO_02!A1"/><Relationship Id="rId2" Type="http://schemas.openxmlformats.org/officeDocument/2006/relationships/image" Target="../media/image11.png"/><Relationship Id="rId1" Type="http://schemas.openxmlformats.org/officeDocument/2006/relationships/hyperlink" Target="#INICIO!A1"/><Relationship Id="rId6" Type="http://schemas.openxmlformats.org/officeDocument/2006/relationships/image" Target="../media/image8.png"/><Relationship Id="rId5" Type="http://schemas.openxmlformats.org/officeDocument/2006/relationships/hyperlink" Target="#RELATORIO_04!A1"/><Relationship Id="rId4" Type="http://schemas.openxmlformats.org/officeDocument/2006/relationships/hyperlink" Target="#RELATORIO_03!A1"/><Relationship Id="rId9" Type="http://schemas.openxmlformats.org/officeDocument/2006/relationships/hyperlink" Target="#RELATORIO_10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hyperlink" Target="#INICIO!A1"/><Relationship Id="rId7" Type="http://schemas.openxmlformats.org/officeDocument/2006/relationships/hyperlink" Target="#RELATORIO_04!A1"/><Relationship Id="rId2" Type="http://schemas.openxmlformats.org/officeDocument/2006/relationships/hyperlink" Target="#RELATORIO_11!A1"/><Relationship Id="rId1" Type="http://schemas.openxmlformats.org/officeDocument/2006/relationships/hyperlink" Target="#RELATORIO_10!A1"/><Relationship Id="rId6" Type="http://schemas.openxmlformats.org/officeDocument/2006/relationships/hyperlink" Target="#RELATORIO_03!A1"/><Relationship Id="rId5" Type="http://schemas.openxmlformats.org/officeDocument/2006/relationships/hyperlink" Target="#RELATORIO_01!A1"/><Relationship Id="rId10" Type="http://schemas.openxmlformats.org/officeDocument/2006/relationships/hyperlink" Target="#RELATORIO_05!A1"/><Relationship Id="rId4" Type="http://schemas.openxmlformats.org/officeDocument/2006/relationships/image" Target="../media/image11.png"/><Relationship Id="rId9" Type="http://schemas.openxmlformats.org/officeDocument/2006/relationships/hyperlink" Target="#RELATORIO_02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hyperlink" Target="#INICIO!A1"/><Relationship Id="rId7" Type="http://schemas.openxmlformats.org/officeDocument/2006/relationships/hyperlink" Target="#RELATORIO_04!A1"/><Relationship Id="rId2" Type="http://schemas.openxmlformats.org/officeDocument/2006/relationships/hyperlink" Target="#RELATORIO_11!A1"/><Relationship Id="rId1" Type="http://schemas.openxmlformats.org/officeDocument/2006/relationships/hyperlink" Target="#RELATORIO_10!A1"/><Relationship Id="rId6" Type="http://schemas.openxmlformats.org/officeDocument/2006/relationships/hyperlink" Target="#RELATORIO_03!A1"/><Relationship Id="rId5" Type="http://schemas.openxmlformats.org/officeDocument/2006/relationships/hyperlink" Target="#RELATORIO_01!A1"/><Relationship Id="rId10" Type="http://schemas.openxmlformats.org/officeDocument/2006/relationships/hyperlink" Target="#RELATORIO_05!A1"/><Relationship Id="rId4" Type="http://schemas.openxmlformats.org/officeDocument/2006/relationships/image" Target="../media/image11.png"/><Relationship Id="rId9" Type="http://schemas.openxmlformats.org/officeDocument/2006/relationships/hyperlink" Target="#RELATORIO_02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RELATORIO_02!A1"/><Relationship Id="rId3" Type="http://schemas.openxmlformats.org/officeDocument/2006/relationships/hyperlink" Target="#INICIO!A1"/><Relationship Id="rId7" Type="http://schemas.openxmlformats.org/officeDocument/2006/relationships/image" Target="../media/image8.png"/><Relationship Id="rId2" Type="http://schemas.openxmlformats.org/officeDocument/2006/relationships/hyperlink" Target="#RELATORIO_12!A1"/><Relationship Id="rId1" Type="http://schemas.openxmlformats.org/officeDocument/2006/relationships/hyperlink" Target="#RELATORIO_04!A1"/><Relationship Id="rId6" Type="http://schemas.openxmlformats.org/officeDocument/2006/relationships/hyperlink" Target="#RELATORIO_03!A1"/><Relationship Id="rId5" Type="http://schemas.openxmlformats.org/officeDocument/2006/relationships/hyperlink" Target="#RELATORIO_01!A1"/><Relationship Id="rId10" Type="http://schemas.openxmlformats.org/officeDocument/2006/relationships/hyperlink" Target="#RELATORIO_10!A1"/><Relationship Id="rId4" Type="http://schemas.openxmlformats.org/officeDocument/2006/relationships/image" Target="../media/image11.png"/><Relationship Id="rId9" Type="http://schemas.openxmlformats.org/officeDocument/2006/relationships/hyperlink" Target="#RELATORIO_05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FORM_RECEITAS!F6"/><Relationship Id="rId7" Type="http://schemas.openxmlformats.org/officeDocument/2006/relationships/hyperlink" Target="#FORM_TRANSF!A1"/><Relationship Id="rId2" Type="http://schemas.openxmlformats.org/officeDocument/2006/relationships/image" Target="../media/image7.png"/><Relationship Id="rId1" Type="http://schemas.openxmlformats.org/officeDocument/2006/relationships/hyperlink" Target="#LAN&#199;AMENTOS_!A1"/><Relationship Id="rId6" Type="http://schemas.openxmlformats.org/officeDocument/2006/relationships/image" Target="../media/image11.png"/><Relationship Id="rId5" Type="http://schemas.openxmlformats.org/officeDocument/2006/relationships/hyperlink" Target="#INICIO!A1"/><Relationship Id="rId4" Type="http://schemas.openxmlformats.org/officeDocument/2006/relationships/hyperlink" Target="#FORM_DESPESAS!F6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LAN&#199;AMENTOS_01!A1"/><Relationship Id="rId3" Type="http://schemas.openxmlformats.org/officeDocument/2006/relationships/hyperlink" Target="#FORM_RECEITAS!F6"/><Relationship Id="rId7" Type="http://schemas.openxmlformats.org/officeDocument/2006/relationships/hyperlink" Target="#FORM_TRANSF!F6"/><Relationship Id="rId2" Type="http://schemas.openxmlformats.org/officeDocument/2006/relationships/image" Target="../media/image7.png"/><Relationship Id="rId1" Type="http://schemas.openxmlformats.org/officeDocument/2006/relationships/hyperlink" Target="#LAN&#199;AMENTOS_!A1"/><Relationship Id="rId6" Type="http://schemas.openxmlformats.org/officeDocument/2006/relationships/image" Target="../media/image11.png"/><Relationship Id="rId5" Type="http://schemas.openxmlformats.org/officeDocument/2006/relationships/hyperlink" Target="#INICIO!A1"/><Relationship Id="rId4" Type="http://schemas.openxmlformats.org/officeDocument/2006/relationships/hyperlink" Target="#FORM_DESPESAS!F6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LAN&#199;AMENTOS_02!A1"/><Relationship Id="rId3" Type="http://schemas.openxmlformats.org/officeDocument/2006/relationships/hyperlink" Target="#FORM_RECEITAS!F6"/><Relationship Id="rId7" Type="http://schemas.openxmlformats.org/officeDocument/2006/relationships/hyperlink" Target="#FORM_TRANSF!F6"/><Relationship Id="rId2" Type="http://schemas.openxmlformats.org/officeDocument/2006/relationships/image" Target="../media/image7.png"/><Relationship Id="rId1" Type="http://schemas.openxmlformats.org/officeDocument/2006/relationships/hyperlink" Target="#LAN&#199;AMENTOS_!A1"/><Relationship Id="rId6" Type="http://schemas.openxmlformats.org/officeDocument/2006/relationships/image" Target="../media/image11.png"/><Relationship Id="rId5" Type="http://schemas.openxmlformats.org/officeDocument/2006/relationships/hyperlink" Target="#INICIO!A1"/><Relationship Id="rId4" Type="http://schemas.openxmlformats.org/officeDocument/2006/relationships/hyperlink" Target="#FORM_DESPESAS!F6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FORM_TRANSF!F6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hyperlink" Target="#LAN&#199;AMENTOS_!A1"/><Relationship Id="rId1" Type="http://schemas.openxmlformats.org/officeDocument/2006/relationships/hyperlink" Target="#LAN&#199;AMENTOS_03!A1"/><Relationship Id="rId6" Type="http://schemas.openxmlformats.org/officeDocument/2006/relationships/hyperlink" Target="#INICIO!A1"/><Relationship Id="rId5" Type="http://schemas.openxmlformats.org/officeDocument/2006/relationships/hyperlink" Target="#FORM_DESPESAS!F6"/><Relationship Id="rId4" Type="http://schemas.openxmlformats.org/officeDocument/2006/relationships/hyperlink" Target="#FORM_RECEITAS!F6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CADASTROS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5" Type="http://schemas.openxmlformats.org/officeDocument/2006/relationships/hyperlink" Target="#FORM_CAIXA!A1"/><Relationship Id="rId4" Type="http://schemas.openxmlformats.org/officeDocument/2006/relationships/hyperlink" Target="#FORM_CENTRO_DE_CUSTO!A1"/><Relationship Id="rId9" Type="http://schemas.openxmlformats.org/officeDocument/2006/relationships/image" Target="../media/image11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6!A1"/><Relationship Id="rId5" Type="http://schemas.openxmlformats.org/officeDocument/2006/relationships/hyperlink" Target="#FORM_CAIXA!A1"/><Relationship Id="rId10" Type="http://schemas.openxmlformats.org/officeDocument/2006/relationships/image" Target="../media/image11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7!A1"/><Relationship Id="rId5" Type="http://schemas.openxmlformats.org/officeDocument/2006/relationships/hyperlink" Target="#FORM_CAIXA!A1"/><Relationship Id="rId10" Type="http://schemas.openxmlformats.org/officeDocument/2006/relationships/image" Target="../media/image11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1!A1"/><Relationship Id="rId5" Type="http://schemas.openxmlformats.org/officeDocument/2006/relationships/hyperlink" Target="#FORM_CAIXA!A1"/><Relationship Id="rId10" Type="http://schemas.openxmlformats.org/officeDocument/2006/relationships/image" Target="../media/image11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2!A1"/><Relationship Id="rId5" Type="http://schemas.openxmlformats.org/officeDocument/2006/relationships/hyperlink" Target="#FORM_CAIXA!A1"/><Relationship Id="rId10" Type="http://schemas.openxmlformats.org/officeDocument/2006/relationships/image" Target="../media/image11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3!A1"/><Relationship Id="rId5" Type="http://schemas.openxmlformats.org/officeDocument/2006/relationships/hyperlink" Target="#FORM_CAIXA!A1"/><Relationship Id="rId10" Type="http://schemas.openxmlformats.org/officeDocument/2006/relationships/image" Target="../media/image11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4!A1"/><Relationship Id="rId5" Type="http://schemas.openxmlformats.org/officeDocument/2006/relationships/hyperlink" Target="#FORM_CAIXA!A1"/><Relationship Id="rId10" Type="http://schemas.openxmlformats.org/officeDocument/2006/relationships/image" Target="../media/image11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hyperlink" Target="#FORM_FORMAS_DE_PAGAMENTO!A1"/><Relationship Id="rId3" Type="http://schemas.openxmlformats.org/officeDocument/2006/relationships/hyperlink" Target="#FORM_CONT_DESPESAS!A1"/><Relationship Id="rId7" Type="http://schemas.openxmlformats.org/officeDocument/2006/relationships/hyperlink" Target="#FORM_FORNECEDORES!A1"/><Relationship Id="rId2" Type="http://schemas.openxmlformats.org/officeDocument/2006/relationships/hyperlink" Target="#FORM_CONT_RECEITAS!A1"/><Relationship Id="rId1" Type="http://schemas.openxmlformats.org/officeDocument/2006/relationships/image" Target="../media/image6.png"/><Relationship Id="rId6" Type="http://schemas.openxmlformats.org/officeDocument/2006/relationships/hyperlink" Target="#FORM_CLIENTES!A1"/><Relationship Id="rId11" Type="http://schemas.openxmlformats.org/officeDocument/2006/relationships/hyperlink" Target="#CADASTRO_05!A1"/><Relationship Id="rId5" Type="http://schemas.openxmlformats.org/officeDocument/2006/relationships/hyperlink" Target="#FORM_CAIXA!A1"/><Relationship Id="rId10" Type="http://schemas.openxmlformats.org/officeDocument/2006/relationships/image" Target="../media/image11.png"/><Relationship Id="rId4" Type="http://schemas.openxmlformats.org/officeDocument/2006/relationships/hyperlink" Target="#FORM_CENTRO_DE_CUSTO!A1"/><Relationship Id="rId9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114301</xdr:colOff>
      <xdr:row>4</xdr:row>
      <xdr:rowOff>146238</xdr:rowOff>
    </xdr:from>
    <xdr:to>
      <xdr:col>5</xdr:col>
      <xdr:colOff>664936</xdr:colOff>
      <xdr:row>9</xdr:row>
      <xdr:rowOff>3363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4301" y="908238"/>
          <a:ext cx="3576223" cy="809625"/>
          <a:chOff x="114302" y="950830"/>
          <a:chExt cx="3191956" cy="880644"/>
        </a:xfrm>
      </xdr:grpSpPr>
      <xdr:sp macro="" textlink="RELATORIO_03!E15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4302" y="1323977"/>
            <a:ext cx="3191956" cy="507497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0578D8A-A364-49C5-9D4A-8AA973DA1A3E}" type="TxLink">
              <a:rPr lang="en-US" sz="2800" b="1" i="0" u="none" strike="noStrike">
                <a:solidFill>
                  <a:srgbClr val="00B050"/>
                </a:solidFill>
                <a:latin typeface="Calibri"/>
                <a:cs typeface="Calibri"/>
              </a:rPr>
              <a:pPr algn="ctr"/>
              <a:t>0,00</a:t>
            </a:fld>
            <a:endParaRPr lang="pt-BR" sz="2800">
              <a:solidFill>
                <a:srgbClr val="00B050"/>
              </a:solidFill>
            </a:endParaRP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595" r="19422"/>
          <a:stretch/>
        </xdr:blipFill>
        <xdr:spPr>
          <a:xfrm>
            <a:off x="207189" y="950830"/>
            <a:ext cx="523874" cy="833689"/>
          </a:xfrm>
          <a:prstGeom prst="rect">
            <a:avLst/>
          </a:prstGeom>
        </xdr:spPr>
      </xdr:pic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/>
          </xdr:cNvSpPr>
        </xdr:nvSpPr>
        <xdr:spPr>
          <a:xfrm>
            <a:off x="485775" y="1038225"/>
            <a:ext cx="1495425" cy="3638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rgbClr val="00B050"/>
                </a:solidFill>
              </a:rPr>
              <a:t>RECEITAS</a:t>
            </a:r>
          </a:p>
        </xdr:txBody>
      </xdr:sp>
    </xdr:grpSp>
    <xdr:clientData/>
  </xdr:twoCellAnchor>
  <xdr:twoCellAnchor editAs="absolute">
    <xdr:from>
      <xdr:col>6</xdr:col>
      <xdr:colOff>52159</xdr:colOff>
      <xdr:row>5</xdr:row>
      <xdr:rowOff>1</xdr:rowOff>
    </xdr:from>
    <xdr:to>
      <xdr:col>11</xdr:col>
      <xdr:colOff>574222</xdr:colOff>
      <xdr:row>8</xdr:row>
      <xdr:rowOff>171449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772512" y="952501"/>
          <a:ext cx="3547651" cy="742948"/>
          <a:chOff x="3429000" y="1009650"/>
          <a:chExt cx="3166624" cy="808118"/>
        </a:xfrm>
      </xdr:grpSpPr>
      <xdr:sp macro="" textlink="RELATORIO_03!F15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429000" y="1323976"/>
            <a:ext cx="3166624" cy="493792"/>
          </a:xfrm>
          <a:prstGeom prst="roundRect">
            <a:avLst/>
          </a:prstGeom>
          <a:solidFill>
            <a:srgbClr val="FFCC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C87DA6D-6186-4BE8-973D-0270E467D778}" type="TxLink">
              <a:rPr lang="en-US" sz="2800" b="1" i="0" u="none" strike="noStrike">
                <a:solidFill>
                  <a:srgbClr val="FF7C80"/>
                </a:solidFill>
                <a:latin typeface="Calibri"/>
                <a:cs typeface="Calibri"/>
              </a:rPr>
              <a:pPr algn="ctr"/>
              <a:t>0,00</a:t>
            </a:fld>
            <a:endParaRPr lang="pt-BR" sz="2800">
              <a:solidFill>
                <a:srgbClr val="FF7C80"/>
              </a:solidFill>
            </a:endParaRPr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679"/>
          <a:stretch/>
        </xdr:blipFill>
        <xdr:spPr>
          <a:xfrm>
            <a:off x="3513443" y="1009650"/>
            <a:ext cx="771525" cy="56112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>
            <a:spLocks/>
          </xdr:cNvSpPr>
        </xdr:nvSpPr>
        <xdr:spPr>
          <a:xfrm>
            <a:off x="3829050" y="1047750"/>
            <a:ext cx="1409700" cy="3447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chemeClr val="tx1">
                    <a:lumMod val="75000"/>
                    <a:lumOff val="25000"/>
                  </a:schemeClr>
                </a:solidFill>
              </a:rPr>
              <a:t>DESPESAS</a:t>
            </a:r>
          </a:p>
        </xdr:txBody>
      </xdr:sp>
    </xdr:grpSp>
    <xdr:clientData/>
  </xdr:twoCellAnchor>
  <xdr:twoCellAnchor editAs="absolute">
    <xdr:from>
      <xdr:col>12</xdr:col>
      <xdr:colOff>95354</xdr:colOff>
      <xdr:row>10</xdr:row>
      <xdr:rowOff>129106</xdr:rowOff>
    </xdr:from>
    <xdr:to>
      <xdr:col>17</xdr:col>
      <xdr:colOff>35403</xdr:colOff>
      <xdr:row>14</xdr:row>
      <xdr:rowOff>168648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7446413" y="2034106"/>
          <a:ext cx="2965637" cy="801542"/>
          <a:chOff x="95250" y="2580424"/>
          <a:chExt cx="2890567" cy="80292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95250" y="2580424"/>
            <a:ext cx="2890567" cy="802920"/>
            <a:chOff x="1504949" y="2095500"/>
            <a:chExt cx="2890567" cy="802920"/>
          </a:xfrm>
        </xdr:grpSpPr>
        <xdr:sp macro="" textlink="CADASTRO_AUX!B20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1504949" y="2428875"/>
              <a:ext cx="2890567" cy="469545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4E62E78-8471-44A7-8AB3-DA5C9276F63F}" type="TxLink">
                <a:rPr lang="en-US" sz="24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R$-   </a:t>
              </a:fld>
              <a:endParaRPr lang="pt-BR" sz="2400" b="0"/>
            </a:p>
          </xdr:txBody>
        </xdr:sp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>
              <a:spLocks/>
            </xdr:cNvSpPr>
          </xdr:nvSpPr>
          <xdr:spPr>
            <a:xfrm>
              <a:off x="1641707" y="2095500"/>
              <a:ext cx="2751727" cy="344783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TOTAL</a:t>
              </a:r>
              <a:r>
                <a:rPr lang="pt-BR" sz="16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</a:t>
              </a:r>
              <a:r>
                <a:rPr lang="pt-BR" sz="16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BANCOS/CAIXAS</a:t>
              </a:r>
            </a:p>
          </xdr:txBody>
        </xdr:sp>
      </xdr:grpSp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0000"/>
          <a:stretch/>
        </xdr:blipFill>
        <xdr:spPr>
          <a:xfrm>
            <a:off x="154686" y="2591137"/>
            <a:ext cx="445376" cy="510845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43613</xdr:colOff>
      <xdr:row>5</xdr:row>
      <xdr:rowOff>52667</xdr:rowOff>
    </xdr:from>
    <xdr:to>
      <xdr:col>16</xdr:col>
      <xdr:colOff>601752</xdr:colOff>
      <xdr:row>9</xdr:row>
      <xdr:rowOff>182092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394672" y="1005167"/>
          <a:ext cx="2978609" cy="891425"/>
          <a:chOff x="1460127" y="2123166"/>
          <a:chExt cx="3134902" cy="891304"/>
        </a:xfrm>
      </xdr:grpSpPr>
      <xdr:sp macro="" textlink="RELATORIO_03!H15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528560" y="2360755"/>
            <a:ext cx="3066469" cy="653715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C068F1A-74F8-4139-B763-E8625E6AF0FC}" type="TxLink">
              <a:rPr lang="en-US" sz="2400" b="1" i="0" u="none" strike="noStrike">
                <a:solidFill>
                  <a:schemeClr val="tx1">
                    <a:lumMod val="95000"/>
                    <a:lumOff val="5000"/>
                  </a:schemeClr>
                </a:solidFill>
                <a:latin typeface="Calibri"/>
                <a:cs typeface="Calibri"/>
              </a:rPr>
              <a:pPr algn="ctr"/>
              <a:t>0,00</a:t>
            </a:fld>
            <a:endParaRPr lang="pt-BR" sz="2400" b="1">
              <a:solidFill>
                <a:schemeClr val="tx1">
                  <a:lumMod val="95000"/>
                  <a:lumOff val="5000"/>
                </a:schemeClr>
              </a:solidFill>
            </a:endParaRPr>
          </a:p>
        </xdr:txBody>
      </xdr:sp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>
          <a:xfrm>
            <a:off x="1460127" y="2123166"/>
            <a:ext cx="1581041" cy="27976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000" b="1">
                <a:solidFill>
                  <a:schemeClr val="tx1">
                    <a:lumMod val="75000"/>
                    <a:lumOff val="25000"/>
                  </a:schemeClr>
                </a:solidFill>
              </a:rPr>
              <a:t>RESULTADO</a:t>
            </a:r>
          </a:p>
        </xdr:txBody>
      </xdr:sp>
    </xdr:grpSp>
    <xdr:clientData/>
  </xdr:twoCellAnchor>
  <xdr:twoCellAnchor editAs="absolute">
    <xdr:from>
      <xdr:col>12</xdr:col>
      <xdr:colOff>112673</xdr:colOff>
      <xdr:row>15</xdr:row>
      <xdr:rowOff>127015</xdr:rowOff>
    </xdr:from>
    <xdr:to>
      <xdr:col>17</xdr:col>
      <xdr:colOff>35489</xdr:colOff>
      <xdr:row>21</xdr:row>
      <xdr:rowOff>70598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7463732" y="2984515"/>
          <a:ext cx="2948404" cy="1086583"/>
          <a:chOff x="8135422" y="3581399"/>
          <a:chExt cx="2970728" cy="1086583"/>
        </a:xfrm>
      </xdr:grpSpPr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8135422" y="3581399"/>
            <a:ext cx="2968381" cy="657227"/>
            <a:chOff x="96628" y="5000624"/>
            <a:chExt cx="2860998" cy="657227"/>
          </a:xfrm>
        </xdr:grpSpPr>
        <xdr:grpSp>
          <xdr:nvGrpSpPr>
            <xdr:cNvPr id="43" name="Agrupar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GrpSpPr/>
          </xdr:nvGrpSpPr>
          <xdr:grpSpPr>
            <a:xfrm>
              <a:off x="117353" y="5000624"/>
              <a:ext cx="2840273" cy="657227"/>
              <a:chOff x="41153" y="2400299"/>
              <a:chExt cx="2840273" cy="657227"/>
            </a:xfrm>
          </xdr:grpSpPr>
          <xdr:sp macro="" textlink="CADASTRO_AUX!B22">
            <xdr:nvSpPr>
              <xdr:cNvPr id="45" name="Retângulo: Cantos Superiores Recortados 44">
                <a:extLst>
                  <a:ext uri="{FF2B5EF4-FFF2-40B4-BE49-F238E27FC236}">
                    <a16:creationId xmlns:a16="http://schemas.microsoft.com/office/drawing/2014/main" id="{00000000-0008-0000-0000-00002D000000}"/>
                  </a:ext>
                </a:extLst>
              </xdr:cNvPr>
              <xdr:cNvSpPr/>
            </xdr:nvSpPr>
            <xdr:spPr>
              <a:xfrm>
                <a:off x="41153" y="2714626"/>
                <a:ext cx="2840273" cy="342900"/>
              </a:xfrm>
              <a:prstGeom prst="snip2SameRect">
                <a:avLst/>
              </a:prstGeom>
              <a:solidFill>
                <a:schemeClr val="bg1">
                  <a:lumMod val="8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64133AF1-EDFC-4D64-B77E-EF359655A2A2}" type="TxLink"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/>
                  <a:t>Caixa Negativo em</a:t>
                </a:fld>
                <a:endParaRPr lang="pt-BR" sz="2000"/>
              </a:p>
            </xdr:txBody>
          </xdr:sp>
          <xdr:sp macro="" textlink="">
            <xdr:nvSpPr>
              <xdr:cNvPr id="46" name="Retângulo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>
                <a:spLocks/>
              </xdr:cNvSpPr>
            </xdr:nvSpPr>
            <xdr:spPr>
              <a:xfrm>
                <a:off x="414153" y="2400299"/>
                <a:ext cx="2377730" cy="323851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800" b="1">
                    <a:solidFill>
                      <a:srgbClr val="FF5050"/>
                    </a:solidFill>
                  </a:rPr>
                  <a:t>NECESSIDADE</a:t>
                </a:r>
                <a:r>
                  <a:rPr lang="pt-BR" sz="1800" b="1" baseline="0">
                    <a:solidFill>
                      <a:srgbClr val="FF5050"/>
                    </a:solidFill>
                  </a:rPr>
                  <a:t> DE CAIXA</a:t>
                </a:r>
                <a:endParaRPr lang="pt-BR" sz="1800" b="1">
                  <a:solidFill>
                    <a:srgbClr val="FF5050"/>
                  </a:solidFill>
                </a:endParaRPr>
              </a:p>
            </xdr:txBody>
          </xdr:sp>
        </xdr:grpSp>
        <xdr:pic>
          <xdr:nvPicPr>
            <xdr:cNvPr id="44" name="Imagem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6628" y="5029200"/>
              <a:ext cx="438149" cy="438149"/>
            </a:xfrm>
            <a:prstGeom prst="rect">
              <a:avLst/>
            </a:prstGeom>
          </xdr:spPr>
        </xdr:pic>
      </xdr:grpSp>
      <xdr:sp macro="" textlink="CADASTRO_AUX!B23">
        <xdr:nvSpPr>
          <xdr:cNvPr id="42" name="Retângulo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8153400" y="4257676"/>
            <a:ext cx="2952750" cy="410306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030C585-8C4D-4B7A-8ACC-540B4EA63CD7}" type="TxLink">
              <a:rPr lang="en-US" sz="24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R$-   </a:t>
            </a:fld>
            <a:endParaRPr lang="pt-BR" sz="2400"/>
          </a:p>
        </xdr:txBody>
      </xdr:sp>
    </xdr:grpSp>
    <xdr:clientData/>
  </xdr:twoCellAnchor>
  <xdr:twoCellAnchor editAs="absolute">
    <xdr:from>
      <xdr:col>17</xdr:col>
      <xdr:colOff>159774</xdr:colOff>
      <xdr:row>9</xdr:row>
      <xdr:rowOff>137274</xdr:rowOff>
    </xdr:from>
    <xdr:to>
      <xdr:col>24</xdr:col>
      <xdr:colOff>128361</xdr:colOff>
      <xdr:row>13</xdr:row>
      <xdr:rowOff>180975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10536421" y="1851774"/>
          <a:ext cx="4204411" cy="805701"/>
          <a:chOff x="4322670" y="5865718"/>
          <a:chExt cx="2914650" cy="805700"/>
        </a:xfrm>
      </xdr:grpSpPr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4322670" y="5865718"/>
            <a:ext cx="1811430" cy="805700"/>
            <a:chOff x="1924050" y="3838575"/>
            <a:chExt cx="1782855" cy="805700"/>
          </a:xfrm>
        </xdr:grpSpPr>
        <xdr:grpSp>
          <xdr:nvGrpSpPr>
            <xdr:cNvPr id="48" name="Agrupar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GrpSpPr/>
          </xdr:nvGrpSpPr>
          <xdr:grpSpPr>
            <a:xfrm>
              <a:off x="1924050" y="3838575"/>
              <a:ext cx="1782855" cy="805700"/>
              <a:chOff x="1504950" y="2095500"/>
              <a:chExt cx="1782855" cy="805700"/>
            </a:xfrm>
          </xdr:grpSpPr>
          <xdr:sp macro="" textlink="CADASTRO_AUX!B17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00000000-0008-0000-0000-000032000000}"/>
                  </a:ext>
                </a:extLst>
              </xdr:cNvPr>
              <xdr:cNvSpPr/>
            </xdr:nvSpPr>
            <xdr:spPr>
              <a:xfrm>
                <a:off x="1504950" y="2428874"/>
                <a:ext cx="1782855" cy="472326"/>
              </a:xfrm>
              <a:prstGeom prst="roundRect">
                <a:avLst/>
              </a:prstGeom>
              <a:solidFill>
                <a:srgbClr val="FF7C8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5D43D642-2270-4A0E-AF78-DA6E885646B5}" type="TxLink">
                  <a:rPr lang="en-US" sz="1800" b="0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 R$ -   </a:t>
                </a:fld>
                <a:endParaRPr lang="pt-BR" sz="1800">
                  <a:solidFill>
                    <a:schemeClr val="bg1"/>
                  </a:solidFill>
                </a:endParaRPr>
              </a:p>
            </xdr:txBody>
          </xdr:sp>
          <xdr:sp macro="" textlink="">
            <xdr:nvSpPr>
              <xdr:cNvPr id="51" name="Retângulo 50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SpPr>
                <a:spLocks/>
              </xdr:cNvSpPr>
            </xdr:nvSpPr>
            <xdr:spPr>
              <a:xfrm>
                <a:off x="1885951" y="2095500"/>
                <a:ext cx="1401854" cy="34478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2000" b="1">
                    <a:solidFill>
                      <a:srgbClr val="FF7C80"/>
                    </a:solidFill>
                  </a:rPr>
                  <a:t>A PAGAR</a:t>
                </a:r>
              </a:p>
            </xdr:txBody>
          </xdr:sp>
        </xdr:grpSp>
        <xdr:pic>
          <xdr:nvPicPr>
            <xdr:cNvPr id="49" name="Imagem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52624" y="3867150"/>
              <a:ext cx="504825" cy="514917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GrpSpPr/>
        </xdr:nvGrpSpPr>
        <xdr:grpSpPr>
          <a:xfrm>
            <a:off x="6151470" y="5894293"/>
            <a:ext cx="1085850" cy="777125"/>
            <a:chOff x="8410575" y="4552950"/>
            <a:chExt cx="1085850" cy="777125"/>
          </a:xfrm>
        </xdr:grpSpPr>
        <xdr:sp macro="" textlink="CADASTRO_AUX!B18">
          <xdr:nvSpPr>
            <xdr:cNvPr id="37" name="Fluxograma: Atraso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/>
          </xdr:nvSpPr>
          <xdr:spPr>
            <a:xfrm>
              <a:off x="8420100" y="4857749"/>
              <a:ext cx="1076325" cy="472326"/>
            </a:xfrm>
            <a:prstGeom prst="flowChartDelay">
              <a:avLst/>
            </a:prstGeom>
            <a:solidFill>
              <a:srgbClr val="FF7C8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F584C6C7-D1DE-4156-87E4-0FA47B942E69}" type="TxLink">
                <a:rPr lang="en-US" sz="12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0,00 </a:t>
              </a:fld>
              <a:endParaRPr lang="pt-BR" sz="12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7" name="Retângulo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/>
            </xdr:cNvSpPr>
          </xdr:nvSpPr>
          <xdr:spPr>
            <a:xfrm>
              <a:off x="8410575" y="4552950"/>
              <a:ext cx="1085850" cy="344783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400" b="1">
                  <a:solidFill>
                    <a:srgbClr val="FF7C80"/>
                  </a:solidFill>
                </a:rPr>
                <a:t>EM ATRASO</a:t>
              </a:r>
            </a:p>
          </xdr:txBody>
        </xdr:sp>
      </xdr:grpSp>
    </xdr:grpSp>
    <xdr:clientData/>
  </xdr:twoCellAnchor>
  <xdr:twoCellAnchor editAs="absolute">
    <xdr:from>
      <xdr:col>17</xdr:col>
      <xdr:colOff>156936</xdr:colOff>
      <xdr:row>5</xdr:row>
      <xdr:rowOff>85725</xdr:rowOff>
    </xdr:from>
    <xdr:to>
      <xdr:col>24</xdr:col>
      <xdr:colOff>149486</xdr:colOff>
      <xdr:row>9</xdr:row>
      <xdr:rowOff>133351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10533583" y="1038225"/>
          <a:ext cx="4228374" cy="809626"/>
          <a:chOff x="163348" y="5884768"/>
          <a:chExt cx="2921072" cy="809626"/>
        </a:xfrm>
      </xdr:grpSpPr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GrpSpPr/>
        </xdr:nvGrpSpPr>
        <xdr:grpSpPr>
          <a:xfrm>
            <a:off x="163348" y="5884768"/>
            <a:ext cx="2027015" cy="809626"/>
            <a:chOff x="95250" y="3838575"/>
            <a:chExt cx="1743075" cy="809626"/>
          </a:xfrm>
        </xdr:grpSpPr>
        <xdr:grpSp>
          <xdr:nvGrpSpPr>
            <xdr:cNvPr id="57" name="Agrupar 56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GrpSpPr/>
          </xdr:nvGrpSpPr>
          <xdr:grpSpPr>
            <a:xfrm>
              <a:off x="95250" y="3838575"/>
              <a:ext cx="1743075" cy="809626"/>
              <a:chOff x="1504950" y="2095500"/>
              <a:chExt cx="1743075" cy="809626"/>
            </a:xfrm>
          </xdr:grpSpPr>
          <xdr:sp macro="" textlink="CADASTRO_AUX!B14">
            <xdr:nvSpPr>
              <xdr:cNvPr id="61" name="Retângulo: Cantos Arredondados 60">
                <a:extLst>
                  <a:ext uri="{FF2B5EF4-FFF2-40B4-BE49-F238E27FC236}">
                    <a16:creationId xmlns:a16="http://schemas.microsoft.com/office/drawing/2014/main" id="{00000000-0008-0000-0000-00003D000000}"/>
                  </a:ext>
                </a:extLst>
              </xdr:cNvPr>
              <xdr:cNvSpPr/>
            </xdr:nvSpPr>
            <xdr:spPr>
              <a:xfrm>
                <a:off x="1504950" y="2428876"/>
                <a:ext cx="1555020" cy="476250"/>
              </a:xfrm>
              <a:prstGeom prst="roundRect">
                <a:avLst/>
              </a:prstGeom>
              <a:solidFill>
                <a:srgbClr val="00B0F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E44C3F72-BC8B-41E1-9583-6DF34AF326EC}" type="TxLink">
                  <a:rPr lang="en-US" sz="1800" b="0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 R$ -   </a:t>
                </a:fld>
                <a:endParaRPr lang="pt-BR" sz="1800">
                  <a:solidFill>
                    <a:schemeClr val="bg1"/>
                  </a:solidFill>
                </a:endParaRPr>
              </a:p>
            </xdr:txBody>
          </xdr:sp>
          <xdr:sp macro="" textlink="">
            <xdr:nvSpPr>
              <xdr:cNvPr id="62" name="Retângulo 61">
                <a:extLst>
                  <a:ext uri="{FF2B5EF4-FFF2-40B4-BE49-F238E27FC236}">
                    <a16:creationId xmlns:a16="http://schemas.microsoft.com/office/drawing/2014/main" id="{00000000-0008-0000-0000-00003E000000}"/>
                  </a:ext>
                </a:extLst>
              </xdr:cNvPr>
              <xdr:cNvSpPr>
                <a:spLocks/>
              </xdr:cNvSpPr>
            </xdr:nvSpPr>
            <xdr:spPr>
              <a:xfrm>
                <a:off x="1504950" y="2095500"/>
                <a:ext cx="1743075" cy="34478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2000" b="1">
                    <a:solidFill>
                      <a:srgbClr val="00B0F0"/>
                    </a:solidFill>
                  </a:rPr>
                  <a:t>A RECEBER</a:t>
                </a:r>
              </a:p>
            </xdr:txBody>
          </xdr:sp>
        </xdr:grpSp>
        <xdr:grpSp>
          <xdr:nvGrpSpPr>
            <xdr:cNvPr id="58" name="Agrupar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GrpSpPr/>
          </xdr:nvGrpSpPr>
          <xdr:grpSpPr>
            <a:xfrm>
              <a:off x="106001" y="3876674"/>
              <a:ext cx="484549" cy="505393"/>
              <a:chOff x="96476" y="3867149"/>
              <a:chExt cx="484549" cy="505393"/>
            </a:xfrm>
          </xdr:grpSpPr>
          <xdr:pic>
            <xdr:nvPicPr>
              <xdr:cNvPr id="59" name="Imagem 58">
                <a:extLst>
                  <a:ext uri="{FF2B5EF4-FFF2-40B4-BE49-F238E27FC236}">
                    <a16:creationId xmlns:a16="http://schemas.microsoft.com/office/drawing/2014/main" id="{00000000-0008-0000-0000-00003B000000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t="59194" r="-2083"/>
              <a:stretch/>
            </xdr:blipFill>
            <xdr:spPr>
              <a:xfrm flipH="1">
                <a:off x="114300" y="4162425"/>
                <a:ext cx="466725" cy="210117"/>
              </a:xfrm>
              <a:prstGeom prst="rect">
                <a:avLst/>
              </a:prstGeom>
            </xdr:spPr>
          </xdr:pic>
          <xdr:pic>
            <xdr:nvPicPr>
              <xdr:cNvPr id="60" name="Imagem 59">
                <a:extLst>
                  <a:ext uri="{FF2B5EF4-FFF2-40B4-BE49-F238E27FC236}">
                    <a16:creationId xmlns:a16="http://schemas.microsoft.com/office/drawing/2014/main" id="{00000000-0008-0000-0000-00003C000000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40369" t="3699" r="-11014" b="40806"/>
              <a:stretch/>
            </xdr:blipFill>
            <xdr:spPr>
              <a:xfrm>
                <a:off x="96476" y="3867149"/>
                <a:ext cx="303572" cy="285751"/>
              </a:xfrm>
              <a:prstGeom prst="rect">
                <a:avLst/>
              </a:prstGeom>
            </xdr:spPr>
          </xdr:pic>
        </xdr:grpSp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GrpSpPr/>
        </xdr:nvGrpSpPr>
        <xdr:grpSpPr>
          <a:xfrm>
            <a:off x="1998570" y="5913343"/>
            <a:ext cx="1085850" cy="781051"/>
            <a:chOff x="8410575" y="4552950"/>
            <a:chExt cx="1085850" cy="781051"/>
          </a:xfrm>
        </xdr:grpSpPr>
        <xdr:sp macro="" textlink="CADASTRO_AUX!B15">
          <xdr:nvSpPr>
            <xdr:cNvPr id="55" name="Fluxograma: Atraso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8420100" y="4857751"/>
              <a:ext cx="1076325" cy="476250"/>
            </a:xfrm>
            <a:prstGeom prst="flowChartDelay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9E06B5A2-E2CE-4550-9D9F-ED25D8A92767}" type="TxLink">
                <a:rPr lang="en-US" sz="12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0,00 </a:t>
              </a:fld>
              <a:endParaRPr lang="pt-BR" sz="12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56" name="Retângulo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/>
            </xdr:cNvSpPr>
          </xdr:nvSpPr>
          <xdr:spPr>
            <a:xfrm>
              <a:off x="8410575" y="4552950"/>
              <a:ext cx="1085850" cy="344783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400" b="1">
                  <a:solidFill>
                    <a:srgbClr val="00B0F0"/>
                  </a:solidFill>
                </a:rPr>
                <a:t>EM ATRASO</a:t>
              </a:r>
            </a:p>
          </xdr:txBody>
        </xdr:sp>
      </xdr:grpSp>
    </xdr:grpSp>
    <xdr:clientData/>
  </xdr:twoCellAnchor>
  <xdr:twoCellAnchor editAs="absolute">
    <xdr:from>
      <xdr:col>4</xdr:col>
      <xdr:colOff>67582</xdr:colOff>
      <xdr:row>0</xdr:row>
      <xdr:rowOff>38571</xdr:rowOff>
    </xdr:from>
    <xdr:to>
      <xdr:col>6</xdr:col>
      <xdr:colOff>506142</xdr:colOff>
      <xdr:row>3</xdr:row>
      <xdr:rowOff>143346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pSpPr/>
      </xdr:nvGrpSpPr>
      <xdr:grpSpPr>
        <a:xfrm>
          <a:off x="2488053" y="38571"/>
          <a:ext cx="1738442" cy="676275"/>
          <a:chOff x="176206" y="1543050"/>
          <a:chExt cx="1750289" cy="728815"/>
        </a:xfrm>
      </xdr:grpSpPr>
      <xdr:sp macro="" textlink="">
        <xdr:nvSpPr>
          <xdr:cNvPr id="64" name="Retângulo: Cantos Arredondados 63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ound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66" name="Retângulo 6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>
            <a:spLocks/>
          </xdr:cNvSpPr>
        </xdr:nvSpPr>
        <xdr:spPr>
          <a:xfrm>
            <a:off x="597508" y="173503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6</xdr:col>
      <xdr:colOff>584534</xdr:colOff>
      <xdr:row>0</xdr:row>
      <xdr:rowOff>38571</xdr:rowOff>
    </xdr:from>
    <xdr:to>
      <xdr:col>9</xdr:col>
      <xdr:colOff>502092</xdr:colOff>
      <xdr:row>3</xdr:row>
      <xdr:rowOff>143627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pSpPr/>
      </xdr:nvGrpSpPr>
      <xdr:grpSpPr>
        <a:xfrm>
          <a:off x="4304887" y="38571"/>
          <a:ext cx="1732911" cy="676556"/>
          <a:chOff x="4940828" y="47625"/>
          <a:chExt cx="1728428" cy="727997"/>
        </a:xfrm>
      </xdr:grpSpPr>
      <xdr:sp macro="" textlink="">
        <xdr:nvSpPr>
          <xdr:cNvPr id="68" name="Retângulo: Cantos Arredondados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>
            <a:off x="4940828" y="47625"/>
            <a:ext cx="1728428" cy="727997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Versao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>
            <a:spLocks/>
          </xdr:cNvSpPr>
        </xdr:nvSpPr>
        <xdr:spPr>
          <a:xfrm>
            <a:off x="5487292" y="191767"/>
            <a:ext cx="1158843" cy="49586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70002" y="93583"/>
            <a:ext cx="614506" cy="605794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579897</xdr:colOff>
      <xdr:row>0</xdr:row>
      <xdr:rowOff>38571</xdr:rowOff>
    </xdr:from>
    <xdr:to>
      <xdr:col>12</xdr:col>
      <xdr:colOff>494579</xdr:colOff>
      <xdr:row>3</xdr:row>
      <xdr:rowOff>143346</xdr:rowOff>
    </xdr:to>
    <xdr:grpSp>
      <xdr:nvGrpSpPr>
        <xdr:cNvPr id="71" name="Agrupar 7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GrpSpPr/>
      </xdr:nvGrpSpPr>
      <xdr:grpSpPr>
        <a:xfrm>
          <a:off x="6115603" y="38571"/>
          <a:ext cx="1730035" cy="676275"/>
          <a:chOff x="1504950" y="2428875"/>
          <a:chExt cx="1741667" cy="728815"/>
        </a:xfrm>
      </xdr:grpSpPr>
      <xdr:sp macro="" textlink="">
        <xdr:nvSpPr>
          <xdr:cNvPr id="72" name="Retângulo: Cantos Arredondados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1504950" y="2428875"/>
            <a:ext cx="1741667" cy="728815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57350" y="2552700"/>
            <a:ext cx="483016" cy="472421"/>
          </a:xfrm>
          <a:prstGeom prst="rect">
            <a:avLst/>
          </a:prstGeom>
        </xdr:spPr>
      </xdr:pic>
      <xdr:sp macro="" textlink="">
        <xdr:nvSpPr>
          <xdr:cNvPr id="74" name="Retângulo 7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>
            <a:spLocks/>
          </xdr:cNvSpPr>
        </xdr:nvSpPr>
        <xdr:spPr>
          <a:xfrm>
            <a:off x="2124075" y="2581275"/>
            <a:ext cx="1060216" cy="4971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/>
              <a:t>RELATÓRIOS</a:t>
            </a:r>
          </a:p>
        </xdr:txBody>
      </xdr:sp>
    </xdr:grpSp>
    <xdr:clientData/>
  </xdr:twoCellAnchor>
  <xdr:twoCellAnchor editAs="absolute">
    <xdr:from>
      <xdr:col>19</xdr:col>
      <xdr:colOff>328386</xdr:colOff>
      <xdr:row>2</xdr:row>
      <xdr:rowOff>21081</xdr:rowOff>
    </xdr:from>
    <xdr:to>
      <xdr:col>22</xdr:col>
      <xdr:colOff>309016</xdr:colOff>
      <xdr:row>3</xdr:row>
      <xdr:rowOff>149598</xdr:rowOff>
    </xdr:to>
    <xdr:pic>
      <xdr:nvPicPr>
        <xdr:cNvPr id="75" name="Imagem 7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0" y="402081"/>
          <a:ext cx="1809430" cy="319017"/>
        </a:xfrm>
        <a:prstGeom prst="rect">
          <a:avLst/>
        </a:prstGeom>
      </xdr:spPr>
    </xdr:pic>
    <xdr:clientData/>
  </xdr:twoCellAnchor>
  <xdr:twoCellAnchor editAs="absolute">
    <xdr:from>
      <xdr:col>22</xdr:col>
      <xdr:colOff>287168</xdr:colOff>
      <xdr:row>0</xdr:row>
      <xdr:rowOff>28575</xdr:rowOff>
    </xdr:from>
    <xdr:to>
      <xdr:col>23</xdr:col>
      <xdr:colOff>591499</xdr:colOff>
      <xdr:row>3</xdr:row>
      <xdr:rowOff>154754</xdr:rowOff>
    </xdr:to>
    <xdr:pic>
      <xdr:nvPicPr>
        <xdr:cNvPr id="76" name="Imagem 7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89082" y="28575"/>
          <a:ext cx="915746" cy="697679"/>
        </a:xfrm>
        <a:prstGeom prst="rect">
          <a:avLst/>
        </a:prstGeom>
      </xdr:spPr>
    </xdr:pic>
    <xdr:clientData/>
  </xdr:twoCellAnchor>
  <xdr:twoCellAnchor editAs="absolute">
    <xdr:from>
      <xdr:col>0</xdr:col>
      <xdr:colOff>104774</xdr:colOff>
      <xdr:row>8</xdr:row>
      <xdr:rowOff>183217</xdr:rowOff>
    </xdr:from>
    <xdr:to>
      <xdr:col>5</xdr:col>
      <xdr:colOff>664934</xdr:colOff>
      <xdr:row>21</xdr:row>
      <xdr:rowOff>76200</xdr:rowOff>
    </xdr:to>
    <xdr:graphicFrame macro="">
      <xdr:nvGraphicFramePr>
        <xdr:cNvPr id="77" name="Gráfico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6</xdr:col>
      <xdr:colOff>52159</xdr:colOff>
      <xdr:row>8</xdr:row>
      <xdr:rowOff>183217</xdr:rowOff>
    </xdr:from>
    <xdr:to>
      <xdr:col>11</xdr:col>
      <xdr:colOff>590833</xdr:colOff>
      <xdr:row>21</xdr:row>
      <xdr:rowOff>76200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0</xdr:col>
      <xdr:colOff>95251</xdr:colOff>
      <xdr:row>21</xdr:row>
      <xdr:rowOff>136071</xdr:rowOff>
    </xdr:from>
    <xdr:to>
      <xdr:col>17</xdr:col>
      <xdr:colOff>71211</xdr:colOff>
      <xdr:row>35</xdr:row>
      <xdr:rowOff>11698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0</xdr:col>
      <xdr:colOff>97631</xdr:colOff>
      <xdr:row>51</xdr:row>
      <xdr:rowOff>94116</xdr:rowOff>
    </xdr:from>
    <xdr:to>
      <xdr:col>24</xdr:col>
      <xdr:colOff>238125</xdr:colOff>
      <xdr:row>65</xdr:row>
      <xdr:rowOff>94117</xdr:rowOff>
    </xdr:to>
    <xdr:graphicFrame macro="">
      <xdr:nvGraphicFramePr>
        <xdr:cNvPr id="81" name="Gráfico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13</xdr:col>
      <xdr:colOff>166687</xdr:colOff>
      <xdr:row>35</xdr:row>
      <xdr:rowOff>47953</xdr:rowOff>
    </xdr:from>
    <xdr:to>
      <xdr:col>24</xdr:col>
      <xdr:colOff>214086</xdr:colOff>
      <xdr:row>51</xdr:row>
      <xdr:rowOff>53578</xdr:rowOff>
    </xdr:to>
    <xdr:graphicFrame macro="">
      <xdr:nvGraphicFramePr>
        <xdr:cNvPr id="82" name="Gráfico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274544</xdr:colOff>
      <xdr:row>0</xdr:row>
      <xdr:rowOff>72914</xdr:rowOff>
    </xdr:from>
    <xdr:to>
      <xdr:col>15</xdr:col>
      <xdr:colOff>353544</xdr:colOff>
      <xdr:row>2</xdr:row>
      <xdr:rowOff>1680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8230720" y="72914"/>
          <a:ext cx="1289236" cy="309766"/>
          <a:chOff x="8639735" y="60028"/>
          <a:chExt cx="1289244" cy="309766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8639735" y="67235"/>
            <a:ext cx="1277471" cy="302559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/>
              <a:t>Ano: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Drop Dow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9066689" y="60028"/>
                <a:ext cx="862290" cy="296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15</xdr:col>
      <xdr:colOff>485773</xdr:colOff>
      <xdr:row>0</xdr:row>
      <xdr:rowOff>75872</xdr:rowOff>
    </xdr:from>
    <xdr:to>
      <xdr:col>18</xdr:col>
      <xdr:colOff>136071</xdr:colOff>
      <xdr:row>3</xdr:row>
      <xdr:rowOff>145116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652185" y="75872"/>
          <a:ext cx="1465651" cy="640744"/>
          <a:chOff x="10786061" y="-191388"/>
          <a:chExt cx="1874240" cy="640744"/>
        </a:xfrm>
      </xdr:grpSpPr>
      <xdr:sp macro="" textlink="">
        <xdr:nvSpPr>
          <xdr:cNvPr id="84" name="Retângulo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/>
        </xdr:nvSpPr>
        <xdr:spPr>
          <a:xfrm>
            <a:off x="10786567" y="-191388"/>
            <a:ext cx="1871383" cy="343228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Centro</a:t>
            </a:r>
            <a:r>
              <a:rPr lang="pt-BR" sz="1100" baseline="0"/>
              <a:t> de Custo</a:t>
            </a:r>
            <a:r>
              <a:rPr lang="pt-BR" sz="1100"/>
              <a:t>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Drop Dow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0786061" y="145676"/>
                <a:ext cx="1874240" cy="303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0</xdr:col>
      <xdr:colOff>107156</xdr:colOff>
      <xdr:row>35</xdr:row>
      <xdr:rowOff>52998</xdr:rowOff>
    </xdr:from>
    <xdr:to>
      <xdr:col>13</xdr:col>
      <xdr:colOff>119062</xdr:colOff>
      <xdr:row>51</xdr:row>
      <xdr:rowOff>52048</xdr:rowOff>
    </xdr:to>
    <xdr:graphicFrame macro="">
      <xdr:nvGraphicFramePr>
        <xdr:cNvPr id="83" name="Gráfico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119063</xdr:colOff>
      <xdr:row>24</xdr:row>
      <xdr:rowOff>67687</xdr:rowOff>
    </xdr:from>
    <xdr:to>
      <xdr:col>24</xdr:col>
      <xdr:colOff>185460</xdr:colOff>
      <xdr:row>35</xdr:row>
      <xdr:rowOff>27212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17</xdr:col>
      <xdr:colOff>107156</xdr:colOff>
      <xdr:row>14</xdr:row>
      <xdr:rowOff>28577</xdr:rowOff>
    </xdr:from>
    <xdr:to>
      <xdr:col>24</xdr:col>
      <xdr:colOff>171451</xdr:colOff>
      <xdr:row>24</xdr:row>
      <xdr:rowOff>19050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274543</xdr:colOff>
      <xdr:row>2</xdr:row>
      <xdr:rowOff>35299</xdr:rowOff>
    </xdr:from>
    <xdr:to>
      <xdr:col>15</xdr:col>
      <xdr:colOff>358009</xdr:colOff>
      <xdr:row>3</xdr:row>
      <xdr:rowOff>147358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8230719" y="416299"/>
          <a:ext cx="1293702" cy="302559"/>
          <a:chOff x="8311672" y="425824"/>
          <a:chExt cx="1305261" cy="302559"/>
        </a:xfrm>
      </xdr:grpSpPr>
      <xdr:sp macro="" textlink="">
        <xdr:nvSpPr>
          <xdr:cNvPr id="85" name="Retângulo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/>
        </xdr:nvSpPr>
        <xdr:spPr>
          <a:xfrm>
            <a:off x="8311672" y="425824"/>
            <a:ext cx="1289063" cy="302559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/>
              <a:t>Visão: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Drop Dow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8747902" y="426984"/>
                <a:ext cx="869031" cy="2956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0.4349</cdr:x>
      <cdr:y>0.01337</cdr:y>
    </cdr:from>
    <cdr:to>
      <cdr:x>0.71327</cdr:x>
      <cdr:y>0.0901</cdr:y>
    </cdr:to>
    <cdr:sp macro="" textlink="">
      <cdr:nvSpPr>
        <cdr:cNvPr id="2" name="Retângulo: Cantos Arredondados 1">
          <a:extLst xmlns:a="http://schemas.openxmlformats.org/drawingml/2006/main">
            <a:ext uri="{FF2B5EF4-FFF2-40B4-BE49-F238E27FC236}">
              <a16:creationId xmlns:a16="http://schemas.microsoft.com/office/drawing/2014/main" id="{14027920-79C0-45C5-8540-8BF27DB98B46}"/>
            </a:ext>
          </a:extLst>
        </cdr:cNvPr>
        <cdr:cNvSpPr/>
      </cdr:nvSpPr>
      <cdr:spPr>
        <a:xfrm xmlns:a="http://schemas.openxmlformats.org/drawingml/2006/main">
          <a:off x="3055924" y="40838"/>
          <a:ext cx="1956040" cy="234370"/>
        </a:xfrm>
        <a:prstGeom xmlns:a="http://schemas.openxmlformats.org/drawingml/2006/main" prst="round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1400" b="1">
              <a:solidFill>
                <a:schemeClr val="accent1"/>
              </a:solidFill>
            </a:rPr>
            <a:t>Saldo Caixas</a:t>
          </a:r>
          <a:r>
            <a:rPr lang="pt-BR" sz="1400" b="1" baseline="0">
              <a:solidFill>
                <a:schemeClr val="accent1"/>
              </a:solidFill>
            </a:rPr>
            <a:t> e Bancos</a:t>
          </a:r>
          <a:endParaRPr lang="pt-BR" sz="1400" b="1">
            <a:solidFill>
              <a:schemeClr val="accent1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</xdr:rowOff>
    </xdr:from>
    <xdr:to>
      <xdr:col>2</xdr:col>
      <xdr:colOff>571835</xdr:colOff>
      <xdr:row>22</xdr:row>
      <xdr:rowOff>25978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2"/>
          <a:ext cx="1784108" cy="4216976"/>
          <a:chOff x="0" y="9525"/>
          <a:chExt cx="1800000" cy="5343525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6" name="Retângulo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800"/>
            </a:p>
          </xdr:txBody>
        </xdr:sp>
        <xdr:sp macro="" textlink="">
          <xdr:nvSpPr>
            <xdr:cNvPr id="17" name="Retângulo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800"/>
                <a:t>.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bg1"/>
                </a:solidFill>
              </a:rPr>
              <a:t>CADASTROS</a:t>
            </a:r>
          </a:p>
        </xdr:txBody>
      </xdr:sp>
      <xdr:sp macro="[0]!AbreFormCadastro_01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CONTAS</a:t>
            </a:r>
            <a:r>
              <a:rPr lang="pt-BR" sz="800" b="1" baseline="0">
                <a:solidFill>
                  <a:schemeClr val="tx1"/>
                </a:solidFill>
              </a:rPr>
              <a:t> DE </a:t>
            </a:r>
            <a:r>
              <a:rPr lang="pt-BR" sz="800" b="1">
                <a:solidFill>
                  <a:schemeClr val="tx1"/>
                </a:solidFill>
              </a:rPr>
              <a:t>RECEITAS</a:t>
            </a:r>
          </a:p>
        </xdr:txBody>
      </xdr:sp>
      <xdr:sp macro="[0]!AbreFormCadastro_02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CONTAS DE DESPESAS</a:t>
            </a:r>
          </a:p>
        </xdr:txBody>
      </xdr:sp>
      <xdr:sp macro="[0]!AbreFormCadastro_03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CENTROS DE CUSTOS</a:t>
            </a:r>
          </a:p>
        </xdr:txBody>
      </xdr:sp>
      <xdr:sp macro="[0]!AbreFormCadastro_04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CAIXA OU</a:t>
            </a:r>
            <a:r>
              <a:rPr lang="pt-BR" sz="800" b="1" baseline="0">
                <a:solidFill>
                  <a:schemeClr val="tx1"/>
                </a:solidFill>
              </a:rPr>
              <a:t> BANCO</a:t>
            </a:r>
            <a:endParaRPr lang="pt-BR" sz="800" b="1">
              <a:solidFill>
                <a:schemeClr val="tx1"/>
              </a:solidFill>
            </a:endParaRPr>
          </a:p>
        </xdr:txBody>
      </xdr:sp>
      <xdr:sp macro="[0]!AbreFormCadastro_06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CLIENTES</a:t>
            </a:r>
          </a:p>
        </xdr:txBody>
      </xdr:sp>
      <xdr:sp macro="[0]!AbreFormCadastro_07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FORNECEDORES</a:t>
            </a:r>
          </a:p>
        </xdr:txBody>
      </xdr:sp>
      <xdr:sp macro="[0]!AbreFormCadastro_05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323850" y="3743325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800" b="1">
                <a:solidFill>
                  <a:schemeClr val="tx1"/>
                </a:solidFill>
              </a:rPr>
              <a:t>FORMAS</a:t>
            </a:r>
            <a:r>
              <a:rPr lang="pt-BR" sz="800" b="1" baseline="0">
                <a:solidFill>
                  <a:schemeClr val="tx1"/>
                </a:solidFill>
              </a:rPr>
              <a:t> DE PAGAMENTOS</a:t>
            </a:r>
            <a:endParaRPr lang="pt-BR" sz="8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chemeClr val="tx1"/>
                </a:solidFill>
              </a:rPr>
              <a:t>&gt;</a:t>
            </a:r>
          </a:p>
        </xdr:txBody>
      </xdr:sp>
      <xdr:grpSp>
        <xdr:nvGrpSpPr>
          <xdr:cNvPr id="13" name="Agrupar 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GrpSpPr/>
        </xdr:nvGrpSpPr>
        <xdr:grpSpPr>
          <a:xfrm>
            <a:off x="542925" y="4501161"/>
            <a:ext cx="704850" cy="851889"/>
            <a:chOff x="2152650" y="129186"/>
            <a:chExt cx="704850" cy="851889"/>
          </a:xfrm>
        </xdr:grpSpPr>
        <xdr:pic>
          <xdr:nvPicPr>
            <xdr:cNvPr id="14" name="Imagem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5" name="Retângulo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</xdr:grpSp>
    <xdr:clientData/>
  </xdr:twoCellAnchor>
  <xdr:twoCellAnchor editAs="absolute">
    <xdr:from>
      <xdr:col>4</xdr:col>
      <xdr:colOff>337705</xdr:colOff>
      <xdr:row>2</xdr:row>
      <xdr:rowOff>99118</xdr:rowOff>
    </xdr:from>
    <xdr:to>
      <xdr:col>6</xdr:col>
      <xdr:colOff>509991</xdr:colOff>
      <xdr:row>10</xdr:row>
      <xdr:rowOff>164043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pSpPr/>
      </xdr:nvGrpSpPr>
      <xdr:grpSpPr>
        <a:xfrm>
          <a:off x="2762250" y="480118"/>
          <a:ext cx="1384559" cy="1588925"/>
          <a:chOff x="2718126" y="154781"/>
          <a:chExt cx="1779634" cy="1978120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2718126" y="995363"/>
            <a:ext cx="1779634" cy="1137538"/>
            <a:chOff x="1481036" y="2020152"/>
            <a:chExt cx="1793327" cy="1137538"/>
          </a:xfrm>
        </xdr:grpSpPr>
        <xdr:sp macro="" textlink="CADASTRO_06!M1">
          <xdr:nvSpPr>
            <xdr:cNvPr id="28" name="Retângulo 27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B0B742-F7FD-454C-9C3A-5A8674E3D0A9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0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9" name="Retângulo 28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>
              <a:spLocks/>
            </xdr:cNvSpPr>
          </xdr:nvSpPr>
          <xdr:spPr>
            <a:xfrm>
              <a:off x="1481036" y="2020152"/>
              <a:ext cx="1793327" cy="43918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CLIENTES CADASTRADOS</a:t>
              </a:r>
            </a:p>
          </xdr:txBody>
        </xdr:sp>
      </xdr:grpSp>
      <xdr:pic>
        <xdr:nvPicPr>
          <xdr:cNvPr id="27" name="Gráfico 26" descr="Revisão do cliente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132744" y="154781"/>
            <a:ext cx="912299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570219</xdr:colOff>
      <xdr:row>2</xdr:row>
      <xdr:rowOff>121226</xdr:rowOff>
    </xdr:from>
    <xdr:to>
      <xdr:col>10</xdr:col>
      <xdr:colOff>335981</xdr:colOff>
      <xdr:row>10</xdr:row>
      <xdr:rowOff>179183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4813174" y="502226"/>
          <a:ext cx="1584171" cy="1581957"/>
          <a:chOff x="4723980" y="178594"/>
          <a:chExt cx="2034707" cy="1969446"/>
        </a:xfrm>
      </xdr:grpSpPr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GrpSpPr/>
        </xdr:nvGrpSpPr>
        <xdr:grpSpPr>
          <a:xfrm>
            <a:off x="4723980" y="1000125"/>
            <a:ext cx="2034707" cy="1147915"/>
            <a:chOff x="1337622" y="2009775"/>
            <a:chExt cx="2053277" cy="1147915"/>
          </a:xfrm>
        </xdr:grpSpPr>
        <xdr:sp macro="" textlink="CADASTRO_07!M1">
          <xdr:nvSpPr>
            <xdr:cNvPr id="33" name="Retângul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E561B5E6-8BA5-453E-9462-D3F8599787C9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0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>
              <a:spLocks/>
            </xdr:cNvSpPr>
          </xdr:nvSpPr>
          <xdr:spPr>
            <a:xfrm>
              <a:off x="1337622" y="2009775"/>
              <a:ext cx="2053277" cy="4667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FORNECEDORES CADASTRADOS</a:t>
              </a:r>
            </a:p>
          </xdr:txBody>
        </xdr:sp>
      </xdr:grpSp>
      <xdr:pic>
        <xdr:nvPicPr>
          <xdr:cNvPr id="32" name="Gráfico 31" descr="Quiosque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317190" y="178594"/>
            <a:ext cx="910197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266090</xdr:colOff>
      <xdr:row>2</xdr:row>
      <xdr:rowOff>130790</xdr:rowOff>
    </xdr:from>
    <xdr:to>
      <xdr:col>14</xdr:col>
      <xdr:colOff>146323</xdr:colOff>
      <xdr:row>10</xdr:row>
      <xdr:rowOff>179183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6933590" y="511790"/>
          <a:ext cx="1698642" cy="1572393"/>
          <a:chOff x="6822982" y="190500"/>
          <a:chExt cx="2184446" cy="1957540"/>
        </a:xfrm>
      </xdr:grpSpPr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GrpSpPr/>
        </xdr:nvGrpSpPr>
        <xdr:grpSpPr>
          <a:xfrm>
            <a:off x="6822982" y="1023936"/>
            <a:ext cx="2184446" cy="1124104"/>
            <a:chOff x="1276040" y="2033586"/>
            <a:chExt cx="2200939" cy="1124104"/>
          </a:xfrm>
        </xdr:grpSpPr>
        <xdr:sp macro="" textlink="CADASTRO_01!D1">
          <xdr:nvSpPr>
            <xdr:cNvPr id="38" name="Retângulo 37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CEA54D3D-A79D-447C-BDF8-3A1BC136865C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0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39" name="Retângul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>
              <a:spLocks/>
            </xdr:cNvSpPr>
          </xdr:nvSpPr>
          <xdr:spPr>
            <a:xfrm>
              <a:off x="1276040" y="2033586"/>
              <a:ext cx="2200939" cy="40669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CONTAS RECEITAS CADASTRADAS</a:t>
              </a:r>
            </a:p>
          </xdr:txBody>
        </xdr:sp>
      </xdr:grpSp>
      <xdr:pic>
        <xdr:nvPicPr>
          <xdr:cNvPr id="37" name="Gráfico 36" descr="Gráfico de barras com tendência ascendente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428099" y="190500"/>
            <a:ext cx="912298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551866</xdr:colOff>
      <xdr:row>2</xdr:row>
      <xdr:rowOff>102099</xdr:rowOff>
    </xdr:from>
    <xdr:to>
      <xdr:col>17</xdr:col>
      <xdr:colOff>441636</xdr:colOff>
      <xdr:row>10</xdr:row>
      <xdr:rowOff>179183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9037775" y="483099"/>
          <a:ext cx="1708179" cy="1601084"/>
          <a:chOff x="8938373" y="154781"/>
          <a:chExt cx="2196632" cy="1993259"/>
        </a:xfrm>
      </xdr:grpSpPr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8938373" y="976313"/>
            <a:ext cx="2196632" cy="1171727"/>
            <a:chOff x="1266471" y="1985963"/>
            <a:chExt cx="2217685" cy="1171727"/>
          </a:xfrm>
        </xdr:grpSpPr>
        <xdr:sp macro="" textlink="CADASTRO_02!D1">
          <xdr:nvSpPr>
            <xdr:cNvPr id="43" name="Retângul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rgbClr val="FF5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1455066C-00CC-45BD-9C18-69F9DBF03863}" type="TxLink">
                <a:rPr lang="en-US" sz="2400" b="0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pPr algn="ctr"/>
                <a:t>0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4" name="Retângul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>
              <a:spLocks/>
            </xdr:cNvSpPr>
          </xdr:nvSpPr>
          <xdr:spPr>
            <a:xfrm>
              <a:off x="1266471" y="1985963"/>
              <a:ext cx="2217685" cy="47813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CONTAS DESPESAS CADASTRADAS</a:t>
              </a:r>
            </a:p>
          </xdr:txBody>
        </xdr:sp>
      </xdr:grpSp>
      <xdr:pic>
        <xdr:nvPicPr>
          <xdr:cNvPr id="42" name="Gráfico 41" descr="Gráfico de barras com tendência descendente DPE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9579210" y="154781"/>
            <a:ext cx="907816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261640</xdr:colOff>
      <xdr:row>11</xdr:row>
      <xdr:rowOff>47724</xdr:rowOff>
    </xdr:from>
    <xdr:to>
      <xdr:col>7</xdr:col>
      <xdr:colOff>30062</xdr:colOff>
      <xdr:row>19</xdr:row>
      <xdr:rowOff>145848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pSpPr/>
      </xdr:nvGrpSpPr>
      <xdr:grpSpPr>
        <a:xfrm>
          <a:off x="2686185" y="2143224"/>
          <a:ext cx="1586832" cy="1622124"/>
          <a:chOff x="2582396" y="2286000"/>
          <a:chExt cx="2041571" cy="2019452"/>
        </a:xfrm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GrpSpPr/>
        </xdr:nvGrpSpPr>
        <xdr:grpSpPr>
          <a:xfrm>
            <a:off x="2582396" y="3109912"/>
            <a:ext cx="2041571" cy="1195540"/>
            <a:chOff x="1343025" y="1962150"/>
            <a:chExt cx="2057399" cy="1195540"/>
          </a:xfrm>
        </xdr:grpSpPr>
        <xdr:sp macro="" textlink="CADASTRO_03!C1">
          <xdr:nvSpPr>
            <xdr:cNvPr id="48" name="Retângul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2B30210-1114-4903-8D0F-E00402DD7C74}" type="TxLink">
                <a:rPr lang="en-US" sz="2400" b="0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pPr algn="ctr"/>
                <a:t>0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>
              <a:spLocks/>
            </xdr:cNvSpPr>
          </xdr:nvSpPr>
          <xdr:spPr>
            <a:xfrm>
              <a:off x="1343025" y="1962150"/>
              <a:ext cx="2057399" cy="47813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CENTROS DE CUSTOS</a:t>
              </a:r>
              <a:r>
                <a:rPr lang="pt-BR" sz="9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</a:t>
              </a:r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CADASTRADOS</a:t>
              </a:r>
            </a:p>
          </xdr:txBody>
        </xdr:sp>
      </xdr:grpSp>
      <xdr:pic>
        <xdr:nvPicPr>
          <xdr:cNvPr id="47" name="Gráfico 46" descr="Dinheiro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3132744" y="2286000"/>
            <a:ext cx="912299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469422</xdr:colOff>
      <xdr:row>11</xdr:row>
      <xdr:rowOff>66813</xdr:rowOff>
    </xdr:from>
    <xdr:to>
      <xdr:col>12</xdr:col>
      <xdr:colOff>238911</xdr:colOff>
      <xdr:row>19</xdr:row>
      <xdr:rowOff>155373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5924649" y="2162313"/>
          <a:ext cx="1587898" cy="1612560"/>
          <a:chOff x="5841347" y="2307431"/>
          <a:chExt cx="2039469" cy="2007546"/>
        </a:xfrm>
      </xdr:grpSpPr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GrpSpPr/>
        </xdr:nvGrpSpPr>
        <xdr:grpSpPr>
          <a:xfrm>
            <a:off x="5841347" y="3119437"/>
            <a:ext cx="2039469" cy="1195540"/>
            <a:chOff x="1343025" y="1962150"/>
            <a:chExt cx="2057399" cy="1195540"/>
          </a:xfrm>
        </xdr:grpSpPr>
        <xdr:sp macro="" textlink="CADASTRO_04!E1">
          <xdr:nvSpPr>
            <xdr:cNvPr id="53" name="Retângulo 52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9F27D0E4-7562-4ACB-AEA4-265544306BA1}" type="TxLink">
                <a:rPr lang="en-US" sz="2400" b="0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pPr algn="ctr"/>
                <a:t>0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54" name="Retângulo 53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SpPr>
              <a:spLocks/>
            </xdr:cNvSpPr>
          </xdr:nvSpPr>
          <xdr:spPr>
            <a:xfrm>
              <a:off x="1343025" y="1962150"/>
              <a:ext cx="2057399" cy="47813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CONTAS BANCOS</a:t>
              </a:r>
              <a:r>
                <a:rPr lang="pt-BR" sz="9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</a:t>
              </a:r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CADASTRADAS</a:t>
              </a:r>
            </a:p>
          </xdr:txBody>
        </xdr:sp>
      </xdr:grpSp>
      <xdr:pic>
        <xdr:nvPicPr>
          <xdr:cNvPr id="52" name="Gráfico 51" descr="Cofrinho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6453607" y="2307431"/>
            <a:ext cx="910198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594129</xdr:colOff>
      <xdr:row>11</xdr:row>
      <xdr:rowOff>86408</xdr:rowOff>
    </xdr:from>
    <xdr:to>
      <xdr:col>17</xdr:col>
      <xdr:colOff>361754</xdr:colOff>
      <xdr:row>19</xdr:row>
      <xdr:rowOff>157753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GrpSpPr/>
      </xdr:nvGrpSpPr>
      <xdr:grpSpPr>
        <a:xfrm>
          <a:off x="9080038" y="2181908"/>
          <a:ext cx="1586034" cy="1595345"/>
          <a:chOff x="9014571" y="2331244"/>
          <a:chExt cx="2037088" cy="1986114"/>
        </a:xfrm>
      </xdr:grpSpPr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GrpSpPr/>
        </xdr:nvGrpSpPr>
        <xdr:grpSpPr>
          <a:xfrm>
            <a:off x="9014571" y="3121818"/>
            <a:ext cx="2037088" cy="1195540"/>
            <a:chOff x="1343025" y="1962150"/>
            <a:chExt cx="2057399" cy="1195540"/>
          </a:xfrm>
        </xdr:grpSpPr>
        <xdr:sp macro="" textlink="CADASTRO_05!H1">
          <xdr:nvSpPr>
            <xdr:cNvPr id="58" name="Retângulo 57">
              <a:extLst>
                <a:ext uri="{FF2B5EF4-FFF2-40B4-BE49-F238E27FC236}">
                  <a16:creationId xmlns:a16="http://schemas.microsoft.com/office/drawing/2014/main" id="{00000000-0008-0000-0100-00003A000000}"/>
                </a:ext>
              </a:extLst>
            </xdr:cNvPr>
            <xdr:cNvSpPr/>
          </xdr:nvSpPr>
          <xdr:spPr>
            <a:xfrm>
              <a:off x="1504950" y="2428875"/>
              <a:ext cx="1733549" cy="728815"/>
            </a:xfrm>
            <a:prstGeom prst="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D817DBE-6DB9-47DF-AA8A-B226C10FFAF6}" type="TxLink">
                <a:rPr lang="en-US" sz="24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1</a:t>
              </a:fld>
              <a:endParaRPr lang="pt-BR" sz="24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59" name="Retângulo 58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>
              <a:spLocks/>
            </xdr:cNvSpPr>
          </xdr:nvSpPr>
          <xdr:spPr>
            <a:xfrm>
              <a:off x="1343025" y="1962150"/>
              <a:ext cx="2057399" cy="47813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9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FORMAS DE PAGAMENTOS CADASTRADOS</a:t>
              </a:r>
            </a:p>
          </xdr:txBody>
        </xdr:sp>
      </xdr:grpSp>
      <xdr:pic>
        <xdr:nvPicPr>
          <xdr:cNvPr id="57" name="Gráfico 56" descr="Cartão de crédito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9607784" y="2331244"/>
            <a:ext cx="907816" cy="91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76203</xdr:colOff>
      <xdr:row>0</xdr:row>
      <xdr:rowOff>73884</xdr:rowOff>
    </xdr:from>
    <xdr:to>
      <xdr:col>7</xdr:col>
      <xdr:colOff>9527</xdr:colOff>
      <xdr:row>2</xdr:row>
      <xdr:rowOff>34636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GrpSpPr/>
      </xdr:nvGrpSpPr>
      <xdr:grpSpPr>
        <a:xfrm>
          <a:off x="1894612" y="73884"/>
          <a:ext cx="2357870" cy="341752"/>
          <a:chOff x="8516581" y="67237"/>
          <a:chExt cx="1016122" cy="449992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8516581" y="67237"/>
            <a:ext cx="569589" cy="449992"/>
          </a:xfrm>
          <a:prstGeom prst="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800"/>
              <a:t>Informar</a:t>
            </a:r>
            <a:r>
              <a:rPr lang="pt-BR" sz="800" baseline="0"/>
              <a:t> Contas a Receber e a Pagar?</a:t>
            </a:r>
            <a:endParaRPr lang="pt-BR" sz="8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Drop Dow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SpPr/>
            </xdr:nvSpPr>
            <xdr:spPr bwMode="auto">
              <a:xfrm>
                <a:off x="9082571" y="69553"/>
                <a:ext cx="450132" cy="4381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580800</xdr:colOff>
      <xdr:row>7</xdr:row>
      <xdr:rowOff>308964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0"/>
          <a:ext cx="1806626" cy="3414942"/>
          <a:chOff x="9524" y="9525"/>
          <a:chExt cx="1800000" cy="3414114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42737" y="9525"/>
            <a:ext cx="1741875" cy="729118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524" y="729227"/>
            <a:ext cx="1800000" cy="167107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.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>
            <a:spLocks/>
          </xdr:cNvSpPr>
        </xdr:nvSpPr>
        <xdr:spPr>
          <a:xfrm>
            <a:off x="593452" y="153889"/>
            <a:ext cx="1167858" cy="4966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238" y="55554"/>
            <a:ext cx="619286" cy="606726"/>
          </a:xfrm>
          <a:prstGeom prst="rect">
            <a:avLst/>
          </a:prstGeom>
        </xdr:spPr>
      </xdr:pic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104774" y="8286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[0]!AbreFormLançamento_RECEITAS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361949" y="8667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104774" y="13239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[0]!AbreFormLançamento_DESPESAS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361949" y="13620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DESPESAS</a:t>
            </a:r>
          </a:p>
        </xdr:txBody>
      </xdr:sp>
      <xdr:grpSp>
        <xdr:nvGrpSpPr>
          <xdr:cNvPr id="11" name="Agrupar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GrpSpPr/>
        </xdr:nvGrpSpPr>
        <xdr:grpSpPr>
          <a:xfrm>
            <a:off x="542925" y="2571750"/>
            <a:ext cx="704850" cy="851889"/>
            <a:chOff x="2152650" y="129186"/>
            <a:chExt cx="704850" cy="851889"/>
          </a:xfrm>
        </xdr:grpSpPr>
        <xdr:pic>
          <xdr:nvPicPr>
            <xdr:cNvPr id="14" name="Imagem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5" name="Retângulo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95249" y="1834127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[0]!AbreFormLançamento_TRANSF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352424" y="1872227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TRANSFERÊNCIAS</a:t>
            </a:r>
          </a:p>
        </xdr:txBody>
      </xdr:sp>
    </xdr:grpSp>
    <xdr:clientData/>
  </xdr:twoCellAnchor>
  <xdr:twoCellAnchor>
    <xdr:from>
      <xdr:col>3</xdr:col>
      <xdr:colOff>72512</xdr:colOff>
      <xdr:row>0</xdr:row>
      <xdr:rowOff>76199</xdr:rowOff>
    </xdr:from>
    <xdr:to>
      <xdr:col>7</xdr:col>
      <xdr:colOff>199196</xdr:colOff>
      <xdr:row>6</xdr:row>
      <xdr:rowOff>76199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580196</xdr:colOff>
      <xdr:row>0</xdr:row>
      <xdr:rowOff>88673</xdr:rowOff>
    </xdr:from>
    <xdr:to>
      <xdr:col>12</xdr:col>
      <xdr:colOff>23979</xdr:colOff>
      <xdr:row>6</xdr:row>
      <xdr:rowOff>88673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0</xdr:row>
      <xdr:rowOff>0</xdr:rowOff>
    </xdr:from>
    <xdr:to>
      <xdr:col>1</xdr:col>
      <xdr:colOff>609601</xdr:colOff>
      <xdr:row>0</xdr:row>
      <xdr:rowOff>523875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1" y="0"/>
          <a:ext cx="1219200" cy="523875"/>
          <a:chOff x="176206" y="1543050"/>
          <a:chExt cx="1750289" cy="728815"/>
        </a:xfrm>
      </xdr:grpSpPr>
      <xdr:sp macro="" textlink="">
        <xdr:nvSpPr>
          <xdr:cNvPr id="11" name="Retângulo 1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13" name="Retângulo 1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657225</xdr:colOff>
      <xdr:row>0</xdr:row>
      <xdr:rowOff>104775</xdr:rowOff>
    </xdr:from>
    <xdr:to>
      <xdr:col>3</xdr:col>
      <xdr:colOff>76200</xdr:colOff>
      <xdr:row>0</xdr:row>
      <xdr:rowOff>428625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66825" y="104775"/>
          <a:ext cx="35052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PLANO</a:t>
          </a:r>
          <a:r>
            <a:rPr lang="pt-BR" sz="2400" baseline="0"/>
            <a:t> CONTAS RECEITAS</a:t>
          </a:r>
          <a:endParaRPr lang="pt-BR" sz="2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7" name="Retângulo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9" name="Retângulo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657225</xdr:colOff>
      <xdr:row>0</xdr:row>
      <xdr:rowOff>76200</xdr:rowOff>
    </xdr:from>
    <xdr:to>
      <xdr:col>2</xdr:col>
      <xdr:colOff>1638300</xdr:colOff>
      <xdr:row>0</xdr:row>
      <xdr:rowOff>400050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266825" y="76200"/>
          <a:ext cx="35052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PLANO</a:t>
          </a:r>
          <a:r>
            <a:rPr lang="pt-BR" sz="2400" baseline="0"/>
            <a:t> CONTAS DESPESAS</a:t>
          </a:r>
          <a:endParaRPr lang="pt-BR" sz="2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7" name="Retângulo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9" name="Retângulo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676275</xdr:colOff>
      <xdr:row>0</xdr:row>
      <xdr:rowOff>57150</xdr:rowOff>
    </xdr:from>
    <xdr:to>
      <xdr:col>1</xdr:col>
      <xdr:colOff>3533775</xdr:colOff>
      <xdr:row>0</xdr:row>
      <xdr:rowOff>381000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285875" y="57150"/>
          <a:ext cx="28575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CENTRO DE CUSTO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3" name="Retângulo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628650</xdr:colOff>
      <xdr:row>0</xdr:row>
      <xdr:rowOff>104775</xdr:rowOff>
    </xdr:from>
    <xdr:to>
      <xdr:col>2</xdr:col>
      <xdr:colOff>1962150</xdr:colOff>
      <xdr:row>0</xdr:row>
      <xdr:rowOff>428625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238250" y="104775"/>
          <a:ext cx="28575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CAIXAS E BANCOS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3" name="Retângulo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714374</xdr:colOff>
      <xdr:row>0</xdr:row>
      <xdr:rowOff>104775</xdr:rowOff>
    </xdr:from>
    <xdr:to>
      <xdr:col>6</xdr:col>
      <xdr:colOff>828674</xdr:colOff>
      <xdr:row>0</xdr:row>
      <xdr:rowOff>428625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23974" y="104775"/>
          <a:ext cx="7839075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CADASTRO FORMAS DE PAGAMENTOS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3" name="Retângulo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1266825</xdr:colOff>
      <xdr:row>0</xdr:row>
      <xdr:rowOff>123825</xdr:rowOff>
    </xdr:from>
    <xdr:to>
      <xdr:col>4</xdr:col>
      <xdr:colOff>257175</xdr:colOff>
      <xdr:row>0</xdr:row>
      <xdr:rowOff>447675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876425" y="123825"/>
          <a:ext cx="28575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CADASTRO CLIENTES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3" name="Retângulo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  <xdr:twoCellAnchor editAs="absolute">
    <xdr:from>
      <xdr:col>1</xdr:col>
      <xdr:colOff>904875</xdr:colOff>
      <xdr:row>0</xdr:row>
      <xdr:rowOff>114300</xdr:rowOff>
    </xdr:from>
    <xdr:to>
      <xdr:col>4</xdr:col>
      <xdr:colOff>866775</xdr:colOff>
      <xdr:row>0</xdr:row>
      <xdr:rowOff>438150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514475" y="114300"/>
          <a:ext cx="40386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CADASTRO FORNECEDORES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318466</xdr:colOff>
      <xdr:row>0</xdr:row>
      <xdr:rowOff>0</xdr:rowOff>
    </xdr:from>
    <xdr:to>
      <xdr:col>4</xdr:col>
      <xdr:colOff>148258</xdr:colOff>
      <xdr:row>0</xdr:row>
      <xdr:rowOff>323850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695450" y="0"/>
          <a:ext cx="2124075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RECEITAS</a:t>
          </a:r>
        </a:p>
      </xdr:txBody>
    </xdr:sp>
    <xdr:clientData/>
  </xdr:twoCellAnchor>
  <xdr:twoCellAnchor editAs="absolute">
    <xdr:from>
      <xdr:col>5</xdr:col>
      <xdr:colOff>90694</xdr:colOff>
      <xdr:row>0</xdr:row>
      <xdr:rowOff>95250</xdr:rowOff>
    </xdr:from>
    <xdr:to>
      <xdr:col>6</xdr:col>
      <xdr:colOff>415787</xdr:colOff>
      <xdr:row>0</xdr:row>
      <xdr:rowOff>419100</xdr:rowOff>
    </xdr:to>
    <xdr:sp macro="[0]!AbreFormLançamento_RECEITA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5353050" y="95250"/>
          <a:ext cx="1581150" cy="323850"/>
        </a:xfrm>
        <a:prstGeom prst="roundRect">
          <a:avLst/>
        </a:prstGeom>
        <a:solidFill>
          <a:schemeClr val="accent5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</a:t>
          </a:r>
          <a:r>
            <a:rPr lang="pt-BR" sz="1100" baseline="0"/>
            <a:t> LANÇAMENTO</a:t>
          </a:r>
          <a:endParaRPr lang="pt-BR" sz="1100"/>
        </a:p>
      </xdr:txBody>
    </xdr:sp>
    <xdr:clientData/>
  </xdr:twoCellAnchor>
  <xdr:twoCellAnchor editAs="absolute">
    <xdr:from>
      <xdr:col>6</xdr:col>
      <xdr:colOff>596762</xdr:colOff>
      <xdr:row>0</xdr:row>
      <xdr:rowOff>95250</xdr:rowOff>
    </xdr:from>
    <xdr:to>
      <xdr:col>7</xdr:col>
      <xdr:colOff>924339</xdr:colOff>
      <xdr:row>0</xdr:row>
      <xdr:rowOff>419100</xdr:rowOff>
    </xdr:to>
    <xdr:sp macro="[0]!AbreDeletar_RECEITA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7115175" y="95250"/>
          <a:ext cx="1504950" cy="323850"/>
        </a:xfrm>
        <a:prstGeom prst="roundRect">
          <a:avLst/>
        </a:prstGeom>
        <a:solidFill>
          <a:srgbClr val="FF7C8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 editAs="absolute">
    <xdr:from>
      <xdr:col>0</xdr:col>
      <xdr:colOff>9525</xdr:colOff>
      <xdr:row>0</xdr:row>
      <xdr:rowOff>0</xdr:rowOff>
    </xdr:from>
    <xdr:to>
      <xdr:col>2</xdr:col>
      <xdr:colOff>327991</xdr:colOff>
      <xdr:row>0</xdr:row>
      <xdr:rowOff>581025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9525" y="0"/>
          <a:ext cx="1695450" cy="581025"/>
          <a:chOff x="4940828" y="47625"/>
          <a:chExt cx="1728428" cy="727997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SpPr/>
        </xdr:nvSpPr>
        <xdr:spPr>
          <a:xfrm>
            <a:off x="4940828" y="47625"/>
            <a:ext cx="1728428" cy="727997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Versao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SpPr>
            <a:spLocks/>
          </xdr:cNvSpPr>
        </xdr:nvSpPr>
        <xdr:spPr>
          <a:xfrm>
            <a:off x="5487292" y="191767"/>
            <a:ext cx="1158843" cy="49586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70002" y="93583"/>
            <a:ext cx="614506" cy="605794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531330</xdr:colOff>
      <xdr:row>0</xdr:row>
      <xdr:rowOff>0</xdr:rowOff>
    </xdr:from>
    <xdr:to>
      <xdr:col>4</xdr:col>
      <xdr:colOff>352011</xdr:colOff>
      <xdr:row>0</xdr:row>
      <xdr:rowOff>323850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695450" y="0"/>
          <a:ext cx="2124075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DESPESAS</a:t>
          </a:r>
        </a:p>
      </xdr:txBody>
    </xdr:sp>
    <xdr:clientData/>
  </xdr:twoCellAnchor>
  <xdr:twoCellAnchor editAs="absolute">
    <xdr:from>
      <xdr:col>5</xdr:col>
      <xdr:colOff>296104</xdr:colOff>
      <xdr:row>0</xdr:row>
      <xdr:rowOff>95250</xdr:rowOff>
    </xdr:from>
    <xdr:to>
      <xdr:col>6</xdr:col>
      <xdr:colOff>624094</xdr:colOff>
      <xdr:row>0</xdr:row>
      <xdr:rowOff>419100</xdr:rowOff>
    </xdr:to>
    <xdr:sp macro="[0]!AbreFormLançamento_DESPESA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353050" y="95250"/>
          <a:ext cx="1581150" cy="323850"/>
        </a:xfrm>
        <a:prstGeom prst="roundRect">
          <a:avLst/>
        </a:prstGeom>
        <a:solidFill>
          <a:schemeClr val="accent5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</a:t>
          </a:r>
          <a:r>
            <a:rPr lang="pt-BR" sz="1100" baseline="0"/>
            <a:t> LANÇAMENTO</a:t>
          </a:r>
          <a:endParaRPr lang="pt-BR" sz="1100"/>
        </a:p>
      </xdr:txBody>
    </xdr:sp>
    <xdr:clientData/>
  </xdr:twoCellAnchor>
  <xdr:twoCellAnchor editAs="absolute">
    <xdr:from>
      <xdr:col>6</xdr:col>
      <xdr:colOff>805069</xdr:colOff>
      <xdr:row>0</xdr:row>
      <xdr:rowOff>95250</xdr:rowOff>
    </xdr:from>
    <xdr:to>
      <xdr:col>7</xdr:col>
      <xdr:colOff>1129747</xdr:colOff>
      <xdr:row>0</xdr:row>
      <xdr:rowOff>419100</xdr:rowOff>
    </xdr:to>
    <xdr:sp macro="[0]!AbreDeletar_DESPESA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7115175" y="95250"/>
          <a:ext cx="1504950" cy="323850"/>
        </a:xfrm>
        <a:prstGeom prst="roundRect">
          <a:avLst/>
        </a:prstGeom>
        <a:solidFill>
          <a:srgbClr val="FF7C8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531330</xdr:colOff>
      <xdr:row>0</xdr:row>
      <xdr:rowOff>581025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pSpPr/>
      </xdr:nvGrpSpPr>
      <xdr:grpSpPr>
        <a:xfrm>
          <a:off x="0" y="0"/>
          <a:ext cx="1690895" cy="581025"/>
          <a:chOff x="4940828" y="47625"/>
          <a:chExt cx="1728428" cy="727997"/>
        </a:xfrm>
      </xdr:grpSpPr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/>
        </xdr:nvSpPr>
        <xdr:spPr>
          <a:xfrm>
            <a:off x="4940828" y="47625"/>
            <a:ext cx="1728428" cy="727997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Versao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E00-000011000000}"/>
              </a:ext>
            </a:extLst>
          </xdr:cNvPr>
          <xdr:cNvSpPr>
            <a:spLocks/>
          </xdr:cNvSpPr>
        </xdr:nvSpPr>
        <xdr:spPr>
          <a:xfrm>
            <a:off x="5487292" y="191767"/>
            <a:ext cx="1158843" cy="49586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70002" y="93583"/>
            <a:ext cx="614506" cy="605794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609600</xdr:colOff>
      <xdr:row>0</xdr:row>
      <xdr:rowOff>0</xdr:rowOff>
    </xdr:from>
    <xdr:to>
      <xdr:col>5</xdr:col>
      <xdr:colOff>514350</xdr:colOff>
      <xdr:row>0</xdr:row>
      <xdr:rowOff>323850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695450" y="0"/>
          <a:ext cx="3505200" cy="323850"/>
        </a:xfrm>
        <a:prstGeom prst="roundRect">
          <a:avLst/>
        </a:prstGeom>
        <a:noFill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TRANSFERÊNCIAS</a:t>
          </a:r>
        </a:p>
      </xdr:txBody>
    </xdr:sp>
    <xdr:clientData/>
  </xdr:twoCellAnchor>
  <xdr:twoCellAnchor editAs="absolute">
    <xdr:from>
      <xdr:col>5</xdr:col>
      <xdr:colOff>666750</xdr:colOff>
      <xdr:row>0</xdr:row>
      <xdr:rowOff>95250</xdr:rowOff>
    </xdr:from>
    <xdr:to>
      <xdr:col>6</xdr:col>
      <xdr:colOff>876300</xdr:colOff>
      <xdr:row>0</xdr:row>
      <xdr:rowOff>419100</xdr:rowOff>
    </xdr:to>
    <xdr:sp macro="[0]!AbreFormLançamento_TRANSF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5353050" y="95250"/>
          <a:ext cx="1581150" cy="323850"/>
        </a:xfrm>
        <a:prstGeom prst="roundRect">
          <a:avLst/>
        </a:prstGeom>
        <a:solidFill>
          <a:schemeClr val="accent5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</a:t>
          </a:r>
          <a:r>
            <a:rPr lang="pt-BR" sz="1100" baseline="0"/>
            <a:t> LANÇAMENTO</a:t>
          </a:r>
          <a:endParaRPr lang="pt-BR" sz="1100"/>
        </a:p>
      </xdr:txBody>
    </xdr:sp>
    <xdr:clientData/>
  </xdr:twoCellAnchor>
  <xdr:twoCellAnchor editAs="absolute">
    <xdr:from>
      <xdr:col>9</xdr:col>
      <xdr:colOff>114300</xdr:colOff>
      <xdr:row>0</xdr:row>
      <xdr:rowOff>95250</xdr:rowOff>
    </xdr:from>
    <xdr:to>
      <xdr:col>10</xdr:col>
      <xdr:colOff>1085850</xdr:colOff>
      <xdr:row>0</xdr:row>
      <xdr:rowOff>419100</xdr:rowOff>
    </xdr:to>
    <xdr:sp macro="[0]!AbreDeletar_TRANS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7124700" y="95250"/>
          <a:ext cx="1857375" cy="323850"/>
        </a:xfrm>
        <a:prstGeom prst="roundRect">
          <a:avLst/>
        </a:prstGeom>
        <a:solidFill>
          <a:srgbClr val="FF7C8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APAGAR</a:t>
          </a:r>
          <a:r>
            <a:rPr lang="pt-BR" sz="1100" baseline="0"/>
            <a:t> TRANSFERÊNCIA</a:t>
          </a:r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609600</xdr:colOff>
      <xdr:row>0</xdr:row>
      <xdr:rowOff>581025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pSpPr/>
      </xdr:nvGrpSpPr>
      <xdr:grpSpPr>
        <a:xfrm>
          <a:off x="0" y="0"/>
          <a:ext cx="1695450" cy="581025"/>
          <a:chOff x="4940828" y="47625"/>
          <a:chExt cx="1728428" cy="727997"/>
        </a:xfrm>
      </xdr:grpSpPr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SpPr/>
        </xdr:nvSpPr>
        <xdr:spPr>
          <a:xfrm>
            <a:off x="4940828" y="47625"/>
            <a:ext cx="1728428" cy="727997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Versao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>
            <a:spLocks/>
          </xdr:cNvSpPr>
        </xdr:nvSpPr>
        <xdr:spPr>
          <a:xfrm>
            <a:off x="5487292" y="191767"/>
            <a:ext cx="1158843" cy="49586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70002" y="93583"/>
            <a:ext cx="614506" cy="605794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990600</xdr:colOff>
          <xdr:row>0</xdr:row>
          <xdr:rowOff>114300</xdr:rowOff>
        </xdr:from>
        <xdr:to>
          <xdr:col>11</xdr:col>
          <xdr:colOff>190500</xdr:colOff>
          <xdr:row>1</xdr:row>
          <xdr:rowOff>257175</xdr:rowOff>
        </xdr:to>
        <xdr:sp macro="" textlink="">
          <xdr:nvSpPr>
            <xdr:cNvPr id="18434" name="Drop Dow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22411</xdr:colOff>
      <xdr:row>0</xdr:row>
      <xdr:rowOff>145676</xdr:rowOff>
    </xdr:from>
    <xdr:to>
      <xdr:col>4</xdr:col>
      <xdr:colOff>297239</xdr:colOff>
      <xdr:row>1</xdr:row>
      <xdr:rowOff>281205</xdr:rowOff>
    </xdr:to>
    <xdr:sp macro="[0]!zPrintOrPDF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1961029" y="145676"/>
          <a:ext cx="2134098" cy="326029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 para  Impressão</a:t>
          </a:r>
        </a:p>
      </xdr:txBody>
    </xdr:sp>
    <xdr:clientData fPrintsWithSheet="0"/>
  </xdr:twoCellAnchor>
  <xdr:twoCellAnchor editAs="absolute">
    <xdr:from>
      <xdr:col>0</xdr:col>
      <xdr:colOff>0</xdr:colOff>
      <xdr:row>0</xdr:row>
      <xdr:rowOff>1</xdr:rowOff>
    </xdr:from>
    <xdr:to>
      <xdr:col>0</xdr:col>
      <xdr:colOff>1800000</xdr:colOff>
      <xdr:row>15</xdr:row>
      <xdr:rowOff>105833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0" y="1"/>
          <a:ext cx="1800000" cy="5185832"/>
          <a:chOff x="0" y="0"/>
          <a:chExt cx="1800000" cy="6944714"/>
        </a:xfrm>
      </xdr:grpSpPr>
      <xdr:grpSp>
        <xdr:nvGrpSpPr>
          <xdr:cNvPr id="31" name="Agrupar 3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32" name="Imagem 31">
              <a:extLst>
                <a:ext uri="{FF2B5EF4-FFF2-40B4-BE49-F238E27FC236}">
                  <a16:creationId xmlns:a16="http://schemas.microsoft.com/office/drawing/2014/main" id="{00000000-0008-0000-11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33" name="Retângulo 32">
              <a:extLst>
                <a:ext uri="{FF2B5EF4-FFF2-40B4-BE49-F238E27FC236}">
                  <a16:creationId xmlns:a16="http://schemas.microsoft.com/office/drawing/2014/main" id="{00000000-0008-0000-1100-000021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00000000-0008-0000-1100-000003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35" name="Agrupar 34">
                <a:extLst>
                  <a:ext uri="{FF2B5EF4-FFF2-40B4-BE49-F238E27FC236}">
                    <a16:creationId xmlns:a16="http://schemas.microsoft.com/office/drawing/2014/main" id="{00000000-0008-0000-1100-000023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36" name="Agrupar 35">
                  <a:extLst>
                    <a:ext uri="{FF2B5EF4-FFF2-40B4-BE49-F238E27FC236}">
                      <a16:creationId xmlns:a16="http://schemas.microsoft.com/office/drawing/2014/main" id="{00000000-0008-0000-1100-000024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42" name="Agrupar 41">
                    <a:extLst>
                      <a:ext uri="{FF2B5EF4-FFF2-40B4-BE49-F238E27FC236}">
                        <a16:creationId xmlns:a16="http://schemas.microsoft.com/office/drawing/2014/main" id="{00000000-0008-0000-1100-00002A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45" name="Agrupar 44">
                      <a:extLst>
                        <a:ext uri="{FF2B5EF4-FFF2-40B4-BE49-F238E27FC236}">
                          <a16:creationId xmlns:a16="http://schemas.microsoft.com/office/drawing/2014/main" id="{00000000-0008-0000-1100-00002D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50" name="Agrupar 49">
                        <a:extLst>
                          <a:ext uri="{FF2B5EF4-FFF2-40B4-BE49-F238E27FC236}">
                            <a16:creationId xmlns:a16="http://schemas.microsoft.com/office/drawing/2014/main" id="{00000000-0008-0000-1100-000032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55" name="Retângulo 54">
                          <a:extLst>
                            <a:ext uri="{FF2B5EF4-FFF2-40B4-BE49-F238E27FC236}">
                              <a16:creationId xmlns:a16="http://schemas.microsoft.com/office/drawing/2014/main" id="{00000000-0008-0000-1100-00003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56" name="Retângulo: Cantos Arredondados 55">
                          <a:extLst>
                            <a:ext uri="{FF2B5EF4-FFF2-40B4-BE49-F238E27FC236}">
                              <a16:creationId xmlns:a16="http://schemas.microsoft.com/office/drawing/2014/main" id="{00000000-0008-0000-1100-00003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57" name="Retângulo: Cantos Arredondados 56">
                          <a:extLst>
                            <a:ext uri="{FF2B5EF4-FFF2-40B4-BE49-F238E27FC236}">
                              <a16:creationId xmlns:a16="http://schemas.microsoft.com/office/drawing/2014/main" id="{00000000-0008-0000-1100-00003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58" name="Retângulo: Cantos Arredondados 57">
                          <a:extLst>
                            <a:ext uri="{FF2B5EF4-FFF2-40B4-BE49-F238E27FC236}">
                              <a16:creationId xmlns:a16="http://schemas.microsoft.com/office/drawing/2014/main" id="{00000000-0008-0000-1100-00003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59" name="Retângulo: Cantos Arredondados 58">
                          <a:extLst>
                            <a:ext uri="{FF2B5EF4-FFF2-40B4-BE49-F238E27FC236}">
                              <a16:creationId xmlns:a16="http://schemas.microsoft.com/office/drawing/2014/main" id="{00000000-0008-0000-1100-00003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60" name="Retângulo: Cantos Arredondados 59">
                          <a:extLst>
                            <a:ext uri="{FF2B5EF4-FFF2-40B4-BE49-F238E27FC236}">
                              <a16:creationId xmlns:a16="http://schemas.microsoft.com/office/drawing/2014/main" id="{00000000-0008-0000-1100-00003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61" name="Retângulo: Cantos Arredondados 60">
                          <a:extLst>
                            <a:ext uri="{FF2B5EF4-FFF2-40B4-BE49-F238E27FC236}">
                              <a16:creationId xmlns:a16="http://schemas.microsoft.com/office/drawing/2014/main" id="{00000000-0008-0000-1100-00003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51" name="Retângulo 50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100-00003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80076" y="1671574"/>
                        <a:ext cx="1446871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bg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52" name="Retângulo 51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100-00003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53" name="Retângulo 52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100-00003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54" name="Retângulo 53">
                        <a:extLst>
                          <a:ext uri="{FF2B5EF4-FFF2-40B4-BE49-F238E27FC236}">
                            <a16:creationId xmlns:a16="http://schemas.microsoft.com/office/drawing/2014/main" id="{00000000-0008-0000-1100-00003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201995"/>
                        <a:ext cx="1336674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46" name="Agrupar 45">
                      <a:extLst>
                        <a:ext uri="{FF2B5EF4-FFF2-40B4-BE49-F238E27FC236}">
                          <a16:creationId xmlns:a16="http://schemas.microsoft.com/office/drawing/2014/main" id="{00000000-0008-0000-1100-00002E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47" name="Retângulo 46">
                        <a:extLst>
                          <a:ext uri="{FF2B5EF4-FFF2-40B4-BE49-F238E27FC236}">
                            <a16:creationId xmlns:a16="http://schemas.microsoft.com/office/drawing/2014/main" id="{00000000-0008-0000-1100-00002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48" name="Imagem 47">
                        <a:extLst>
                          <a:ext uri="{FF2B5EF4-FFF2-40B4-BE49-F238E27FC236}">
                            <a16:creationId xmlns:a16="http://schemas.microsoft.com/office/drawing/2014/main" id="{00000000-0008-0000-1100-000030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49" name="Retângulo 48">
                        <a:extLst>
                          <a:ext uri="{FF2B5EF4-FFF2-40B4-BE49-F238E27FC236}">
                            <a16:creationId xmlns:a16="http://schemas.microsoft.com/office/drawing/2014/main" id="{00000000-0008-0000-1100-000031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43" name="Retângulo 42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100-00002B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44" name="Retângulo 43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100-00002C000000}"/>
                      </a:ext>
                    </a:extLst>
                  </xdr:cNvPr>
                  <xdr:cNvSpPr/>
                </xdr:nvSpPr>
                <xdr:spPr>
                  <a:xfrm>
                    <a:off x="148167" y="2776662"/>
                    <a:ext cx="1545166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37" name="Agrupar 36">
                  <a:extLst>
                    <a:ext uri="{FF2B5EF4-FFF2-40B4-BE49-F238E27FC236}">
                      <a16:creationId xmlns:a16="http://schemas.microsoft.com/office/drawing/2014/main" id="{00000000-0008-0000-1100-000025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40" name="Retângulo: Cantos Arredondados 39">
                    <a:extLst>
                      <a:ext uri="{FF2B5EF4-FFF2-40B4-BE49-F238E27FC236}">
                        <a16:creationId xmlns:a16="http://schemas.microsoft.com/office/drawing/2014/main" id="{00000000-0008-0000-1100-000028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41" name="Retângulo 40">
                    <a:extLst>
                      <a:ext uri="{FF2B5EF4-FFF2-40B4-BE49-F238E27FC236}">
                        <a16:creationId xmlns:a16="http://schemas.microsoft.com/office/drawing/2014/main" id="{00000000-0008-0000-1100-000029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38" name="Retângulo: Cantos Arredondados 37">
                  <a:extLst>
                    <a:ext uri="{FF2B5EF4-FFF2-40B4-BE49-F238E27FC236}">
                      <a16:creationId xmlns:a16="http://schemas.microsoft.com/office/drawing/2014/main" id="{00000000-0008-0000-1100-000026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39" name="Retângulo 38">
                  <a:extLst>
                    <a:ext uri="{FF2B5EF4-FFF2-40B4-BE49-F238E27FC236}">
                      <a16:creationId xmlns:a16="http://schemas.microsoft.com/office/drawing/2014/main" id="{00000000-0008-0000-1100-000027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2" name="Agrupar 1">
                <a:extLst>
                  <a:ext uri="{FF2B5EF4-FFF2-40B4-BE49-F238E27FC236}">
                    <a16:creationId xmlns:a16="http://schemas.microsoft.com/office/drawing/2014/main" id="{00000000-0008-0000-1100-000002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62" name="Retângulo: Cantos Arredondados 61">
                  <a:extLst>
                    <a:ext uri="{FF2B5EF4-FFF2-40B4-BE49-F238E27FC236}">
                      <a16:creationId xmlns:a16="http://schemas.microsoft.com/office/drawing/2014/main" id="{00000000-0008-0000-1100-00003E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63" name="Retângulo 62">
                  <a:extLst>
                    <a:ext uri="{FF2B5EF4-FFF2-40B4-BE49-F238E27FC236}">
                      <a16:creationId xmlns:a16="http://schemas.microsoft.com/office/drawing/2014/main" id="{00000000-0008-0000-1100-00003F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00000000-0008-0000-1100-000004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64" name="Retângulo: Cantos Arredondados 63">
                <a:extLst>
                  <a:ext uri="{FF2B5EF4-FFF2-40B4-BE49-F238E27FC236}">
                    <a16:creationId xmlns:a16="http://schemas.microsoft.com/office/drawing/2014/main" id="{00000000-0008-0000-1100-000040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65" name="Retângulo 64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100-000041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219075</xdr:rowOff>
    </xdr:from>
    <xdr:to>
      <xdr:col>3</xdr:col>
      <xdr:colOff>698500</xdr:colOff>
      <xdr:row>1</xdr:row>
      <xdr:rowOff>220133</xdr:rowOff>
    </xdr:to>
    <xdr:sp macro="[0]!zPrintOrPDF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895475" y="219075"/>
          <a:ext cx="2134658" cy="324908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 para  Impressão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685800</xdr:colOff>
          <xdr:row>0</xdr:row>
          <xdr:rowOff>295275</xdr:rowOff>
        </xdr:from>
        <xdr:to>
          <xdr:col>7</xdr:col>
          <xdr:colOff>781050</xdr:colOff>
          <xdr:row>1</xdr:row>
          <xdr:rowOff>219075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0</xdr:row>
          <xdr:rowOff>295275</xdr:rowOff>
        </xdr:from>
        <xdr:to>
          <xdr:col>11</xdr:col>
          <xdr:colOff>466725</xdr:colOff>
          <xdr:row>1</xdr:row>
          <xdr:rowOff>209550</xdr:rowOff>
        </xdr:to>
        <xdr:sp macro="" textlink="">
          <xdr:nvSpPr>
            <xdr:cNvPr id="19458" name="Drop-down 1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1</xdr:rowOff>
    </xdr:from>
    <xdr:to>
      <xdr:col>0</xdr:col>
      <xdr:colOff>1800000</xdr:colOff>
      <xdr:row>21</xdr:row>
      <xdr:rowOff>148168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GrpSpPr/>
      </xdr:nvGrpSpPr>
      <xdr:grpSpPr>
        <a:xfrm>
          <a:off x="0" y="1"/>
          <a:ext cx="1800000" cy="4667250"/>
          <a:chOff x="0" y="0"/>
          <a:chExt cx="1800000" cy="6944714"/>
        </a:xfrm>
      </xdr:grpSpPr>
      <xdr:grpSp>
        <xdr:nvGrpSpPr>
          <xdr:cNvPr id="71" name="Agrupar 7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07" name="Imagem 106">
              <a:extLst>
                <a:ext uri="{FF2B5EF4-FFF2-40B4-BE49-F238E27FC236}">
                  <a16:creationId xmlns:a16="http://schemas.microsoft.com/office/drawing/2014/main" id="{00000000-0008-0000-1200-00006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08" name="Retângulo 107">
              <a:extLst>
                <a:ext uri="{FF2B5EF4-FFF2-40B4-BE49-F238E27FC236}">
                  <a16:creationId xmlns:a16="http://schemas.microsoft.com/office/drawing/2014/main" id="{00000000-0008-0000-1200-00006C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72" name="Agrupar 71">
            <a:extLst>
              <a:ext uri="{FF2B5EF4-FFF2-40B4-BE49-F238E27FC236}">
                <a16:creationId xmlns:a16="http://schemas.microsoft.com/office/drawing/2014/main" id="{00000000-0008-0000-1200-000048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73" name="Agrupar 72">
              <a:extLst>
                <a:ext uri="{FF2B5EF4-FFF2-40B4-BE49-F238E27FC236}">
                  <a16:creationId xmlns:a16="http://schemas.microsoft.com/office/drawing/2014/main" id="{00000000-0008-0000-1200-000049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77" name="Agrupar 76">
                <a:extLst>
                  <a:ext uri="{FF2B5EF4-FFF2-40B4-BE49-F238E27FC236}">
                    <a16:creationId xmlns:a16="http://schemas.microsoft.com/office/drawing/2014/main" id="{00000000-0008-0000-1200-00004D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81" name="Agrupar 80">
                  <a:extLst>
                    <a:ext uri="{FF2B5EF4-FFF2-40B4-BE49-F238E27FC236}">
                      <a16:creationId xmlns:a16="http://schemas.microsoft.com/office/drawing/2014/main" id="{00000000-0008-0000-1200-000051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87" name="Agrupar 86">
                    <a:extLst>
                      <a:ext uri="{FF2B5EF4-FFF2-40B4-BE49-F238E27FC236}">
                        <a16:creationId xmlns:a16="http://schemas.microsoft.com/office/drawing/2014/main" id="{00000000-0008-0000-1200-000057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90" name="Agrupar 89">
                      <a:extLst>
                        <a:ext uri="{FF2B5EF4-FFF2-40B4-BE49-F238E27FC236}">
                          <a16:creationId xmlns:a16="http://schemas.microsoft.com/office/drawing/2014/main" id="{00000000-0008-0000-1200-00005A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95" name="Agrupar 94">
                        <a:extLst>
                          <a:ext uri="{FF2B5EF4-FFF2-40B4-BE49-F238E27FC236}">
                            <a16:creationId xmlns:a16="http://schemas.microsoft.com/office/drawing/2014/main" id="{00000000-0008-0000-1200-00005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100" name="Retângulo 99">
                          <a:extLst>
                            <a:ext uri="{FF2B5EF4-FFF2-40B4-BE49-F238E27FC236}">
                              <a16:creationId xmlns:a16="http://schemas.microsoft.com/office/drawing/2014/main" id="{00000000-0008-0000-1200-00006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1" name="Retângulo: Cantos Arredondados 100">
                          <a:extLst>
                            <a:ext uri="{FF2B5EF4-FFF2-40B4-BE49-F238E27FC236}">
                              <a16:creationId xmlns:a16="http://schemas.microsoft.com/office/drawing/2014/main" id="{00000000-0008-0000-1200-00006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2" name="Retângulo: Cantos Arredondados 101">
                          <a:extLst>
                            <a:ext uri="{FF2B5EF4-FFF2-40B4-BE49-F238E27FC236}">
                              <a16:creationId xmlns:a16="http://schemas.microsoft.com/office/drawing/2014/main" id="{00000000-0008-0000-1200-00006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3" name="Retângulo: Cantos Arredondados 102">
                          <a:extLst>
                            <a:ext uri="{FF2B5EF4-FFF2-40B4-BE49-F238E27FC236}">
                              <a16:creationId xmlns:a16="http://schemas.microsoft.com/office/drawing/2014/main" id="{00000000-0008-0000-1200-00006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4" name="Retângulo: Cantos Arredondados 103">
                          <a:extLst>
                            <a:ext uri="{FF2B5EF4-FFF2-40B4-BE49-F238E27FC236}">
                              <a16:creationId xmlns:a16="http://schemas.microsoft.com/office/drawing/2014/main" id="{00000000-0008-0000-1200-00006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5" name="Retângulo: Cantos Arredondados 104">
                          <a:extLst>
                            <a:ext uri="{FF2B5EF4-FFF2-40B4-BE49-F238E27FC236}">
                              <a16:creationId xmlns:a16="http://schemas.microsoft.com/office/drawing/2014/main" id="{00000000-0008-0000-12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6" name="Retângulo: Cantos Arredondados 105">
                          <a:extLst>
                            <a:ext uri="{FF2B5EF4-FFF2-40B4-BE49-F238E27FC236}">
                              <a16:creationId xmlns:a16="http://schemas.microsoft.com/office/drawing/2014/main" id="{00000000-0008-0000-1200-00006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96" name="Retângulo 95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200-00006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00909" y="1671576"/>
                        <a:ext cx="1426038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97" name="Retângulo 96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200-00006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98" name="Retângulo 97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200-00006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99" name="Retângulo 98">
                        <a:extLst>
                          <a:ext uri="{FF2B5EF4-FFF2-40B4-BE49-F238E27FC236}">
                            <a16:creationId xmlns:a16="http://schemas.microsoft.com/office/drawing/2014/main" id="{00000000-0008-0000-1200-00006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91922"/>
                        <a:ext cx="1336674" cy="50504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1" name="Agrupar 90">
                      <a:extLst>
                        <a:ext uri="{FF2B5EF4-FFF2-40B4-BE49-F238E27FC236}">
                          <a16:creationId xmlns:a16="http://schemas.microsoft.com/office/drawing/2014/main" id="{00000000-0008-0000-1200-00005B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2" name="Retângulo 91">
                        <a:extLst>
                          <a:ext uri="{FF2B5EF4-FFF2-40B4-BE49-F238E27FC236}">
                            <a16:creationId xmlns:a16="http://schemas.microsoft.com/office/drawing/2014/main" id="{00000000-0008-0000-1200-00005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3" name="Imagem 92">
                        <a:extLst>
                          <a:ext uri="{FF2B5EF4-FFF2-40B4-BE49-F238E27FC236}">
                            <a16:creationId xmlns:a16="http://schemas.microsoft.com/office/drawing/2014/main" id="{00000000-0008-0000-1200-00005D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4" name="Retângulo 93">
                        <a:extLst>
                          <a:ext uri="{FF2B5EF4-FFF2-40B4-BE49-F238E27FC236}">
                            <a16:creationId xmlns:a16="http://schemas.microsoft.com/office/drawing/2014/main" id="{00000000-0008-0000-1200-00005E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88" name="Retângulo 87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200-000058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bg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bg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bg1"/>
                      </a:solidFill>
                    </a:endParaRPr>
                  </a:p>
                </xdr:txBody>
              </xdr:sp>
              <xdr:sp macro="" textlink="">
                <xdr:nvSpPr>
                  <xdr:cNvPr id="89" name="Retângulo 88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200-000059000000}"/>
                      </a:ext>
                    </a:extLst>
                  </xdr:cNvPr>
                  <xdr:cNvSpPr/>
                </xdr:nvSpPr>
                <xdr:spPr>
                  <a:xfrm>
                    <a:off x="201082" y="2776662"/>
                    <a:ext cx="1481667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82" name="Agrupar 81">
                  <a:extLst>
                    <a:ext uri="{FF2B5EF4-FFF2-40B4-BE49-F238E27FC236}">
                      <a16:creationId xmlns:a16="http://schemas.microsoft.com/office/drawing/2014/main" id="{00000000-0008-0000-1200-000052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85" name="Retângulo: Cantos Arredondados 84">
                    <a:extLst>
                      <a:ext uri="{FF2B5EF4-FFF2-40B4-BE49-F238E27FC236}">
                        <a16:creationId xmlns:a16="http://schemas.microsoft.com/office/drawing/2014/main" id="{00000000-0008-0000-1200-000055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86" name="Retângulo 85">
                    <a:extLst>
                      <a:ext uri="{FF2B5EF4-FFF2-40B4-BE49-F238E27FC236}">
                        <a16:creationId xmlns:a16="http://schemas.microsoft.com/office/drawing/2014/main" id="{00000000-0008-0000-1200-000056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83" name="Retângulo: Cantos Arredondados 82">
                  <a:extLst>
                    <a:ext uri="{FF2B5EF4-FFF2-40B4-BE49-F238E27FC236}">
                      <a16:creationId xmlns:a16="http://schemas.microsoft.com/office/drawing/2014/main" id="{00000000-0008-0000-1200-000053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84" name="Retângulo 83">
                  <a:extLst>
                    <a:ext uri="{FF2B5EF4-FFF2-40B4-BE49-F238E27FC236}">
                      <a16:creationId xmlns:a16="http://schemas.microsoft.com/office/drawing/2014/main" id="{00000000-0008-0000-1200-000054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78" name="Agrupar 77">
                <a:extLst>
                  <a:ext uri="{FF2B5EF4-FFF2-40B4-BE49-F238E27FC236}">
                    <a16:creationId xmlns:a16="http://schemas.microsoft.com/office/drawing/2014/main" id="{00000000-0008-0000-1200-00004E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79" name="Retângulo: Cantos Arredondados 78">
                  <a:extLst>
                    <a:ext uri="{FF2B5EF4-FFF2-40B4-BE49-F238E27FC236}">
                      <a16:creationId xmlns:a16="http://schemas.microsoft.com/office/drawing/2014/main" id="{00000000-0008-0000-1200-00004F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80" name="Retângulo 79">
                  <a:extLst>
                    <a:ext uri="{FF2B5EF4-FFF2-40B4-BE49-F238E27FC236}">
                      <a16:creationId xmlns:a16="http://schemas.microsoft.com/office/drawing/2014/main" id="{00000000-0008-0000-1200-000050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74" name="Agrupar 73">
              <a:extLst>
                <a:ext uri="{FF2B5EF4-FFF2-40B4-BE49-F238E27FC236}">
                  <a16:creationId xmlns:a16="http://schemas.microsoft.com/office/drawing/2014/main" id="{00000000-0008-0000-1200-00004A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75" name="Retângulo: Cantos Arredondados 74">
                <a:extLst>
                  <a:ext uri="{FF2B5EF4-FFF2-40B4-BE49-F238E27FC236}">
                    <a16:creationId xmlns:a16="http://schemas.microsoft.com/office/drawing/2014/main" id="{00000000-0008-0000-1200-00004B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76" name="Retângulo 75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200-00004C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390525</xdr:colOff>
          <xdr:row>0</xdr:row>
          <xdr:rowOff>133350</xdr:rowOff>
        </xdr:from>
        <xdr:to>
          <xdr:col>4</xdr:col>
          <xdr:colOff>1362075</xdr:colOff>
          <xdr:row>0</xdr:row>
          <xdr:rowOff>438150</xdr:rowOff>
        </xdr:to>
        <xdr:sp macro="" textlink="">
          <xdr:nvSpPr>
            <xdr:cNvPr id="20483" name="Drop Dow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1114425</xdr:colOff>
          <xdr:row>0</xdr:row>
          <xdr:rowOff>133350</xdr:rowOff>
        </xdr:from>
        <xdr:to>
          <xdr:col>6</xdr:col>
          <xdr:colOff>1171575</xdr:colOff>
          <xdr:row>0</xdr:row>
          <xdr:rowOff>447675</xdr:rowOff>
        </xdr:to>
        <xdr:sp macro="" textlink="">
          <xdr:nvSpPr>
            <xdr:cNvPr id="20484" name="Drop Dow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184338</xdr:colOff>
      <xdr:row>0</xdr:row>
      <xdr:rowOff>57150</xdr:rowOff>
    </xdr:from>
    <xdr:to>
      <xdr:col>3</xdr:col>
      <xdr:colOff>125941</xdr:colOff>
      <xdr:row>0</xdr:row>
      <xdr:rowOff>523874</xdr:rowOff>
    </xdr:to>
    <xdr:sp macro="[0]!zPrintOrPDF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SpPr/>
      </xdr:nvSpPr>
      <xdr:spPr>
        <a:xfrm>
          <a:off x="1889313" y="57150"/>
          <a:ext cx="1149162" cy="466724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tx1"/>
              </a:solidFill>
            </a:rPr>
            <a:t>Gerar Arquivo para  Impressão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76200</xdr:colOff>
          <xdr:row>0</xdr:row>
          <xdr:rowOff>161925</xdr:rowOff>
        </xdr:from>
        <xdr:to>
          <xdr:col>8</xdr:col>
          <xdr:colOff>1390650</xdr:colOff>
          <xdr:row>0</xdr:row>
          <xdr:rowOff>457200</xdr:rowOff>
        </xdr:to>
        <xdr:sp macro="" textlink="">
          <xdr:nvSpPr>
            <xdr:cNvPr id="20485" name="Drop Dow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2</xdr:rowOff>
    </xdr:from>
    <xdr:to>
      <xdr:col>1</xdr:col>
      <xdr:colOff>95025</xdr:colOff>
      <xdr:row>14</xdr:row>
      <xdr:rowOff>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GrpSpPr/>
      </xdr:nvGrpSpPr>
      <xdr:grpSpPr>
        <a:xfrm>
          <a:off x="0" y="2"/>
          <a:ext cx="1800000" cy="4505324"/>
          <a:chOff x="0" y="0"/>
          <a:chExt cx="1800000" cy="6944714"/>
        </a:xfrm>
      </xdr:grpSpPr>
      <xdr:grpSp>
        <xdr:nvGrpSpPr>
          <xdr:cNvPr id="70" name="Agrupar 6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300-000046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06" name="Imagem 105">
              <a:extLst>
                <a:ext uri="{FF2B5EF4-FFF2-40B4-BE49-F238E27FC236}">
                  <a16:creationId xmlns:a16="http://schemas.microsoft.com/office/drawing/2014/main" id="{00000000-0008-0000-1300-00006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07" name="Retângulo 106">
              <a:extLst>
                <a:ext uri="{FF2B5EF4-FFF2-40B4-BE49-F238E27FC236}">
                  <a16:creationId xmlns:a16="http://schemas.microsoft.com/office/drawing/2014/main" id="{00000000-0008-0000-1300-00006B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71" name="Agrupar 70">
            <a:extLst>
              <a:ext uri="{FF2B5EF4-FFF2-40B4-BE49-F238E27FC236}">
                <a16:creationId xmlns:a16="http://schemas.microsoft.com/office/drawing/2014/main" id="{00000000-0008-0000-1300-000047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72" name="Agrupar 71">
              <a:extLst>
                <a:ext uri="{FF2B5EF4-FFF2-40B4-BE49-F238E27FC236}">
                  <a16:creationId xmlns:a16="http://schemas.microsoft.com/office/drawing/2014/main" id="{00000000-0008-0000-1300-000048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76" name="Agrupar 75">
                <a:extLst>
                  <a:ext uri="{FF2B5EF4-FFF2-40B4-BE49-F238E27FC236}">
                    <a16:creationId xmlns:a16="http://schemas.microsoft.com/office/drawing/2014/main" id="{00000000-0008-0000-1300-00004C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80" name="Agrupar 79">
                  <a:extLst>
                    <a:ext uri="{FF2B5EF4-FFF2-40B4-BE49-F238E27FC236}">
                      <a16:creationId xmlns:a16="http://schemas.microsoft.com/office/drawing/2014/main" id="{00000000-0008-0000-1300-000050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86" name="Agrupar 85">
                    <a:extLst>
                      <a:ext uri="{FF2B5EF4-FFF2-40B4-BE49-F238E27FC236}">
                        <a16:creationId xmlns:a16="http://schemas.microsoft.com/office/drawing/2014/main" id="{00000000-0008-0000-1300-000056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89" name="Agrupar 88">
                      <a:extLst>
                        <a:ext uri="{FF2B5EF4-FFF2-40B4-BE49-F238E27FC236}">
                          <a16:creationId xmlns:a16="http://schemas.microsoft.com/office/drawing/2014/main" id="{00000000-0008-0000-1300-000059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94" name="Agrupar 93">
                        <a:extLst>
                          <a:ext uri="{FF2B5EF4-FFF2-40B4-BE49-F238E27FC236}">
                            <a16:creationId xmlns:a16="http://schemas.microsoft.com/office/drawing/2014/main" id="{00000000-0008-0000-1300-00005E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99" name="Retângulo 98">
                          <a:extLst>
                            <a:ext uri="{FF2B5EF4-FFF2-40B4-BE49-F238E27FC236}">
                              <a16:creationId xmlns:a16="http://schemas.microsoft.com/office/drawing/2014/main" id="{00000000-0008-0000-1300-000063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0" name="Retângulo: Cantos Arredondados 99">
                          <a:extLst>
                            <a:ext uri="{FF2B5EF4-FFF2-40B4-BE49-F238E27FC236}">
                              <a16:creationId xmlns:a16="http://schemas.microsoft.com/office/drawing/2014/main" id="{00000000-0008-0000-1300-00006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1" name="Retângulo: Cantos Arredondados 100">
                          <a:extLst>
                            <a:ext uri="{FF2B5EF4-FFF2-40B4-BE49-F238E27FC236}">
                              <a16:creationId xmlns:a16="http://schemas.microsoft.com/office/drawing/2014/main" id="{00000000-0008-0000-1300-00006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2" name="Retângulo: Cantos Arredondados 101">
                          <a:extLst>
                            <a:ext uri="{FF2B5EF4-FFF2-40B4-BE49-F238E27FC236}">
                              <a16:creationId xmlns:a16="http://schemas.microsoft.com/office/drawing/2014/main" id="{00000000-0008-0000-1300-00006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3" name="Retângulo: Cantos Arredondados 102">
                          <a:extLst>
                            <a:ext uri="{FF2B5EF4-FFF2-40B4-BE49-F238E27FC236}">
                              <a16:creationId xmlns:a16="http://schemas.microsoft.com/office/drawing/2014/main" id="{00000000-0008-0000-1300-00006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4" name="Retângulo: Cantos Arredondados 103">
                          <a:extLst>
                            <a:ext uri="{FF2B5EF4-FFF2-40B4-BE49-F238E27FC236}">
                              <a16:creationId xmlns:a16="http://schemas.microsoft.com/office/drawing/2014/main" id="{00000000-0008-0000-1300-00006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5" name="Retângulo: Cantos Arredondados 104">
                          <a:extLst>
                            <a:ext uri="{FF2B5EF4-FFF2-40B4-BE49-F238E27FC236}">
                              <a16:creationId xmlns:a16="http://schemas.microsoft.com/office/drawing/2014/main" id="{00000000-0008-0000-13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95" name="Retângulo 94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300-00005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1326" y="1671575"/>
                        <a:ext cx="1415621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96" name="Retângulo 95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300-00006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01951" y="2716367"/>
                        <a:ext cx="1507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97" name="Retângulo 96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300-00006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98" name="Retângulo 97">
                        <a:extLst>
                          <a:ext uri="{FF2B5EF4-FFF2-40B4-BE49-F238E27FC236}">
                            <a16:creationId xmlns:a16="http://schemas.microsoft.com/office/drawing/2014/main" id="{00000000-0008-0000-1300-00006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74857"/>
                        <a:ext cx="1336674" cy="550328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0" name="Agrupar 89">
                      <a:extLst>
                        <a:ext uri="{FF2B5EF4-FFF2-40B4-BE49-F238E27FC236}">
                          <a16:creationId xmlns:a16="http://schemas.microsoft.com/office/drawing/2014/main" id="{00000000-0008-0000-1300-00005A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1" name="Retângulo 90">
                        <a:extLst>
                          <a:ext uri="{FF2B5EF4-FFF2-40B4-BE49-F238E27FC236}">
                            <a16:creationId xmlns:a16="http://schemas.microsoft.com/office/drawing/2014/main" id="{00000000-0008-0000-1300-00005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2" name="Imagem 91">
                        <a:extLst>
                          <a:ext uri="{FF2B5EF4-FFF2-40B4-BE49-F238E27FC236}">
                            <a16:creationId xmlns:a16="http://schemas.microsoft.com/office/drawing/2014/main" id="{00000000-0008-0000-1300-00005C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3" name="Retângulo 92">
                        <a:extLst>
                          <a:ext uri="{FF2B5EF4-FFF2-40B4-BE49-F238E27FC236}">
                            <a16:creationId xmlns:a16="http://schemas.microsoft.com/office/drawing/2014/main" id="{00000000-0008-0000-1300-00005D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87" name="Retângulo 86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300-000057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88" name="Retângulo 87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300-000058000000}"/>
                      </a:ext>
                    </a:extLst>
                  </xdr:cNvPr>
                  <xdr:cNvSpPr/>
                </xdr:nvSpPr>
                <xdr:spPr>
                  <a:xfrm>
                    <a:off x="238124" y="2776662"/>
                    <a:ext cx="1438275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81" name="Agrupar 80">
                  <a:extLst>
                    <a:ext uri="{FF2B5EF4-FFF2-40B4-BE49-F238E27FC236}">
                      <a16:creationId xmlns:a16="http://schemas.microsoft.com/office/drawing/2014/main" id="{00000000-0008-0000-1300-000051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84" name="Retângulo: Cantos Arredondados 83">
                    <a:extLst>
                      <a:ext uri="{FF2B5EF4-FFF2-40B4-BE49-F238E27FC236}">
                        <a16:creationId xmlns:a16="http://schemas.microsoft.com/office/drawing/2014/main" id="{00000000-0008-0000-1300-000054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85" name="Retângulo 84">
                    <a:extLst>
                      <a:ext uri="{FF2B5EF4-FFF2-40B4-BE49-F238E27FC236}">
                        <a16:creationId xmlns:a16="http://schemas.microsoft.com/office/drawing/2014/main" id="{00000000-0008-0000-1300-000055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82" name="Retângulo: Cantos Arredondados 81">
                  <a:extLst>
                    <a:ext uri="{FF2B5EF4-FFF2-40B4-BE49-F238E27FC236}">
                      <a16:creationId xmlns:a16="http://schemas.microsoft.com/office/drawing/2014/main" id="{00000000-0008-0000-1300-000052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83" name="Retângulo 82">
                  <a:extLst>
                    <a:ext uri="{FF2B5EF4-FFF2-40B4-BE49-F238E27FC236}">
                      <a16:creationId xmlns:a16="http://schemas.microsoft.com/office/drawing/2014/main" id="{00000000-0008-0000-1300-000053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77" name="Agrupar 76">
                <a:extLst>
                  <a:ext uri="{FF2B5EF4-FFF2-40B4-BE49-F238E27FC236}">
                    <a16:creationId xmlns:a16="http://schemas.microsoft.com/office/drawing/2014/main" id="{00000000-0008-0000-1300-00004D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78" name="Retângulo: Cantos Arredondados 77">
                  <a:extLst>
                    <a:ext uri="{FF2B5EF4-FFF2-40B4-BE49-F238E27FC236}">
                      <a16:creationId xmlns:a16="http://schemas.microsoft.com/office/drawing/2014/main" id="{00000000-0008-0000-1300-00004E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79" name="Retângulo 78">
                  <a:extLst>
                    <a:ext uri="{FF2B5EF4-FFF2-40B4-BE49-F238E27FC236}">
                      <a16:creationId xmlns:a16="http://schemas.microsoft.com/office/drawing/2014/main" id="{00000000-0008-0000-1300-00004F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73" name="Agrupar 72">
              <a:extLst>
                <a:ext uri="{FF2B5EF4-FFF2-40B4-BE49-F238E27FC236}">
                  <a16:creationId xmlns:a16="http://schemas.microsoft.com/office/drawing/2014/main" id="{00000000-0008-0000-1300-000049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74" name="Retângulo: Cantos Arredondados 73">
                <a:extLst>
                  <a:ext uri="{FF2B5EF4-FFF2-40B4-BE49-F238E27FC236}">
                    <a16:creationId xmlns:a16="http://schemas.microsoft.com/office/drawing/2014/main" id="{00000000-0008-0000-1300-00004A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75" name="Retângulo 74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300-00004B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1981092</xdr:colOff>
      <xdr:row>5</xdr:row>
      <xdr:rowOff>78372</xdr:rowOff>
    </xdr:from>
    <xdr:to>
      <xdr:col>1</xdr:col>
      <xdr:colOff>1735667</xdr:colOff>
      <xdr:row>6</xdr:row>
      <xdr:rowOff>0</xdr:rowOff>
    </xdr:to>
    <xdr:sp macro="[0]!zPrintOrPDF" textlink="">
      <xdr:nvSpPr>
        <xdr:cNvPr id="63" name="Retângulo: Cantos Arredondados 62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SpPr/>
      </xdr:nvSpPr>
      <xdr:spPr>
        <a:xfrm>
          <a:off x="1981092" y="1718789"/>
          <a:ext cx="1754825" cy="281461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Arquivo</a:t>
          </a:r>
          <a:r>
            <a:rPr lang="pt-BR" sz="1100" b="1" baseline="0">
              <a:solidFill>
                <a:schemeClr val="tx1"/>
              </a:solidFill>
            </a:rPr>
            <a:t> para</a:t>
          </a:r>
          <a:r>
            <a:rPr lang="pt-BR" sz="1100" b="1">
              <a:solidFill>
                <a:schemeClr val="tx1"/>
              </a:solidFill>
            </a:rPr>
            <a:t> Impressão</a:t>
          </a:r>
        </a:p>
      </xdr:txBody>
    </xdr:sp>
    <xdr:clientData fPrintsWithSheet="0"/>
  </xdr:twoCellAnchor>
  <xdr:twoCellAnchor editAs="absolute">
    <xdr:from>
      <xdr:col>0</xdr:col>
      <xdr:colOff>1976856</xdr:colOff>
      <xdr:row>3</xdr:row>
      <xdr:rowOff>282964</xdr:rowOff>
    </xdr:from>
    <xdr:to>
      <xdr:col>1</xdr:col>
      <xdr:colOff>1725083</xdr:colOff>
      <xdr:row>4</xdr:row>
      <xdr:rowOff>304688</xdr:rowOff>
    </xdr:to>
    <xdr:sp macro="[0]!Gerar_Relatorio_DRE" textlink="">
      <xdr:nvSpPr>
        <xdr:cNvPr id="64" name="Retângulo: Cantos Arredondados 63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SpPr/>
      </xdr:nvSpPr>
      <xdr:spPr>
        <a:xfrm>
          <a:off x="1976856" y="1309547"/>
          <a:ext cx="1748477" cy="328641"/>
        </a:xfrm>
        <a:prstGeom prst="roundRect">
          <a:avLst/>
        </a:prstGeom>
        <a:solidFill>
          <a:srgbClr val="FF7C8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</a:rPr>
            <a:t>Atualizar Contas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76200</xdr:rowOff>
        </xdr:from>
        <xdr:to>
          <xdr:col>4</xdr:col>
          <xdr:colOff>400050</xdr:colOff>
          <xdr:row>0</xdr:row>
          <xdr:rowOff>323850</xdr:rowOff>
        </xdr:to>
        <xdr:sp macro="" textlink="">
          <xdr:nvSpPr>
            <xdr:cNvPr id="21507" name="Drop Dow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0</xdr:row>
          <xdr:rowOff>66675</xdr:rowOff>
        </xdr:from>
        <xdr:to>
          <xdr:col>12</xdr:col>
          <xdr:colOff>47625</xdr:colOff>
          <xdr:row>0</xdr:row>
          <xdr:rowOff>333375</xdr:rowOff>
        </xdr:to>
        <xdr:sp macro="" textlink="">
          <xdr:nvSpPr>
            <xdr:cNvPr id="21509" name="Drop Dow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4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238125</xdr:colOff>
          <xdr:row>0</xdr:row>
          <xdr:rowOff>323850</xdr:rowOff>
        </xdr:to>
        <xdr:sp macro="" textlink="">
          <xdr:nvSpPr>
            <xdr:cNvPr id="21510" name="Drop Dow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4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19</xdr:row>
      <xdr:rowOff>179917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GrpSpPr/>
      </xdr:nvGrpSpPr>
      <xdr:grpSpPr>
        <a:xfrm>
          <a:off x="0" y="0"/>
          <a:ext cx="1800000" cy="4910667"/>
          <a:chOff x="0" y="0"/>
          <a:chExt cx="1800000" cy="6944714"/>
        </a:xfrm>
      </xdr:grpSpPr>
      <xdr:grpSp>
        <xdr:nvGrpSpPr>
          <xdr:cNvPr id="41" name="Agrupar 4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400-000029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12" name="Imagem 111">
              <a:extLst>
                <a:ext uri="{FF2B5EF4-FFF2-40B4-BE49-F238E27FC236}">
                  <a16:creationId xmlns:a16="http://schemas.microsoft.com/office/drawing/2014/main" id="{00000000-0008-0000-1400-00007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13" name="Retângulo 112">
              <a:extLst>
                <a:ext uri="{FF2B5EF4-FFF2-40B4-BE49-F238E27FC236}">
                  <a16:creationId xmlns:a16="http://schemas.microsoft.com/office/drawing/2014/main" id="{00000000-0008-0000-1400-000071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42" name="Agrupar 41">
            <a:extLst>
              <a:ext uri="{FF2B5EF4-FFF2-40B4-BE49-F238E27FC236}">
                <a16:creationId xmlns:a16="http://schemas.microsoft.com/office/drawing/2014/main" id="{00000000-0008-0000-1400-00002A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43" name="Agrupar 42">
              <a:extLst>
                <a:ext uri="{FF2B5EF4-FFF2-40B4-BE49-F238E27FC236}">
                  <a16:creationId xmlns:a16="http://schemas.microsoft.com/office/drawing/2014/main" id="{00000000-0008-0000-1400-00002B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47" name="Agrupar 46">
                <a:extLst>
                  <a:ext uri="{FF2B5EF4-FFF2-40B4-BE49-F238E27FC236}">
                    <a16:creationId xmlns:a16="http://schemas.microsoft.com/office/drawing/2014/main" id="{00000000-0008-0000-1400-00002F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51" name="Agrupar 50">
                  <a:extLst>
                    <a:ext uri="{FF2B5EF4-FFF2-40B4-BE49-F238E27FC236}">
                      <a16:creationId xmlns:a16="http://schemas.microsoft.com/office/drawing/2014/main" id="{00000000-0008-0000-1400-000033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57" name="Agrupar 56">
                    <a:extLst>
                      <a:ext uri="{FF2B5EF4-FFF2-40B4-BE49-F238E27FC236}">
                        <a16:creationId xmlns:a16="http://schemas.microsoft.com/office/drawing/2014/main" id="{00000000-0008-0000-1400-000039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60" name="Agrupar 59">
                      <a:extLst>
                        <a:ext uri="{FF2B5EF4-FFF2-40B4-BE49-F238E27FC236}">
                          <a16:creationId xmlns:a16="http://schemas.microsoft.com/office/drawing/2014/main" id="{00000000-0008-0000-1400-00003C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100" name="Agrupar 99">
                        <a:extLst>
                          <a:ext uri="{FF2B5EF4-FFF2-40B4-BE49-F238E27FC236}">
                            <a16:creationId xmlns:a16="http://schemas.microsoft.com/office/drawing/2014/main" id="{00000000-0008-0000-1400-000064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105" name="Retângulo 104">
                          <a:extLst>
                            <a:ext uri="{FF2B5EF4-FFF2-40B4-BE49-F238E27FC236}">
                              <a16:creationId xmlns:a16="http://schemas.microsoft.com/office/drawing/2014/main" id="{00000000-0008-0000-14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6" name="Retângulo: Cantos Arredondados 105">
                          <a:extLst>
                            <a:ext uri="{FF2B5EF4-FFF2-40B4-BE49-F238E27FC236}">
                              <a16:creationId xmlns:a16="http://schemas.microsoft.com/office/drawing/2014/main" id="{00000000-0008-0000-1400-00006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7" name="Retângulo: Cantos Arredondados 106">
                          <a:extLst>
                            <a:ext uri="{FF2B5EF4-FFF2-40B4-BE49-F238E27FC236}">
                              <a16:creationId xmlns:a16="http://schemas.microsoft.com/office/drawing/2014/main" id="{00000000-0008-0000-1400-00006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8" name="Retângulo: Cantos Arredondados 107">
                          <a:extLst>
                            <a:ext uri="{FF2B5EF4-FFF2-40B4-BE49-F238E27FC236}">
                              <a16:creationId xmlns:a16="http://schemas.microsoft.com/office/drawing/2014/main" id="{00000000-0008-0000-1400-00006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9" name="Retângulo: Cantos Arredondados 108">
                          <a:extLst>
                            <a:ext uri="{FF2B5EF4-FFF2-40B4-BE49-F238E27FC236}">
                              <a16:creationId xmlns:a16="http://schemas.microsoft.com/office/drawing/2014/main" id="{00000000-0008-0000-1400-00006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10" name="Retângulo: Cantos Arredondados 109">
                          <a:extLst>
                            <a:ext uri="{FF2B5EF4-FFF2-40B4-BE49-F238E27FC236}">
                              <a16:creationId xmlns:a16="http://schemas.microsoft.com/office/drawing/2014/main" id="{00000000-0008-0000-1400-00006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11" name="Retângulo: Cantos Arredondados 110">
                          <a:extLst>
                            <a:ext uri="{FF2B5EF4-FFF2-40B4-BE49-F238E27FC236}">
                              <a16:creationId xmlns:a16="http://schemas.microsoft.com/office/drawing/2014/main" id="{00000000-0008-0000-1400-00006F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101" name="Retângulo 100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400-00006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0492" y="1671576"/>
                        <a:ext cx="1436455" cy="508018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102" name="Retângulo 101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400-00006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103" name="Retângulo 102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400-00006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bg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104" name="Retângulo 103">
                        <a:extLst>
                          <a:ext uri="{FF2B5EF4-FFF2-40B4-BE49-F238E27FC236}">
                            <a16:creationId xmlns:a16="http://schemas.microsoft.com/office/drawing/2014/main" id="{00000000-0008-0000-1400-000068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201995"/>
                        <a:ext cx="1336674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6" name="Agrupar 95">
                      <a:extLst>
                        <a:ext uri="{FF2B5EF4-FFF2-40B4-BE49-F238E27FC236}">
                          <a16:creationId xmlns:a16="http://schemas.microsoft.com/office/drawing/2014/main" id="{00000000-0008-0000-1400-000060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7" name="Retângulo 96">
                        <a:extLst>
                          <a:ext uri="{FF2B5EF4-FFF2-40B4-BE49-F238E27FC236}">
                            <a16:creationId xmlns:a16="http://schemas.microsoft.com/office/drawing/2014/main" id="{00000000-0008-0000-1400-00006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8" name="Imagem 97">
                        <a:extLst>
                          <a:ext uri="{FF2B5EF4-FFF2-40B4-BE49-F238E27FC236}">
                            <a16:creationId xmlns:a16="http://schemas.microsoft.com/office/drawing/2014/main" id="{00000000-0008-0000-1400-000062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9" name="Retângulo 98">
                        <a:extLst>
                          <a:ext uri="{FF2B5EF4-FFF2-40B4-BE49-F238E27FC236}">
                            <a16:creationId xmlns:a16="http://schemas.microsoft.com/office/drawing/2014/main" id="{00000000-0008-0000-1400-000063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58" name="Retângulo 57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400-00003A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59" name="Retângulo 58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400-00003B000000}"/>
                      </a:ext>
                    </a:extLst>
                  </xdr:cNvPr>
                  <xdr:cNvSpPr/>
                </xdr:nvSpPr>
                <xdr:spPr>
                  <a:xfrm>
                    <a:off x="409575" y="2776662"/>
                    <a:ext cx="1043012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52" name="Agrupar 51">
                  <a:extLst>
                    <a:ext uri="{FF2B5EF4-FFF2-40B4-BE49-F238E27FC236}">
                      <a16:creationId xmlns:a16="http://schemas.microsoft.com/office/drawing/2014/main" id="{00000000-0008-0000-1400-000034000000}"/>
                    </a:ext>
                  </a:extLst>
                </xdr:cNvPr>
                <xdr:cNvGrpSpPr/>
              </xdr:nvGrpSpPr>
              <xdr:grpSpPr>
                <a:xfrm>
                  <a:off x="104775" y="3779523"/>
                  <a:ext cx="1625000" cy="476250"/>
                  <a:chOff x="95250" y="3750948"/>
                  <a:chExt cx="1625000" cy="476250"/>
                </a:xfrm>
              </xdr:grpSpPr>
              <xdr:sp macro="" textlink="">
                <xdr:nvSpPr>
                  <xdr:cNvPr id="55" name="Retângulo: Cantos Arredondados 54">
                    <a:extLst>
                      <a:ext uri="{FF2B5EF4-FFF2-40B4-BE49-F238E27FC236}">
                        <a16:creationId xmlns:a16="http://schemas.microsoft.com/office/drawing/2014/main" id="{00000000-0008-0000-1400-000037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56" name="Retângulo 55">
                    <a:extLst>
                      <a:ext uri="{FF2B5EF4-FFF2-40B4-BE49-F238E27FC236}">
                        <a16:creationId xmlns:a16="http://schemas.microsoft.com/office/drawing/2014/main" id="{00000000-0008-0000-1400-000038000000}"/>
                      </a:ext>
                    </a:extLst>
                  </xdr:cNvPr>
                  <xdr:cNvSpPr/>
                </xdr:nvSpPr>
                <xdr:spPr>
                  <a:xfrm>
                    <a:off x="266700" y="3750948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53" name="Retângulo: Cantos Arredondados 52">
                  <a:extLst>
                    <a:ext uri="{FF2B5EF4-FFF2-40B4-BE49-F238E27FC236}">
                      <a16:creationId xmlns:a16="http://schemas.microsoft.com/office/drawing/2014/main" id="{00000000-0008-0000-1400-000035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54" name="Retângulo 53">
                  <a:extLst>
                    <a:ext uri="{FF2B5EF4-FFF2-40B4-BE49-F238E27FC236}">
                      <a16:creationId xmlns:a16="http://schemas.microsoft.com/office/drawing/2014/main" id="{00000000-0008-0000-1400-000036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48" name="Agrupar 47">
                <a:extLst>
                  <a:ext uri="{FF2B5EF4-FFF2-40B4-BE49-F238E27FC236}">
                    <a16:creationId xmlns:a16="http://schemas.microsoft.com/office/drawing/2014/main" id="{00000000-0008-0000-1400-000030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49" name="Retângulo: Cantos Arredondados 48">
                  <a:extLst>
                    <a:ext uri="{FF2B5EF4-FFF2-40B4-BE49-F238E27FC236}">
                      <a16:creationId xmlns:a16="http://schemas.microsoft.com/office/drawing/2014/main" id="{00000000-0008-0000-1400-000031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50" name="Retângulo 49">
                  <a:extLst>
                    <a:ext uri="{FF2B5EF4-FFF2-40B4-BE49-F238E27FC236}">
                      <a16:creationId xmlns:a16="http://schemas.microsoft.com/office/drawing/2014/main" id="{00000000-0008-0000-1400-000032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44" name="Agrupar 43">
              <a:extLst>
                <a:ext uri="{FF2B5EF4-FFF2-40B4-BE49-F238E27FC236}">
                  <a16:creationId xmlns:a16="http://schemas.microsoft.com/office/drawing/2014/main" id="{00000000-0008-0000-1400-00002C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45" name="Retângulo: Cantos Arredondados 44">
                <a:extLst>
                  <a:ext uri="{FF2B5EF4-FFF2-40B4-BE49-F238E27FC236}">
                    <a16:creationId xmlns:a16="http://schemas.microsoft.com/office/drawing/2014/main" id="{00000000-0008-0000-1400-00002D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46" name="Retângulo 45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400-00002E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  <xdr:twoCellAnchor editAs="absolute">
    <xdr:from>
      <xdr:col>1</xdr:col>
      <xdr:colOff>0</xdr:colOff>
      <xdr:row>0</xdr:row>
      <xdr:rowOff>0</xdr:rowOff>
    </xdr:from>
    <xdr:to>
      <xdr:col>1</xdr:col>
      <xdr:colOff>1269565</xdr:colOff>
      <xdr:row>1</xdr:row>
      <xdr:rowOff>32808</xdr:rowOff>
    </xdr:to>
    <xdr:sp macro="" textlink="">
      <xdr:nvSpPr>
        <xdr:cNvPr id="61" name="Retângulo 6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SpPr/>
      </xdr:nvSpPr>
      <xdr:spPr>
        <a:xfrm>
          <a:off x="2000250" y="0"/>
          <a:ext cx="1269565" cy="37147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1</a:t>
          </a:r>
          <a:endParaRPr lang="pt-BR" sz="1100" b="1"/>
        </a:p>
      </xdr:txBody>
    </xdr:sp>
    <xdr:clientData/>
  </xdr:twoCellAnchor>
  <xdr:twoCellAnchor editAs="absolute">
    <xdr:from>
      <xdr:col>1</xdr:col>
      <xdr:colOff>1269565</xdr:colOff>
      <xdr:row>0</xdr:row>
      <xdr:rowOff>0</xdr:rowOff>
    </xdr:from>
    <xdr:to>
      <xdr:col>2</xdr:col>
      <xdr:colOff>483223</xdr:colOff>
      <xdr:row>1</xdr:row>
      <xdr:rowOff>32808</xdr:rowOff>
    </xdr:to>
    <xdr:sp macro="" textlink="">
      <xdr:nvSpPr>
        <xdr:cNvPr id="62" name="Retângulo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SpPr/>
      </xdr:nvSpPr>
      <xdr:spPr>
        <a:xfrm>
          <a:off x="3269815" y="0"/>
          <a:ext cx="1266825" cy="37147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2</a:t>
          </a:r>
          <a:endParaRPr lang="pt-BR" sz="11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6</xdr:row>
          <xdr:rowOff>180975</xdr:rowOff>
        </xdr:from>
        <xdr:to>
          <xdr:col>8</xdr:col>
          <xdr:colOff>1352550</xdr:colOff>
          <xdr:row>8</xdr:row>
          <xdr:rowOff>114300</xdr:rowOff>
        </xdr:to>
        <xdr:sp macro="" textlink="">
          <xdr:nvSpPr>
            <xdr:cNvPr id="22529" name="Drop-dow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</xdr:colOff>
          <xdr:row>2</xdr:row>
          <xdr:rowOff>142875</xdr:rowOff>
        </xdr:from>
        <xdr:to>
          <xdr:col>7</xdr:col>
          <xdr:colOff>838200</xdr:colOff>
          <xdr:row>4</xdr:row>
          <xdr:rowOff>57150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</xdr:colOff>
          <xdr:row>4</xdr:row>
          <xdr:rowOff>161925</xdr:rowOff>
        </xdr:from>
        <xdr:to>
          <xdr:col>7</xdr:col>
          <xdr:colOff>1085850</xdr:colOff>
          <xdr:row>6</xdr:row>
          <xdr:rowOff>76200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33617</xdr:colOff>
      <xdr:row>0</xdr:row>
      <xdr:rowOff>89647</xdr:rowOff>
    </xdr:from>
    <xdr:to>
      <xdr:col>3</xdr:col>
      <xdr:colOff>499345</xdr:colOff>
      <xdr:row>0</xdr:row>
      <xdr:rowOff>413497</xdr:rowOff>
    </xdr:to>
    <xdr:sp macro="[0]!zPrintOrPDF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/>
      </xdr:nvSpPr>
      <xdr:spPr>
        <a:xfrm>
          <a:off x="2005852" y="89647"/>
          <a:ext cx="2213846" cy="32385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</a:t>
          </a:r>
          <a:r>
            <a:rPr lang="pt-BR" sz="1100" b="1" baseline="0">
              <a:solidFill>
                <a:schemeClr val="tx1"/>
              </a:solidFill>
            </a:rPr>
            <a:t> para </a:t>
          </a:r>
          <a:r>
            <a:rPr lang="pt-BR" sz="1100" b="1">
              <a:solidFill>
                <a:schemeClr val="tx1"/>
              </a:solidFill>
            </a:rPr>
            <a:t>Impressão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9</xdr:row>
          <xdr:rowOff>133350</xdr:rowOff>
        </xdr:from>
        <xdr:to>
          <xdr:col>7</xdr:col>
          <xdr:colOff>1066800</xdr:colOff>
          <xdr:row>11</xdr:row>
          <xdr:rowOff>47625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5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20</xdr:row>
      <xdr:rowOff>171450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00000000-0008-0000-1500-000048000000}"/>
            </a:ext>
          </a:extLst>
        </xdr:cNvPr>
        <xdr:cNvGrpSpPr/>
      </xdr:nvGrpSpPr>
      <xdr:grpSpPr>
        <a:xfrm>
          <a:off x="0" y="0"/>
          <a:ext cx="1800000" cy="4352925"/>
          <a:chOff x="0" y="0"/>
          <a:chExt cx="1800000" cy="6944714"/>
        </a:xfrm>
      </xdr:grpSpPr>
      <xdr:grpSp>
        <xdr:nvGrpSpPr>
          <xdr:cNvPr id="73" name="Agrupar 7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500-000049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09" name="Imagem 108">
              <a:extLst>
                <a:ext uri="{FF2B5EF4-FFF2-40B4-BE49-F238E27FC236}">
                  <a16:creationId xmlns:a16="http://schemas.microsoft.com/office/drawing/2014/main" id="{00000000-0008-0000-1500-00006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10" name="Retângulo 109">
              <a:extLst>
                <a:ext uri="{FF2B5EF4-FFF2-40B4-BE49-F238E27FC236}">
                  <a16:creationId xmlns:a16="http://schemas.microsoft.com/office/drawing/2014/main" id="{00000000-0008-0000-1500-00006E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74" name="Agrupar 73">
            <a:extLst>
              <a:ext uri="{FF2B5EF4-FFF2-40B4-BE49-F238E27FC236}">
                <a16:creationId xmlns:a16="http://schemas.microsoft.com/office/drawing/2014/main" id="{00000000-0008-0000-1500-00004A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75" name="Agrupar 74">
              <a:extLst>
                <a:ext uri="{FF2B5EF4-FFF2-40B4-BE49-F238E27FC236}">
                  <a16:creationId xmlns:a16="http://schemas.microsoft.com/office/drawing/2014/main" id="{00000000-0008-0000-1500-00004B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79" name="Agrupar 78">
                <a:extLst>
                  <a:ext uri="{FF2B5EF4-FFF2-40B4-BE49-F238E27FC236}">
                    <a16:creationId xmlns:a16="http://schemas.microsoft.com/office/drawing/2014/main" id="{00000000-0008-0000-1500-00004F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83" name="Agrupar 82">
                  <a:extLst>
                    <a:ext uri="{FF2B5EF4-FFF2-40B4-BE49-F238E27FC236}">
                      <a16:creationId xmlns:a16="http://schemas.microsoft.com/office/drawing/2014/main" id="{00000000-0008-0000-1500-000053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89" name="Agrupar 88">
                    <a:extLst>
                      <a:ext uri="{FF2B5EF4-FFF2-40B4-BE49-F238E27FC236}">
                        <a16:creationId xmlns:a16="http://schemas.microsoft.com/office/drawing/2014/main" id="{00000000-0008-0000-1500-000059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92" name="Agrupar 91">
                      <a:extLst>
                        <a:ext uri="{FF2B5EF4-FFF2-40B4-BE49-F238E27FC236}">
                          <a16:creationId xmlns:a16="http://schemas.microsoft.com/office/drawing/2014/main" id="{00000000-0008-0000-1500-00005C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97" name="Agrupar 96">
                        <a:extLst>
                          <a:ext uri="{FF2B5EF4-FFF2-40B4-BE49-F238E27FC236}">
                            <a16:creationId xmlns:a16="http://schemas.microsoft.com/office/drawing/2014/main" id="{00000000-0008-0000-1500-00006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102" name="Retângulo 101">
                          <a:extLst>
                            <a:ext uri="{FF2B5EF4-FFF2-40B4-BE49-F238E27FC236}">
                              <a16:creationId xmlns:a16="http://schemas.microsoft.com/office/drawing/2014/main" id="{00000000-0008-0000-1500-00006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3" name="Retângulo: Cantos Arredondados 102">
                          <a:extLst>
                            <a:ext uri="{FF2B5EF4-FFF2-40B4-BE49-F238E27FC236}">
                              <a16:creationId xmlns:a16="http://schemas.microsoft.com/office/drawing/2014/main" id="{00000000-0008-0000-1500-00006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4" name="Retângulo: Cantos Arredondados 103">
                          <a:extLst>
                            <a:ext uri="{FF2B5EF4-FFF2-40B4-BE49-F238E27FC236}">
                              <a16:creationId xmlns:a16="http://schemas.microsoft.com/office/drawing/2014/main" id="{00000000-0008-0000-1500-00006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5" name="Retângulo: Cantos Arredondados 104">
                          <a:extLst>
                            <a:ext uri="{FF2B5EF4-FFF2-40B4-BE49-F238E27FC236}">
                              <a16:creationId xmlns:a16="http://schemas.microsoft.com/office/drawing/2014/main" id="{00000000-0008-0000-15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6" name="Retângulo: Cantos Arredondados 105">
                          <a:extLst>
                            <a:ext uri="{FF2B5EF4-FFF2-40B4-BE49-F238E27FC236}">
                              <a16:creationId xmlns:a16="http://schemas.microsoft.com/office/drawing/2014/main" id="{00000000-0008-0000-1500-00006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7" name="Retângulo: Cantos Arredondados 106">
                          <a:extLst>
                            <a:ext uri="{FF2B5EF4-FFF2-40B4-BE49-F238E27FC236}">
                              <a16:creationId xmlns:a16="http://schemas.microsoft.com/office/drawing/2014/main" id="{00000000-0008-0000-1500-00006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8" name="Retângulo: Cantos Arredondados 107">
                          <a:extLst>
                            <a:ext uri="{FF2B5EF4-FFF2-40B4-BE49-F238E27FC236}">
                              <a16:creationId xmlns:a16="http://schemas.microsoft.com/office/drawing/2014/main" id="{00000000-0008-0000-1500-00006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98" name="Retângulo 97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500-00006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11326" y="1671574"/>
                        <a:ext cx="1415621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99" name="Retângulo 98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500-00006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100" name="Retângulo 99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500-00006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101" name="Retângulo 100">
                        <a:extLst>
                          <a:ext uri="{FF2B5EF4-FFF2-40B4-BE49-F238E27FC236}">
                            <a16:creationId xmlns:a16="http://schemas.microsoft.com/office/drawing/2014/main" id="{00000000-0008-0000-1500-00006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67937"/>
                        <a:ext cx="1336674" cy="54555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3" name="Agrupar 92">
                      <a:extLst>
                        <a:ext uri="{FF2B5EF4-FFF2-40B4-BE49-F238E27FC236}">
                          <a16:creationId xmlns:a16="http://schemas.microsoft.com/office/drawing/2014/main" id="{00000000-0008-0000-1500-00005D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4" name="Retângulo 93">
                        <a:extLst>
                          <a:ext uri="{FF2B5EF4-FFF2-40B4-BE49-F238E27FC236}">
                            <a16:creationId xmlns:a16="http://schemas.microsoft.com/office/drawing/2014/main" id="{00000000-0008-0000-1500-00005E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5" name="Imagem 94">
                        <a:extLst>
                          <a:ext uri="{FF2B5EF4-FFF2-40B4-BE49-F238E27FC236}">
                            <a16:creationId xmlns:a16="http://schemas.microsoft.com/office/drawing/2014/main" id="{00000000-0008-0000-1500-00005F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6" name="Retângulo 95">
                        <a:extLst>
                          <a:ext uri="{FF2B5EF4-FFF2-40B4-BE49-F238E27FC236}">
                            <a16:creationId xmlns:a16="http://schemas.microsoft.com/office/drawing/2014/main" id="{00000000-0008-0000-1500-000060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90" name="Retângulo 89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500-00005A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91" name="Retângulo 90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500-00005B000000}"/>
                      </a:ext>
                    </a:extLst>
                  </xdr:cNvPr>
                  <xdr:cNvSpPr/>
                </xdr:nvSpPr>
                <xdr:spPr>
                  <a:xfrm>
                    <a:off x="304800" y="2776662"/>
                    <a:ext cx="1285875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bg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bg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bg1"/>
                      </a:solidFill>
                    </a:endParaRPr>
                  </a:p>
                </xdr:txBody>
              </xdr:sp>
            </xdr:grpSp>
            <xdr:grpSp>
              <xdr:nvGrpSpPr>
                <xdr:cNvPr id="84" name="Agrupar 83">
                  <a:extLst>
                    <a:ext uri="{FF2B5EF4-FFF2-40B4-BE49-F238E27FC236}">
                      <a16:creationId xmlns:a16="http://schemas.microsoft.com/office/drawing/2014/main" id="{00000000-0008-0000-1500-000054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87" name="Retângulo: Cantos Arredondados 86">
                    <a:extLst>
                      <a:ext uri="{FF2B5EF4-FFF2-40B4-BE49-F238E27FC236}">
                        <a16:creationId xmlns:a16="http://schemas.microsoft.com/office/drawing/2014/main" id="{00000000-0008-0000-1500-000057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88" name="Retângulo 87">
                    <a:extLst>
                      <a:ext uri="{FF2B5EF4-FFF2-40B4-BE49-F238E27FC236}">
                        <a16:creationId xmlns:a16="http://schemas.microsoft.com/office/drawing/2014/main" id="{00000000-0008-0000-1500-000058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85" name="Retângulo: Cantos Arredondados 84">
                  <a:extLst>
                    <a:ext uri="{FF2B5EF4-FFF2-40B4-BE49-F238E27FC236}">
                      <a16:creationId xmlns:a16="http://schemas.microsoft.com/office/drawing/2014/main" id="{00000000-0008-0000-1500-000055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86" name="Retângulo 85">
                  <a:extLst>
                    <a:ext uri="{FF2B5EF4-FFF2-40B4-BE49-F238E27FC236}">
                      <a16:creationId xmlns:a16="http://schemas.microsoft.com/office/drawing/2014/main" id="{00000000-0008-0000-1500-000056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80" name="Agrupar 79">
                <a:extLst>
                  <a:ext uri="{FF2B5EF4-FFF2-40B4-BE49-F238E27FC236}">
                    <a16:creationId xmlns:a16="http://schemas.microsoft.com/office/drawing/2014/main" id="{00000000-0008-0000-1500-000050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81" name="Retângulo: Cantos Arredondados 80">
                  <a:extLst>
                    <a:ext uri="{FF2B5EF4-FFF2-40B4-BE49-F238E27FC236}">
                      <a16:creationId xmlns:a16="http://schemas.microsoft.com/office/drawing/2014/main" id="{00000000-0008-0000-1500-000051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82" name="Retângulo 81">
                  <a:extLst>
                    <a:ext uri="{FF2B5EF4-FFF2-40B4-BE49-F238E27FC236}">
                      <a16:creationId xmlns:a16="http://schemas.microsoft.com/office/drawing/2014/main" id="{00000000-0008-0000-1500-000052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76" name="Agrupar 75">
              <a:extLst>
                <a:ext uri="{FF2B5EF4-FFF2-40B4-BE49-F238E27FC236}">
                  <a16:creationId xmlns:a16="http://schemas.microsoft.com/office/drawing/2014/main" id="{00000000-0008-0000-1500-00004C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77" name="Retângulo: Cantos Arredondados 76">
                <a:extLst>
                  <a:ext uri="{FF2B5EF4-FFF2-40B4-BE49-F238E27FC236}">
                    <a16:creationId xmlns:a16="http://schemas.microsoft.com/office/drawing/2014/main" id="{00000000-0008-0000-1500-00004D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78" name="Retângulo 77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500-00004E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84723</xdr:rowOff>
    </xdr:from>
    <xdr:to>
      <xdr:col>3</xdr:col>
      <xdr:colOff>853017</xdr:colOff>
      <xdr:row>1</xdr:row>
      <xdr:rowOff>215956</xdr:rowOff>
    </xdr:to>
    <xdr:sp macro="[0]!AbreFormRelatorioPeR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SpPr/>
      </xdr:nvSpPr>
      <xdr:spPr>
        <a:xfrm>
          <a:off x="2115553" y="84723"/>
          <a:ext cx="1584938" cy="321733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Configurar</a:t>
          </a:r>
          <a:r>
            <a:rPr lang="pt-BR" sz="1100" b="1" baseline="0">
              <a:solidFill>
                <a:schemeClr val="tx1"/>
              </a:solidFill>
            </a:rPr>
            <a:t> Relatório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1110192</xdr:colOff>
      <xdr:row>0</xdr:row>
      <xdr:rowOff>75198</xdr:rowOff>
    </xdr:from>
    <xdr:to>
      <xdr:col>5</xdr:col>
      <xdr:colOff>572558</xdr:colOff>
      <xdr:row>1</xdr:row>
      <xdr:rowOff>206431</xdr:rowOff>
    </xdr:to>
    <xdr:sp macro="[0]!zPrintOrPDF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/>
      </xdr:nvSpPr>
      <xdr:spPr>
        <a:xfrm>
          <a:off x="3957666" y="75198"/>
          <a:ext cx="2189524" cy="321733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 para Impressão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24</xdr:row>
      <xdr:rowOff>10583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00000000-0008-0000-1600-000046000000}"/>
            </a:ext>
          </a:extLst>
        </xdr:cNvPr>
        <xdr:cNvGrpSpPr/>
      </xdr:nvGrpSpPr>
      <xdr:grpSpPr>
        <a:xfrm>
          <a:off x="0" y="0"/>
          <a:ext cx="1800000" cy="4826000"/>
          <a:chOff x="0" y="0"/>
          <a:chExt cx="1800000" cy="6944714"/>
        </a:xfrm>
      </xdr:grpSpPr>
      <xdr:grpSp>
        <xdr:nvGrpSpPr>
          <xdr:cNvPr id="71" name="Agrupar 7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600-000047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07" name="Imagem 106">
              <a:extLst>
                <a:ext uri="{FF2B5EF4-FFF2-40B4-BE49-F238E27FC236}">
                  <a16:creationId xmlns:a16="http://schemas.microsoft.com/office/drawing/2014/main" id="{00000000-0008-0000-1600-00006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08" name="Retângulo 107">
              <a:extLst>
                <a:ext uri="{FF2B5EF4-FFF2-40B4-BE49-F238E27FC236}">
                  <a16:creationId xmlns:a16="http://schemas.microsoft.com/office/drawing/2014/main" id="{00000000-0008-0000-1600-00006C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72" name="Agrupar 71">
            <a:extLst>
              <a:ext uri="{FF2B5EF4-FFF2-40B4-BE49-F238E27FC236}">
                <a16:creationId xmlns:a16="http://schemas.microsoft.com/office/drawing/2014/main" id="{00000000-0008-0000-1600-000048000000}"/>
              </a:ext>
            </a:extLst>
          </xdr:cNvPr>
          <xdr:cNvGrpSpPr/>
        </xdr:nvGrpSpPr>
        <xdr:grpSpPr>
          <a:xfrm>
            <a:off x="0" y="0"/>
            <a:ext cx="1800000" cy="5924549"/>
            <a:chOff x="0" y="0"/>
            <a:chExt cx="1800000" cy="5924549"/>
          </a:xfrm>
        </xdr:grpSpPr>
        <xdr:grpSp>
          <xdr:nvGrpSpPr>
            <xdr:cNvPr id="73" name="Agrupar 72">
              <a:extLst>
                <a:ext uri="{FF2B5EF4-FFF2-40B4-BE49-F238E27FC236}">
                  <a16:creationId xmlns:a16="http://schemas.microsoft.com/office/drawing/2014/main" id="{00000000-0008-0000-1600-000049000000}"/>
                </a:ext>
              </a:extLst>
            </xdr:cNvPr>
            <xdr:cNvGrpSpPr/>
          </xdr:nvGrpSpPr>
          <xdr:grpSpPr>
            <a:xfrm>
              <a:off x="0" y="0"/>
              <a:ext cx="1800000" cy="5924549"/>
              <a:chOff x="0" y="0"/>
              <a:chExt cx="1800000" cy="5924549"/>
            </a:xfrm>
          </xdr:grpSpPr>
          <xdr:grpSp>
            <xdr:nvGrpSpPr>
              <xdr:cNvPr id="77" name="Agrupar 76">
                <a:extLst>
                  <a:ext uri="{FF2B5EF4-FFF2-40B4-BE49-F238E27FC236}">
                    <a16:creationId xmlns:a16="http://schemas.microsoft.com/office/drawing/2014/main" id="{00000000-0008-0000-1600-00004D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9"/>
                <a:chOff x="9525" y="0"/>
                <a:chExt cx="1800000" cy="5871038"/>
              </a:xfrm>
            </xdr:grpSpPr>
            <xdr:grpSp>
              <xdr:nvGrpSpPr>
                <xdr:cNvPr id="81" name="Agrupar 80">
                  <a:extLst>
                    <a:ext uri="{FF2B5EF4-FFF2-40B4-BE49-F238E27FC236}">
                      <a16:creationId xmlns:a16="http://schemas.microsoft.com/office/drawing/2014/main" id="{00000000-0008-0000-1600-000051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8"/>
                  <a:chOff x="0" y="4973"/>
                  <a:chExt cx="1800000" cy="5871038"/>
                </a:xfrm>
              </xdr:grpSpPr>
              <xdr:grpSp>
                <xdr:nvGrpSpPr>
                  <xdr:cNvPr id="87" name="Agrupar 86">
                    <a:extLst>
                      <a:ext uri="{FF2B5EF4-FFF2-40B4-BE49-F238E27FC236}">
                        <a16:creationId xmlns:a16="http://schemas.microsoft.com/office/drawing/2014/main" id="{00000000-0008-0000-1600-000057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8"/>
                    <a:chOff x="47625" y="62123"/>
                    <a:chExt cx="1800000" cy="5871038"/>
                  </a:xfrm>
                </xdr:grpSpPr>
                <xdr:grpSp>
                  <xdr:nvGrpSpPr>
                    <xdr:cNvPr id="90" name="Agrupar 89">
                      <a:extLst>
                        <a:ext uri="{FF2B5EF4-FFF2-40B4-BE49-F238E27FC236}">
                          <a16:creationId xmlns:a16="http://schemas.microsoft.com/office/drawing/2014/main" id="{00000000-0008-0000-1600-00005A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5"/>
                      <a:ext cx="1800000" cy="5137616"/>
                      <a:chOff x="123826" y="1647820"/>
                      <a:chExt cx="1771649" cy="5170116"/>
                    </a:xfrm>
                  </xdr:grpSpPr>
                  <xdr:grpSp>
                    <xdr:nvGrpSpPr>
                      <xdr:cNvPr id="95" name="Agrupar 94">
                        <a:extLst>
                          <a:ext uri="{FF2B5EF4-FFF2-40B4-BE49-F238E27FC236}">
                            <a16:creationId xmlns:a16="http://schemas.microsoft.com/office/drawing/2014/main" id="{00000000-0008-0000-1600-00005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20"/>
                        <a:ext cx="1771649" cy="5170116"/>
                        <a:chOff x="1514476" y="1724020"/>
                        <a:chExt cx="2057400" cy="5170116"/>
                      </a:xfrm>
                    </xdr:grpSpPr>
                    <xdr:sp macro="" textlink="">
                      <xdr:nvSpPr>
                        <xdr:cNvPr id="100" name="Retângulo 99">
                          <a:extLst>
                            <a:ext uri="{FF2B5EF4-FFF2-40B4-BE49-F238E27FC236}">
                              <a16:creationId xmlns:a16="http://schemas.microsoft.com/office/drawing/2014/main" id="{00000000-0008-0000-1600-00006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20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1" name="Retângulo: Cantos Arredondados 100">
                          <a:extLst>
                            <a:ext uri="{FF2B5EF4-FFF2-40B4-BE49-F238E27FC236}">
                              <a16:creationId xmlns:a16="http://schemas.microsoft.com/office/drawing/2014/main" id="{00000000-0008-0000-1600-00006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2" name="Retângulo: Cantos Arredondados 101">
                          <a:extLst>
                            <a:ext uri="{FF2B5EF4-FFF2-40B4-BE49-F238E27FC236}">
                              <a16:creationId xmlns:a16="http://schemas.microsoft.com/office/drawing/2014/main" id="{00000000-0008-0000-1600-00006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3" name="Retângulo: Cantos Arredondados 102">
                          <a:extLst>
                            <a:ext uri="{FF2B5EF4-FFF2-40B4-BE49-F238E27FC236}">
                              <a16:creationId xmlns:a16="http://schemas.microsoft.com/office/drawing/2014/main" id="{00000000-0008-0000-1600-00006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4" name="Retângulo: Cantos Arredondados 103">
                          <a:extLst>
                            <a:ext uri="{FF2B5EF4-FFF2-40B4-BE49-F238E27FC236}">
                              <a16:creationId xmlns:a16="http://schemas.microsoft.com/office/drawing/2014/main" id="{00000000-0008-0000-1600-00006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5" name="Retângulo: Cantos Arredondados 104">
                          <a:extLst>
                            <a:ext uri="{FF2B5EF4-FFF2-40B4-BE49-F238E27FC236}">
                              <a16:creationId xmlns:a16="http://schemas.microsoft.com/office/drawing/2014/main" id="{00000000-0008-0000-16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6" name="Retângulo: Cantos Arredondados 105">
                          <a:extLst>
                            <a:ext uri="{FF2B5EF4-FFF2-40B4-BE49-F238E27FC236}">
                              <a16:creationId xmlns:a16="http://schemas.microsoft.com/office/drawing/2014/main" id="{00000000-0008-0000-1600-00006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96" name="Retângulo 95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600-00006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80076" y="1671574"/>
                        <a:ext cx="1446871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97" name="Retângulo 96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600-00006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98" name="Retângulo 97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600-00006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99" name="Retângulo 98">
                        <a:extLst>
                          <a:ext uri="{FF2B5EF4-FFF2-40B4-BE49-F238E27FC236}">
                            <a16:creationId xmlns:a16="http://schemas.microsoft.com/office/drawing/2014/main" id="{00000000-0008-0000-1600-00006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90271"/>
                        <a:ext cx="1336674" cy="50617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1" name="Agrupar 90">
                      <a:extLst>
                        <a:ext uri="{FF2B5EF4-FFF2-40B4-BE49-F238E27FC236}">
                          <a16:creationId xmlns:a16="http://schemas.microsoft.com/office/drawing/2014/main" id="{00000000-0008-0000-1600-00005B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2" name="Retângulo 91">
                        <a:extLst>
                          <a:ext uri="{FF2B5EF4-FFF2-40B4-BE49-F238E27FC236}">
                            <a16:creationId xmlns:a16="http://schemas.microsoft.com/office/drawing/2014/main" id="{00000000-0008-0000-1600-00005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3" name="Imagem 92">
                        <a:extLst>
                          <a:ext uri="{FF2B5EF4-FFF2-40B4-BE49-F238E27FC236}">
                            <a16:creationId xmlns:a16="http://schemas.microsoft.com/office/drawing/2014/main" id="{00000000-0008-0000-1600-00005D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4" name="Retângulo 93">
                        <a:extLst>
                          <a:ext uri="{FF2B5EF4-FFF2-40B4-BE49-F238E27FC236}">
                            <a16:creationId xmlns:a16="http://schemas.microsoft.com/office/drawing/2014/main" id="{00000000-0008-0000-1600-00005E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88" name="Retângulo 87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600-000058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89" name="Retângulo 88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600-000059000000}"/>
                      </a:ext>
                    </a:extLst>
                  </xdr:cNvPr>
                  <xdr:cNvSpPr/>
                </xdr:nvSpPr>
                <xdr:spPr>
                  <a:xfrm>
                    <a:off x="179917" y="2776662"/>
                    <a:ext cx="1460500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82" name="Agrupar 81">
                  <a:extLst>
                    <a:ext uri="{FF2B5EF4-FFF2-40B4-BE49-F238E27FC236}">
                      <a16:creationId xmlns:a16="http://schemas.microsoft.com/office/drawing/2014/main" id="{00000000-0008-0000-1600-000052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85" name="Retângulo: Cantos Arredondados 84">
                    <a:extLst>
                      <a:ext uri="{FF2B5EF4-FFF2-40B4-BE49-F238E27FC236}">
                        <a16:creationId xmlns:a16="http://schemas.microsoft.com/office/drawing/2014/main" id="{00000000-0008-0000-1600-000055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86" name="Retângulo 85">
                    <a:extLst>
                      <a:ext uri="{FF2B5EF4-FFF2-40B4-BE49-F238E27FC236}">
                        <a16:creationId xmlns:a16="http://schemas.microsoft.com/office/drawing/2014/main" id="{00000000-0008-0000-1600-000056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83" name="Retângulo: Cantos Arredondados 82">
                  <a:extLst>
                    <a:ext uri="{FF2B5EF4-FFF2-40B4-BE49-F238E27FC236}">
                      <a16:creationId xmlns:a16="http://schemas.microsoft.com/office/drawing/2014/main" id="{00000000-0008-0000-1600-000053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84" name="Retângulo 83">
                  <a:extLst>
                    <a:ext uri="{FF2B5EF4-FFF2-40B4-BE49-F238E27FC236}">
                      <a16:creationId xmlns:a16="http://schemas.microsoft.com/office/drawing/2014/main" id="{00000000-0008-0000-1600-000054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78" name="Agrupar 77">
                <a:extLst>
                  <a:ext uri="{FF2B5EF4-FFF2-40B4-BE49-F238E27FC236}">
                    <a16:creationId xmlns:a16="http://schemas.microsoft.com/office/drawing/2014/main" id="{00000000-0008-0000-1600-00004E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79" name="Retângulo: Cantos Arredondados 78">
                  <a:extLst>
                    <a:ext uri="{FF2B5EF4-FFF2-40B4-BE49-F238E27FC236}">
                      <a16:creationId xmlns:a16="http://schemas.microsoft.com/office/drawing/2014/main" id="{00000000-0008-0000-1600-00004F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80" name="Retângulo 79">
                  <a:extLst>
                    <a:ext uri="{FF2B5EF4-FFF2-40B4-BE49-F238E27FC236}">
                      <a16:creationId xmlns:a16="http://schemas.microsoft.com/office/drawing/2014/main" id="{00000000-0008-0000-1600-000050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74" name="Agrupar 73">
              <a:extLst>
                <a:ext uri="{FF2B5EF4-FFF2-40B4-BE49-F238E27FC236}">
                  <a16:creationId xmlns:a16="http://schemas.microsoft.com/office/drawing/2014/main" id="{00000000-0008-0000-1600-00004A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75" name="Retângulo: Cantos Arredondados 74">
                <a:extLst>
                  <a:ext uri="{FF2B5EF4-FFF2-40B4-BE49-F238E27FC236}">
                    <a16:creationId xmlns:a16="http://schemas.microsoft.com/office/drawing/2014/main" id="{00000000-0008-0000-1600-00004B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76" name="Retângulo 75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600-00004C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2015289</xdr:colOff>
      <xdr:row>0</xdr:row>
      <xdr:rowOff>123825</xdr:rowOff>
    </xdr:from>
    <xdr:to>
      <xdr:col>3</xdr:col>
      <xdr:colOff>690145</xdr:colOff>
      <xdr:row>1</xdr:row>
      <xdr:rowOff>216958</xdr:rowOff>
    </xdr:to>
    <xdr:sp macro="[0]!AbreFormRelatorioGRUPOdeCONTAS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SpPr/>
      </xdr:nvSpPr>
      <xdr:spPr>
        <a:xfrm>
          <a:off x="2028825" y="123825"/>
          <a:ext cx="1577975" cy="321733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Configurar</a:t>
          </a:r>
          <a:r>
            <a:rPr lang="pt-BR" sz="1100" b="1" baseline="0">
              <a:solidFill>
                <a:schemeClr val="tx1"/>
              </a:solidFill>
            </a:rPr>
            <a:t> Relatório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1013994</xdr:colOff>
      <xdr:row>0</xdr:row>
      <xdr:rowOff>123825</xdr:rowOff>
    </xdr:from>
    <xdr:to>
      <xdr:col>5</xdr:col>
      <xdr:colOff>372867</xdr:colOff>
      <xdr:row>1</xdr:row>
      <xdr:rowOff>216958</xdr:rowOff>
    </xdr:to>
    <xdr:sp macro="[0]!zPrintOrPDF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1700-000021000000}"/>
            </a:ext>
          </a:extLst>
        </xdr:cNvPr>
        <xdr:cNvSpPr/>
      </xdr:nvSpPr>
      <xdr:spPr>
        <a:xfrm>
          <a:off x="3930649" y="123825"/>
          <a:ext cx="2163233" cy="321733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 para Impressão</a:t>
          </a:r>
        </a:p>
      </xdr:txBody>
    </xdr:sp>
    <xdr:clientData/>
  </xdr:twoCellAnchor>
  <xdr:twoCellAnchor editAs="absolute">
    <xdr:from>
      <xdr:col>0</xdr:col>
      <xdr:colOff>266700</xdr:colOff>
      <xdr:row>4</xdr:row>
      <xdr:rowOff>110289</xdr:rowOff>
    </xdr:from>
    <xdr:to>
      <xdr:col>0</xdr:col>
      <xdr:colOff>1624764</xdr:colOff>
      <xdr:row>4</xdr:row>
      <xdr:rowOff>110289</xdr:rowOff>
    </xdr:to>
    <xdr:sp macro="[0]!AbreFormRelatorioGRUPOdeCONTAS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1700-000022000000}"/>
            </a:ext>
          </a:extLst>
        </xdr:cNvPr>
        <xdr:cNvSpPr/>
      </xdr:nvSpPr>
      <xdr:spPr>
        <a:xfrm>
          <a:off x="266700" y="3733800"/>
          <a:ext cx="1358064" cy="3697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CENTRO DE CUSTO</a:t>
          </a:r>
        </a:p>
      </xdr:txBody>
    </xdr:sp>
    <xdr:clientData/>
  </xdr:twoCellAnchor>
  <xdr:twoCellAnchor editAs="absolute">
    <xdr:from>
      <xdr:col>0</xdr:col>
      <xdr:colOff>257175</xdr:colOff>
      <xdr:row>4</xdr:row>
      <xdr:rowOff>110289</xdr:rowOff>
    </xdr:from>
    <xdr:to>
      <xdr:col>0</xdr:col>
      <xdr:colOff>1615239</xdr:colOff>
      <xdr:row>4</xdr:row>
      <xdr:rowOff>110289</xdr:rowOff>
    </xdr:to>
    <xdr:sp macro="[0]!AbreFormRelatorioFluxoDeCaixa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1700-000023000000}"/>
            </a:ext>
          </a:extLst>
        </xdr:cNvPr>
        <xdr:cNvSpPr/>
      </xdr:nvSpPr>
      <xdr:spPr>
        <a:xfrm>
          <a:off x="257175" y="4229100"/>
          <a:ext cx="1358064" cy="3249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FLUXO</a:t>
          </a:r>
          <a:r>
            <a:rPr lang="pt-BR" sz="1100" b="1" baseline="0">
              <a:solidFill>
                <a:schemeClr val="tx1"/>
              </a:solidFill>
            </a:rPr>
            <a:t> DE CAIXA 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238125</xdr:colOff>
      <xdr:row>4</xdr:row>
      <xdr:rowOff>110289</xdr:rowOff>
    </xdr:from>
    <xdr:to>
      <xdr:col>0</xdr:col>
      <xdr:colOff>1596189</xdr:colOff>
      <xdr:row>4</xdr:row>
      <xdr:rowOff>110289</xdr:rowOff>
    </xdr:to>
    <xdr:sp macro="[0]!AbreFormRelatorioPeR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1700-000024000000}"/>
            </a:ext>
          </a:extLst>
        </xdr:cNvPr>
        <xdr:cNvSpPr/>
      </xdr:nvSpPr>
      <xdr:spPr>
        <a:xfrm>
          <a:off x="238125" y="3190875"/>
          <a:ext cx="1358064" cy="46483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 RECEBER </a:t>
          </a:r>
        </a:p>
        <a:p>
          <a:pPr algn="ctr"/>
          <a:r>
            <a:rPr lang="pt-BR" sz="1100" b="1">
              <a:solidFill>
                <a:schemeClr val="tx1"/>
              </a:solidFill>
            </a:rPr>
            <a:t>A PAGAR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23</xdr:row>
      <xdr:rowOff>169333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1700-000028000000}"/>
            </a:ext>
          </a:extLst>
        </xdr:cNvPr>
        <xdr:cNvGrpSpPr/>
      </xdr:nvGrpSpPr>
      <xdr:grpSpPr>
        <a:xfrm>
          <a:off x="0" y="0"/>
          <a:ext cx="1800000" cy="4900083"/>
          <a:chOff x="0" y="0"/>
          <a:chExt cx="1800000" cy="6944714"/>
        </a:xfrm>
      </xdr:grpSpPr>
      <xdr:grpSp>
        <xdr:nvGrpSpPr>
          <xdr:cNvPr id="74" name="Agrupar 7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700-00004A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10" name="Imagem 109">
              <a:extLst>
                <a:ext uri="{FF2B5EF4-FFF2-40B4-BE49-F238E27FC236}">
                  <a16:creationId xmlns:a16="http://schemas.microsoft.com/office/drawing/2014/main" id="{00000000-0008-0000-1700-00006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11" name="Retângulo 110">
              <a:extLst>
                <a:ext uri="{FF2B5EF4-FFF2-40B4-BE49-F238E27FC236}">
                  <a16:creationId xmlns:a16="http://schemas.microsoft.com/office/drawing/2014/main" id="{00000000-0008-0000-1700-00006F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75" name="Agrupar 74">
            <a:extLst>
              <a:ext uri="{FF2B5EF4-FFF2-40B4-BE49-F238E27FC236}">
                <a16:creationId xmlns:a16="http://schemas.microsoft.com/office/drawing/2014/main" id="{00000000-0008-0000-1700-00004B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76" name="Agrupar 75">
              <a:extLst>
                <a:ext uri="{FF2B5EF4-FFF2-40B4-BE49-F238E27FC236}">
                  <a16:creationId xmlns:a16="http://schemas.microsoft.com/office/drawing/2014/main" id="{00000000-0008-0000-1700-00004C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80" name="Agrupar 79">
                <a:extLst>
                  <a:ext uri="{FF2B5EF4-FFF2-40B4-BE49-F238E27FC236}">
                    <a16:creationId xmlns:a16="http://schemas.microsoft.com/office/drawing/2014/main" id="{00000000-0008-0000-1700-000050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84" name="Agrupar 83">
                  <a:extLst>
                    <a:ext uri="{FF2B5EF4-FFF2-40B4-BE49-F238E27FC236}">
                      <a16:creationId xmlns:a16="http://schemas.microsoft.com/office/drawing/2014/main" id="{00000000-0008-0000-1700-000054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90" name="Agrupar 89">
                    <a:extLst>
                      <a:ext uri="{FF2B5EF4-FFF2-40B4-BE49-F238E27FC236}">
                        <a16:creationId xmlns:a16="http://schemas.microsoft.com/office/drawing/2014/main" id="{00000000-0008-0000-1700-00005A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93" name="Agrupar 92">
                      <a:extLst>
                        <a:ext uri="{FF2B5EF4-FFF2-40B4-BE49-F238E27FC236}">
                          <a16:creationId xmlns:a16="http://schemas.microsoft.com/office/drawing/2014/main" id="{00000000-0008-0000-1700-00005D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98" name="Agrupar 97">
                        <a:extLst>
                          <a:ext uri="{FF2B5EF4-FFF2-40B4-BE49-F238E27FC236}">
                            <a16:creationId xmlns:a16="http://schemas.microsoft.com/office/drawing/2014/main" id="{00000000-0008-0000-1700-000062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103" name="Retângulo 102">
                          <a:extLst>
                            <a:ext uri="{FF2B5EF4-FFF2-40B4-BE49-F238E27FC236}">
                              <a16:creationId xmlns:a16="http://schemas.microsoft.com/office/drawing/2014/main" id="{00000000-0008-0000-1700-00006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4" name="Retângulo: Cantos Arredondados 103">
                          <a:extLst>
                            <a:ext uri="{FF2B5EF4-FFF2-40B4-BE49-F238E27FC236}">
                              <a16:creationId xmlns:a16="http://schemas.microsoft.com/office/drawing/2014/main" id="{00000000-0008-0000-1700-00006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5" name="Retângulo: Cantos Arredondados 104">
                          <a:extLst>
                            <a:ext uri="{FF2B5EF4-FFF2-40B4-BE49-F238E27FC236}">
                              <a16:creationId xmlns:a16="http://schemas.microsoft.com/office/drawing/2014/main" id="{00000000-0008-0000-17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6" name="Retângulo: Cantos Arredondados 105">
                          <a:extLst>
                            <a:ext uri="{FF2B5EF4-FFF2-40B4-BE49-F238E27FC236}">
                              <a16:creationId xmlns:a16="http://schemas.microsoft.com/office/drawing/2014/main" id="{00000000-0008-0000-1700-00006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7" name="Retângulo: Cantos Arredondados 106">
                          <a:extLst>
                            <a:ext uri="{FF2B5EF4-FFF2-40B4-BE49-F238E27FC236}">
                              <a16:creationId xmlns:a16="http://schemas.microsoft.com/office/drawing/2014/main" id="{00000000-0008-0000-1700-00006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8" name="Retângulo: Cantos Arredondados 107">
                          <a:extLst>
                            <a:ext uri="{FF2B5EF4-FFF2-40B4-BE49-F238E27FC236}">
                              <a16:creationId xmlns:a16="http://schemas.microsoft.com/office/drawing/2014/main" id="{00000000-0008-0000-1700-00006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9" name="Retângulo: Cantos Arredondados 108">
                          <a:extLst>
                            <a:ext uri="{FF2B5EF4-FFF2-40B4-BE49-F238E27FC236}">
                              <a16:creationId xmlns:a16="http://schemas.microsoft.com/office/drawing/2014/main" id="{00000000-0008-0000-1700-00006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99" name="Retângulo 98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700-00006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32159" y="1671575"/>
                        <a:ext cx="1394788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100" name="Retângulo 99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700-00006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101" name="Retângulo 100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700-00006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102" name="Retângulo 101">
                        <a:extLst>
                          <a:ext uri="{FF2B5EF4-FFF2-40B4-BE49-F238E27FC236}">
                            <a16:creationId xmlns:a16="http://schemas.microsoft.com/office/drawing/2014/main" id="{00000000-0008-0000-1700-00006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85545"/>
                        <a:ext cx="1336674" cy="540586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4" name="Agrupar 93">
                      <a:extLst>
                        <a:ext uri="{FF2B5EF4-FFF2-40B4-BE49-F238E27FC236}">
                          <a16:creationId xmlns:a16="http://schemas.microsoft.com/office/drawing/2014/main" id="{00000000-0008-0000-1700-00005E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5" name="Retângulo 94">
                        <a:extLst>
                          <a:ext uri="{FF2B5EF4-FFF2-40B4-BE49-F238E27FC236}">
                            <a16:creationId xmlns:a16="http://schemas.microsoft.com/office/drawing/2014/main" id="{00000000-0008-0000-1700-00005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6" name="Imagem 95">
                        <a:extLst>
                          <a:ext uri="{FF2B5EF4-FFF2-40B4-BE49-F238E27FC236}">
                            <a16:creationId xmlns:a16="http://schemas.microsoft.com/office/drawing/2014/main" id="{00000000-0008-0000-1700-000060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7" name="Retângulo 96">
                        <a:extLst>
                          <a:ext uri="{FF2B5EF4-FFF2-40B4-BE49-F238E27FC236}">
                            <a16:creationId xmlns:a16="http://schemas.microsoft.com/office/drawing/2014/main" id="{00000000-0008-0000-1700-000061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91" name="Retângulo 90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700-00005B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92" name="Retângulo 91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700-00005C000000}"/>
                      </a:ext>
                    </a:extLst>
                  </xdr:cNvPr>
                  <xdr:cNvSpPr/>
                </xdr:nvSpPr>
                <xdr:spPr>
                  <a:xfrm>
                    <a:off x="275166" y="2776662"/>
                    <a:ext cx="1312333" cy="476249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85" name="Agrupar 84">
                  <a:extLst>
                    <a:ext uri="{FF2B5EF4-FFF2-40B4-BE49-F238E27FC236}">
                      <a16:creationId xmlns:a16="http://schemas.microsoft.com/office/drawing/2014/main" id="{00000000-0008-0000-1700-000055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88" name="Retângulo: Cantos Arredondados 87">
                    <a:extLst>
                      <a:ext uri="{FF2B5EF4-FFF2-40B4-BE49-F238E27FC236}">
                        <a16:creationId xmlns:a16="http://schemas.microsoft.com/office/drawing/2014/main" id="{00000000-0008-0000-1700-000058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solidFill>
                    <a:schemeClr val="tx1">
                      <a:lumMod val="50000"/>
                      <a:lumOff val="5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89" name="Retângulo 88">
                    <a:extLst>
                      <a:ext uri="{FF2B5EF4-FFF2-40B4-BE49-F238E27FC236}">
                        <a16:creationId xmlns:a16="http://schemas.microsoft.com/office/drawing/2014/main" id="{00000000-0008-0000-1700-000059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bg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86" name="Retângulo: Cantos Arredondados 85">
                  <a:extLst>
                    <a:ext uri="{FF2B5EF4-FFF2-40B4-BE49-F238E27FC236}">
                      <a16:creationId xmlns:a16="http://schemas.microsoft.com/office/drawing/2014/main" id="{00000000-0008-0000-1700-000056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87" name="Retângulo 86">
                  <a:extLst>
                    <a:ext uri="{FF2B5EF4-FFF2-40B4-BE49-F238E27FC236}">
                      <a16:creationId xmlns:a16="http://schemas.microsoft.com/office/drawing/2014/main" id="{00000000-0008-0000-1700-000057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81" name="Agrupar 80">
                <a:extLst>
                  <a:ext uri="{FF2B5EF4-FFF2-40B4-BE49-F238E27FC236}">
                    <a16:creationId xmlns:a16="http://schemas.microsoft.com/office/drawing/2014/main" id="{00000000-0008-0000-1700-000051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82" name="Retângulo: Cantos Arredondados 81">
                  <a:extLst>
                    <a:ext uri="{FF2B5EF4-FFF2-40B4-BE49-F238E27FC236}">
                      <a16:creationId xmlns:a16="http://schemas.microsoft.com/office/drawing/2014/main" id="{00000000-0008-0000-1700-000052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83" name="Retângulo 82">
                  <a:extLst>
                    <a:ext uri="{FF2B5EF4-FFF2-40B4-BE49-F238E27FC236}">
                      <a16:creationId xmlns:a16="http://schemas.microsoft.com/office/drawing/2014/main" id="{00000000-0008-0000-1700-000053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77" name="Agrupar 76">
              <a:extLst>
                <a:ext uri="{FF2B5EF4-FFF2-40B4-BE49-F238E27FC236}">
                  <a16:creationId xmlns:a16="http://schemas.microsoft.com/office/drawing/2014/main" id="{00000000-0008-0000-1700-00004D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78" name="Retângulo: Cantos Arredondados 77">
                <a:extLst>
                  <a:ext uri="{FF2B5EF4-FFF2-40B4-BE49-F238E27FC236}">
                    <a16:creationId xmlns:a16="http://schemas.microsoft.com/office/drawing/2014/main" id="{00000000-0008-0000-1700-00004E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79" name="Retângulo 7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700-00004F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313204</xdr:colOff>
      <xdr:row>0</xdr:row>
      <xdr:rowOff>104775</xdr:rowOff>
    </xdr:from>
    <xdr:to>
      <xdr:col>3</xdr:col>
      <xdr:colOff>1101370</xdr:colOff>
      <xdr:row>1</xdr:row>
      <xdr:rowOff>238013</xdr:rowOff>
    </xdr:to>
    <xdr:sp macro="[0]!AbreFormRelatorioFluxoDeCaixa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1800-000020000000}"/>
            </a:ext>
          </a:extLst>
        </xdr:cNvPr>
        <xdr:cNvSpPr/>
      </xdr:nvSpPr>
      <xdr:spPr>
        <a:xfrm>
          <a:off x="2266950" y="104775"/>
          <a:ext cx="1577975" cy="321733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Configurar</a:t>
          </a:r>
          <a:r>
            <a:rPr lang="pt-BR" sz="1100" b="1" baseline="0">
              <a:solidFill>
                <a:schemeClr val="tx1"/>
              </a:solidFill>
            </a:rPr>
            <a:t> Relatório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1425219</xdr:colOff>
      <xdr:row>0</xdr:row>
      <xdr:rowOff>95250</xdr:rowOff>
    </xdr:from>
    <xdr:to>
      <xdr:col>5</xdr:col>
      <xdr:colOff>861793</xdr:colOff>
      <xdr:row>1</xdr:row>
      <xdr:rowOff>232970</xdr:rowOff>
    </xdr:to>
    <xdr:sp macro="[0]!zPrintOrPDF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1800-000021000000}"/>
            </a:ext>
          </a:extLst>
        </xdr:cNvPr>
        <xdr:cNvSpPr/>
      </xdr:nvSpPr>
      <xdr:spPr>
        <a:xfrm>
          <a:off x="4168774" y="95250"/>
          <a:ext cx="2153708" cy="321733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</a:t>
          </a:r>
          <a:r>
            <a:rPr lang="pt-BR" sz="1100" b="1" baseline="0">
              <a:solidFill>
                <a:schemeClr val="tx1"/>
              </a:solidFill>
            </a:rPr>
            <a:t> para Impressão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23</xdr:row>
      <xdr:rowOff>137583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00000000-0008-0000-1800-000046000000}"/>
            </a:ext>
          </a:extLst>
        </xdr:cNvPr>
        <xdr:cNvGrpSpPr/>
      </xdr:nvGrpSpPr>
      <xdr:grpSpPr>
        <a:xfrm>
          <a:off x="0" y="0"/>
          <a:ext cx="1800000" cy="4900083"/>
          <a:chOff x="0" y="0"/>
          <a:chExt cx="1800000" cy="6944714"/>
        </a:xfrm>
      </xdr:grpSpPr>
      <xdr:grpSp>
        <xdr:nvGrpSpPr>
          <xdr:cNvPr id="71" name="Agrupar 7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800-000047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107" name="Imagem 106">
              <a:extLst>
                <a:ext uri="{FF2B5EF4-FFF2-40B4-BE49-F238E27FC236}">
                  <a16:creationId xmlns:a16="http://schemas.microsoft.com/office/drawing/2014/main" id="{00000000-0008-0000-1800-00006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08" name="Retângulo 107">
              <a:extLst>
                <a:ext uri="{FF2B5EF4-FFF2-40B4-BE49-F238E27FC236}">
                  <a16:creationId xmlns:a16="http://schemas.microsoft.com/office/drawing/2014/main" id="{00000000-0008-0000-1800-00006C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72" name="Agrupar 71">
            <a:extLst>
              <a:ext uri="{FF2B5EF4-FFF2-40B4-BE49-F238E27FC236}">
                <a16:creationId xmlns:a16="http://schemas.microsoft.com/office/drawing/2014/main" id="{00000000-0008-0000-1800-000048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73" name="Agrupar 72">
              <a:extLst>
                <a:ext uri="{FF2B5EF4-FFF2-40B4-BE49-F238E27FC236}">
                  <a16:creationId xmlns:a16="http://schemas.microsoft.com/office/drawing/2014/main" id="{00000000-0008-0000-1800-000049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77" name="Agrupar 76">
                <a:extLst>
                  <a:ext uri="{FF2B5EF4-FFF2-40B4-BE49-F238E27FC236}">
                    <a16:creationId xmlns:a16="http://schemas.microsoft.com/office/drawing/2014/main" id="{00000000-0008-0000-1800-00004D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81" name="Agrupar 80">
                  <a:extLst>
                    <a:ext uri="{FF2B5EF4-FFF2-40B4-BE49-F238E27FC236}">
                      <a16:creationId xmlns:a16="http://schemas.microsoft.com/office/drawing/2014/main" id="{00000000-0008-0000-1800-000051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87" name="Agrupar 86">
                    <a:extLst>
                      <a:ext uri="{FF2B5EF4-FFF2-40B4-BE49-F238E27FC236}">
                        <a16:creationId xmlns:a16="http://schemas.microsoft.com/office/drawing/2014/main" id="{00000000-0008-0000-1800-000057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90" name="Agrupar 89">
                      <a:extLst>
                        <a:ext uri="{FF2B5EF4-FFF2-40B4-BE49-F238E27FC236}">
                          <a16:creationId xmlns:a16="http://schemas.microsoft.com/office/drawing/2014/main" id="{00000000-0008-0000-1800-00005A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95" name="Agrupar 94">
                        <a:extLst>
                          <a:ext uri="{FF2B5EF4-FFF2-40B4-BE49-F238E27FC236}">
                            <a16:creationId xmlns:a16="http://schemas.microsoft.com/office/drawing/2014/main" id="{00000000-0008-0000-1800-00005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100" name="Retângulo 99">
                          <a:extLst>
                            <a:ext uri="{FF2B5EF4-FFF2-40B4-BE49-F238E27FC236}">
                              <a16:creationId xmlns:a16="http://schemas.microsoft.com/office/drawing/2014/main" id="{00000000-0008-0000-1800-00006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101" name="Retângulo: Cantos Arredondados 100">
                          <a:extLst>
                            <a:ext uri="{FF2B5EF4-FFF2-40B4-BE49-F238E27FC236}">
                              <a16:creationId xmlns:a16="http://schemas.microsoft.com/office/drawing/2014/main" id="{00000000-0008-0000-1800-00006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2" name="Retângulo: Cantos Arredondados 101">
                          <a:extLst>
                            <a:ext uri="{FF2B5EF4-FFF2-40B4-BE49-F238E27FC236}">
                              <a16:creationId xmlns:a16="http://schemas.microsoft.com/office/drawing/2014/main" id="{00000000-0008-0000-1800-00006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3" name="Retângulo: Cantos Arredondados 102">
                          <a:extLst>
                            <a:ext uri="{FF2B5EF4-FFF2-40B4-BE49-F238E27FC236}">
                              <a16:creationId xmlns:a16="http://schemas.microsoft.com/office/drawing/2014/main" id="{00000000-0008-0000-1800-00006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4" name="Retângulo: Cantos Arredondados 103">
                          <a:extLst>
                            <a:ext uri="{FF2B5EF4-FFF2-40B4-BE49-F238E27FC236}">
                              <a16:creationId xmlns:a16="http://schemas.microsoft.com/office/drawing/2014/main" id="{00000000-0008-0000-1800-00006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5" name="Retângulo: Cantos Arredondados 104">
                          <a:extLst>
                            <a:ext uri="{FF2B5EF4-FFF2-40B4-BE49-F238E27FC236}">
                              <a16:creationId xmlns:a16="http://schemas.microsoft.com/office/drawing/2014/main" id="{00000000-0008-0000-1800-00006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106" name="Retângulo: Cantos Arredondados 105">
                          <a:extLst>
                            <a:ext uri="{FF2B5EF4-FFF2-40B4-BE49-F238E27FC236}">
                              <a16:creationId xmlns:a16="http://schemas.microsoft.com/office/drawing/2014/main" id="{00000000-0008-0000-1800-00006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96" name="Retângulo 95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800-00006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00909" y="1671575"/>
                        <a:ext cx="1426038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97" name="Retângulo 96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800-00006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98" name="Retângulo 97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800-00006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99" name="Retângulo 98">
                        <a:extLst>
                          <a:ext uri="{FF2B5EF4-FFF2-40B4-BE49-F238E27FC236}">
                            <a16:creationId xmlns:a16="http://schemas.microsoft.com/office/drawing/2014/main" id="{00000000-0008-0000-1800-00006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200504"/>
                        <a:ext cx="1336674" cy="510669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91" name="Agrupar 90">
                      <a:extLst>
                        <a:ext uri="{FF2B5EF4-FFF2-40B4-BE49-F238E27FC236}">
                          <a16:creationId xmlns:a16="http://schemas.microsoft.com/office/drawing/2014/main" id="{00000000-0008-0000-1800-00005B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92" name="Retângulo 91">
                        <a:extLst>
                          <a:ext uri="{FF2B5EF4-FFF2-40B4-BE49-F238E27FC236}">
                            <a16:creationId xmlns:a16="http://schemas.microsoft.com/office/drawing/2014/main" id="{00000000-0008-0000-1800-00005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93" name="Imagem 92">
                        <a:extLst>
                          <a:ext uri="{FF2B5EF4-FFF2-40B4-BE49-F238E27FC236}">
                            <a16:creationId xmlns:a16="http://schemas.microsoft.com/office/drawing/2014/main" id="{00000000-0008-0000-1800-00005D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94" name="Retângulo 93">
                        <a:extLst>
                          <a:ext uri="{FF2B5EF4-FFF2-40B4-BE49-F238E27FC236}">
                            <a16:creationId xmlns:a16="http://schemas.microsoft.com/office/drawing/2014/main" id="{00000000-0008-0000-1800-00005E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88" name="Retângulo 87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800-000058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89" name="Retângulo 88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800-000059000000}"/>
                      </a:ext>
                    </a:extLst>
                  </xdr:cNvPr>
                  <xdr:cNvSpPr/>
                </xdr:nvSpPr>
                <xdr:spPr>
                  <a:xfrm>
                    <a:off x="243417" y="2776662"/>
                    <a:ext cx="1397000" cy="476249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82" name="Agrupar 81">
                  <a:extLst>
                    <a:ext uri="{FF2B5EF4-FFF2-40B4-BE49-F238E27FC236}">
                      <a16:creationId xmlns:a16="http://schemas.microsoft.com/office/drawing/2014/main" id="{00000000-0008-0000-1800-000052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85" name="Retângulo: Cantos Arredondados 84">
                    <a:extLst>
                      <a:ext uri="{FF2B5EF4-FFF2-40B4-BE49-F238E27FC236}">
                        <a16:creationId xmlns:a16="http://schemas.microsoft.com/office/drawing/2014/main" id="{00000000-0008-0000-1800-000055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86" name="Retângulo 85">
                    <a:extLst>
                      <a:ext uri="{FF2B5EF4-FFF2-40B4-BE49-F238E27FC236}">
                        <a16:creationId xmlns:a16="http://schemas.microsoft.com/office/drawing/2014/main" id="{00000000-0008-0000-1800-000056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83" name="Retângulo: Cantos Arredondados 82">
                  <a:extLst>
                    <a:ext uri="{FF2B5EF4-FFF2-40B4-BE49-F238E27FC236}">
                      <a16:creationId xmlns:a16="http://schemas.microsoft.com/office/drawing/2014/main" id="{00000000-0008-0000-1800-000053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84" name="Retângulo 83">
                  <a:extLst>
                    <a:ext uri="{FF2B5EF4-FFF2-40B4-BE49-F238E27FC236}">
                      <a16:creationId xmlns:a16="http://schemas.microsoft.com/office/drawing/2014/main" id="{00000000-0008-0000-1800-000054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bg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bg1"/>
                      </a:solidFill>
                    </a:rPr>
                    <a:t> DE CAIXA</a:t>
                  </a:r>
                  <a:endParaRPr lang="pt-BR" sz="800" b="1">
                    <a:solidFill>
                      <a:schemeClr val="bg1"/>
                    </a:solidFill>
                  </a:endParaRPr>
                </a:p>
              </xdr:txBody>
            </xdr:sp>
          </xdr:grpSp>
          <xdr:grpSp>
            <xdr:nvGrpSpPr>
              <xdr:cNvPr id="78" name="Agrupar 77">
                <a:extLst>
                  <a:ext uri="{FF2B5EF4-FFF2-40B4-BE49-F238E27FC236}">
                    <a16:creationId xmlns:a16="http://schemas.microsoft.com/office/drawing/2014/main" id="{00000000-0008-0000-1800-00004E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79" name="Retângulo: Cantos Arredondados 78">
                  <a:extLst>
                    <a:ext uri="{FF2B5EF4-FFF2-40B4-BE49-F238E27FC236}">
                      <a16:creationId xmlns:a16="http://schemas.microsoft.com/office/drawing/2014/main" id="{00000000-0008-0000-1800-00004F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80" name="Retângulo 79">
                  <a:extLst>
                    <a:ext uri="{FF2B5EF4-FFF2-40B4-BE49-F238E27FC236}">
                      <a16:creationId xmlns:a16="http://schemas.microsoft.com/office/drawing/2014/main" id="{00000000-0008-0000-1800-000050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74" name="Agrupar 73">
              <a:extLst>
                <a:ext uri="{FF2B5EF4-FFF2-40B4-BE49-F238E27FC236}">
                  <a16:creationId xmlns:a16="http://schemas.microsoft.com/office/drawing/2014/main" id="{00000000-0008-0000-1800-00004A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75" name="Retângulo: Cantos Arredondados 74">
                <a:extLst>
                  <a:ext uri="{FF2B5EF4-FFF2-40B4-BE49-F238E27FC236}">
                    <a16:creationId xmlns:a16="http://schemas.microsoft.com/office/drawing/2014/main" id="{00000000-0008-0000-1800-00004B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76" name="Retângulo 75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800-00004C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20053</xdr:colOff>
      <xdr:row>0</xdr:row>
      <xdr:rowOff>9525</xdr:rowOff>
    </xdr:from>
    <xdr:to>
      <xdr:col>3</xdr:col>
      <xdr:colOff>853073</xdr:colOff>
      <xdr:row>1</xdr:row>
      <xdr:rowOff>142763</xdr:rowOff>
    </xdr:to>
    <xdr:sp macro="[0]!AbreFormRelatorio_Cli_For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1900-000023000000}"/>
            </a:ext>
          </a:extLst>
        </xdr:cNvPr>
        <xdr:cNvSpPr/>
      </xdr:nvSpPr>
      <xdr:spPr>
        <a:xfrm>
          <a:off x="2025316" y="9525"/>
          <a:ext cx="1574968" cy="323738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Configurar</a:t>
          </a:r>
          <a:r>
            <a:rPr lang="pt-BR" sz="1100" b="1" baseline="0">
              <a:solidFill>
                <a:schemeClr val="tx1"/>
              </a:solidFill>
            </a:rPr>
            <a:t> Relatório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</xdr:col>
      <xdr:colOff>1176922</xdr:colOff>
      <xdr:row>0</xdr:row>
      <xdr:rowOff>0</xdr:rowOff>
    </xdr:from>
    <xdr:to>
      <xdr:col>5</xdr:col>
      <xdr:colOff>563366</xdr:colOff>
      <xdr:row>1</xdr:row>
      <xdr:rowOff>137720</xdr:rowOff>
    </xdr:to>
    <xdr:sp macro="[0]!zPrintOrPDF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1900-000024000000}"/>
            </a:ext>
          </a:extLst>
        </xdr:cNvPr>
        <xdr:cNvSpPr/>
      </xdr:nvSpPr>
      <xdr:spPr>
        <a:xfrm>
          <a:off x="3924133" y="0"/>
          <a:ext cx="2163733" cy="32822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</a:t>
          </a:r>
          <a:r>
            <a:rPr lang="pt-BR" sz="1100" b="1" baseline="0">
              <a:solidFill>
                <a:schemeClr val="tx1"/>
              </a:solidFill>
            </a:rPr>
            <a:t> para Impressão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1800000</xdr:colOff>
      <xdr:row>24</xdr:row>
      <xdr:rowOff>190499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1900-000025000000}"/>
            </a:ext>
          </a:extLst>
        </xdr:cNvPr>
        <xdr:cNvGrpSpPr/>
      </xdr:nvGrpSpPr>
      <xdr:grpSpPr>
        <a:xfrm>
          <a:off x="0" y="0"/>
          <a:ext cx="1800000" cy="4910666"/>
          <a:chOff x="0" y="0"/>
          <a:chExt cx="1800000" cy="6944714"/>
        </a:xfrm>
      </xdr:grpSpPr>
      <xdr:grpSp>
        <xdr:nvGrpSpPr>
          <xdr:cNvPr id="38" name="Agrupar 3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900-000026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74" name="Imagem 73">
              <a:extLst>
                <a:ext uri="{FF2B5EF4-FFF2-40B4-BE49-F238E27FC236}">
                  <a16:creationId xmlns:a16="http://schemas.microsoft.com/office/drawing/2014/main" id="{00000000-0008-0000-19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75" name="Retângulo 74">
              <a:extLst>
                <a:ext uri="{FF2B5EF4-FFF2-40B4-BE49-F238E27FC236}">
                  <a16:creationId xmlns:a16="http://schemas.microsoft.com/office/drawing/2014/main" id="{00000000-0008-0000-1900-00004B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39" name="Agrupar 38">
            <a:extLst>
              <a:ext uri="{FF2B5EF4-FFF2-40B4-BE49-F238E27FC236}">
                <a16:creationId xmlns:a16="http://schemas.microsoft.com/office/drawing/2014/main" id="{00000000-0008-0000-1900-000027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40" name="Agrupar 39">
              <a:extLst>
                <a:ext uri="{FF2B5EF4-FFF2-40B4-BE49-F238E27FC236}">
                  <a16:creationId xmlns:a16="http://schemas.microsoft.com/office/drawing/2014/main" id="{00000000-0008-0000-1900-000028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44" name="Agrupar 43">
                <a:extLst>
                  <a:ext uri="{FF2B5EF4-FFF2-40B4-BE49-F238E27FC236}">
                    <a16:creationId xmlns:a16="http://schemas.microsoft.com/office/drawing/2014/main" id="{00000000-0008-0000-1900-00002C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48" name="Agrupar 47">
                  <a:extLst>
                    <a:ext uri="{FF2B5EF4-FFF2-40B4-BE49-F238E27FC236}">
                      <a16:creationId xmlns:a16="http://schemas.microsoft.com/office/drawing/2014/main" id="{00000000-0008-0000-1900-000030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54" name="Agrupar 53">
                    <a:extLst>
                      <a:ext uri="{FF2B5EF4-FFF2-40B4-BE49-F238E27FC236}">
                        <a16:creationId xmlns:a16="http://schemas.microsoft.com/office/drawing/2014/main" id="{00000000-0008-0000-1900-000036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57" name="Agrupar 56">
                      <a:extLst>
                        <a:ext uri="{FF2B5EF4-FFF2-40B4-BE49-F238E27FC236}">
                          <a16:creationId xmlns:a16="http://schemas.microsoft.com/office/drawing/2014/main" id="{00000000-0008-0000-1900-000039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62" name="Agrupar 61">
                        <a:extLst>
                          <a:ext uri="{FF2B5EF4-FFF2-40B4-BE49-F238E27FC236}">
                            <a16:creationId xmlns:a16="http://schemas.microsoft.com/office/drawing/2014/main" id="{00000000-0008-0000-1900-00003E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67" name="Retângulo 66">
                          <a:extLst>
                            <a:ext uri="{FF2B5EF4-FFF2-40B4-BE49-F238E27FC236}">
                              <a16:creationId xmlns:a16="http://schemas.microsoft.com/office/drawing/2014/main" id="{00000000-0008-0000-1900-000043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68" name="Retângulo: Cantos Arredondados 67">
                          <a:extLst>
                            <a:ext uri="{FF2B5EF4-FFF2-40B4-BE49-F238E27FC236}">
                              <a16:creationId xmlns:a16="http://schemas.microsoft.com/office/drawing/2014/main" id="{00000000-0008-0000-1900-00004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69" name="Retângulo: Cantos Arredondados 68">
                          <a:extLst>
                            <a:ext uri="{FF2B5EF4-FFF2-40B4-BE49-F238E27FC236}">
                              <a16:creationId xmlns:a16="http://schemas.microsoft.com/office/drawing/2014/main" id="{00000000-0008-0000-1900-00004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0" name="Retângulo: Cantos Arredondados 69">
                          <a:extLst>
                            <a:ext uri="{FF2B5EF4-FFF2-40B4-BE49-F238E27FC236}">
                              <a16:creationId xmlns:a16="http://schemas.microsoft.com/office/drawing/2014/main" id="{00000000-0008-0000-1900-00004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1" name="Retângulo: Cantos Arredondados 70">
                          <a:extLst>
                            <a:ext uri="{FF2B5EF4-FFF2-40B4-BE49-F238E27FC236}">
                              <a16:creationId xmlns:a16="http://schemas.microsoft.com/office/drawing/2014/main" id="{00000000-0008-0000-1900-00004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2" name="Retângulo: Cantos Arredondados 71">
                          <a:extLst>
                            <a:ext uri="{FF2B5EF4-FFF2-40B4-BE49-F238E27FC236}">
                              <a16:creationId xmlns:a16="http://schemas.microsoft.com/office/drawing/2014/main" id="{00000000-0008-0000-1900-00004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3" name="Retângulo: Cantos Arredondados 72">
                          <a:extLst>
                            <a:ext uri="{FF2B5EF4-FFF2-40B4-BE49-F238E27FC236}">
                              <a16:creationId xmlns:a16="http://schemas.microsoft.com/office/drawing/2014/main" id="{00000000-0008-0000-1900-00004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63" name="Retângulo 62">
                        <a:hlinkClick xmlns:r="http://schemas.openxmlformats.org/officeDocument/2006/relationships" r:id="rId3"/>
                        <a:extLst>
                          <a:ext uri="{FF2B5EF4-FFF2-40B4-BE49-F238E27FC236}">
                            <a16:creationId xmlns:a16="http://schemas.microsoft.com/office/drawing/2014/main" id="{00000000-0008-0000-1900-00003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0492" y="1671576"/>
                        <a:ext cx="1436455" cy="508018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64" name="Retângulo 63">
                        <a:hlinkClick xmlns:r="http://schemas.openxmlformats.org/officeDocument/2006/relationships" r:id="rId4"/>
                        <a:extLst>
                          <a:ext uri="{FF2B5EF4-FFF2-40B4-BE49-F238E27FC236}">
                            <a16:creationId xmlns:a16="http://schemas.microsoft.com/office/drawing/2014/main" id="{00000000-0008-0000-1900-00004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65" name="Retângulo 64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900-00004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66" name="Retângulo 65">
                        <a:extLst>
                          <a:ext uri="{FF2B5EF4-FFF2-40B4-BE49-F238E27FC236}">
                            <a16:creationId xmlns:a16="http://schemas.microsoft.com/office/drawing/2014/main" id="{00000000-0008-0000-1900-00004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201995"/>
                        <a:ext cx="1336674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58" name="Agrupar 57">
                      <a:extLst>
                        <a:ext uri="{FF2B5EF4-FFF2-40B4-BE49-F238E27FC236}">
                          <a16:creationId xmlns:a16="http://schemas.microsoft.com/office/drawing/2014/main" id="{00000000-0008-0000-1900-00003A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59" name="Retângulo 58">
                        <a:extLst>
                          <a:ext uri="{FF2B5EF4-FFF2-40B4-BE49-F238E27FC236}">
                            <a16:creationId xmlns:a16="http://schemas.microsoft.com/office/drawing/2014/main" id="{00000000-0008-0000-1900-00003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60" name="Imagem 59">
                        <a:extLst>
                          <a:ext uri="{FF2B5EF4-FFF2-40B4-BE49-F238E27FC236}">
                            <a16:creationId xmlns:a16="http://schemas.microsoft.com/office/drawing/2014/main" id="{00000000-0008-0000-1900-00003C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6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61" name="Retângulo 60">
                        <a:extLst>
                          <a:ext uri="{FF2B5EF4-FFF2-40B4-BE49-F238E27FC236}">
                            <a16:creationId xmlns:a16="http://schemas.microsoft.com/office/drawing/2014/main" id="{00000000-0008-0000-1900-00003D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55" name="Retângulo 54">
                    <a:hlinkClick xmlns:r="http://schemas.openxmlformats.org/officeDocument/2006/relationships" r:id="rId7"/>
                    <a:extLst>
                      <a:ext uri="{FF2B5EF4-FFF2-40B4-BE49-F238E27FC236}">
                        <a16:creationId xmlns:a16="http://schemas.microsoft.com/office/drawing/2014/main" id="{00000000-0008-0000-1900-000037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56" name="Retângulo 55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900-000038000000}"/>
                      </a:ext>
                    </a:extLst>
                  </xdr:cNvPr>
                  <xdr:cNvSpPr/>
                </xdr:nvSpPr>
                <xdr:spPr>
                  <a:xfrm>
                    <a:off x="201083" y="2776662"/>
                    <a:ext cx="1460500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49" name="Agrupar 48">
                  <a:extLst>
                    <a:ext uri="{FF2B5EF4-FFF2-40B4-BE49-F238E27FC236}">
                      <a16:creationId xmlns:a16="http://schemas.microsoft.com/office/drawing/2014/main" id="{00000000-0008-0000-1900-000031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52" name="Retângulo: Cantos Arredondados 51">
                    <a:extLst>
                      <a:ext uri="{FF2B5EF4-FFF2-40B4-BE49-F238E27FC236}">
                        <a16:creationId xmlns:a16="http://schemas.microsoft.com/office/drawing/2014/main" id="{00000000-0008-0000-1900-000034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53" name="Retângulo 52">
                    <a:extLst>
                      <a:ext uri="{FF2B5EF4-FFF2-40B4-BE49-F238E27FC236}">
                        <a16:creationId xmlns:a16="http://schemas.microsoft.com/office/drawing/2014/main" id="{00000000-0008-0000-1900-000035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50" name="Retângulo: Cantos Arredondados 49">
                  <a:extLst>
                    <a:ext uri="{FF2B5EF4-FFF2-40B4-BE49-F238E27FC236}">
                      <a16:creationId xmlns:a16="http://schemas.microsoft.com/office/drawing/2014/main" id="{00000000-0008-0000-1900-000032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51" name="Retângulo 50">
                  <a:extLst>
                    <a:ext uri="{FF2B5EF4-FFF2-40B4-BE49-F238E27FC236}">
                      <a16:creationId xmlns:a16="http://schemas.microsoft.com/office/drawing/2014/main" id="{00000000-0008-0000-1900-000033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45" name="Agrupar 44">
                <a:extLst>
                  <a:ext uri="{FF2B5EF4-FFF2-40B4-BE49-F238E27FC236}">
                    <a16:creationId xmlns:a16="http://schemas.microsoft.com/office/drawing/2014/main" id="{00000000-0008-0000-1900-00002D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46" name="Retângulo: Cantos Arredondados 45">
                  <a:extLst>
                    <a:ext uri="{FF2B5EF4-FFF2-40B4-BE49-F238E27FC236}">
                      <a16:creationId xmlns:a16="http://schemas.microsoft.com/office/drawing/2014/main" id="{00000000-0008-0000-1900-00002E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solidFill>
                  <a:schemeClr val="tx1">
                    <a:lumMod val="50000"/>
                    <a:lumOff val="5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47" name="Retângulo 46">
                  <a:extLst>
                    <a:ext uri="{FF2B5EF4-FFF2-40B4-BE49-F238E27FC236}">
                      <a16:creationId xmlns:a16="http://schemas.microsoft.com/office/drawing/2014/main" id="{00000000-0008-0000-1900-00002F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bg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41" name="Agrupar 40">
              <a:extLst>
                <a:ext uri="{FF2B5EF4-FFF2-40B4-BE49-F238E27FC236}">
                  <a16:creationId xmlns:a16="http://schemas.microsoft.com/office/drawing/2014/main" id="{00000000-0008-0000-1900-000029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42" name="Retângulo: Cantos Arredondados 41">
                <a:extLst>
                  <a:ext uri="{FF2B5EF4-FFF2-40B4-BE49-F238E27FC236}">
                    <a16:creationId xmlns:a16="http://schemas.microsoft.com/office/drawing/2014/main" id="{00000000-0008-0000-1900-00002A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43" name="Retângulo 42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00000000-0008-0000-1900-00002B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0</xdr:row>
          <xdr:rowOff>628650</xdr:rowOff>
        </xdr:from>
        <xdr:to>
          <xdr:col>4</xdr:col>
          <xdr:colOff>666750</xdr:colOff>
          <xdr:row>1</xdr:row>
          <xdr:rowOff>38100</xdr:rowOff>
        </xdr:to>
        <xdr:sp macro="" textlink="">
          <xdr:nvSpPr>
            <xdr:cNvPr id="46081" name="Drop Dow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619125</xdr:colOff>
          <xdr:row>0</xdr:row>
          <xdr:rowOff>609600</xdr:rowOff>
        </xdr:from>
        <xdr:to>
          <xdr:col>12</xdr:col>
          <xdr:colOff>95250</xdr:colOff>
          <xdr:row>1</xdr:row>
          <xdr:rowOff>28575</xdr:rowOff>
        </xdr:to>
        <xdr:sp macro="" textlink="">
          <xdr:nvSpPr>
            <xdr:cNvPr id="46083" name="Drop Dow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28575</xdr:colOff>
          <xdr:row>0</xdr:row>
          <xdr:rowOff>609600</xdr:rowOff>
        </xdr:from>
        <xdr:to>
          <xdr:col>8</xdr:col>
          <xdr:colOff>209550</xdr:colOff>
          <xdr:row>1</xdr:row>
          <xdr:rowOff>28575</xdr:rowOff>
        </xdr:to>
        <xdr:sp macro="" textlink="">
          <xdr:nvSpPr>
            <xdr:cNvPr id="46084" name="Drop Dow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1990725</xdr:colOff>
      <xdr:row>1</xdr:row>
      <xdr:rowOff>28576</xdr:rowOff>
    </xdr:from>
    <xdr:to>
      <xdr:col>2</xdr:col>
      <xdr:colOff>1590675</xdr:colOff>
      <xdr:row>2</xdr:row>
      <xdr:rowOff>232834</xdr:rowOff>
    </xdr:to>
    <xdr:sp macro="[0]!Gerar_FORMA_PGT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00000000-0008-0000-1A00-00002D000000}"/>
            </a:ext>
          </a:extLst>
        </xdr:cNvPr>
        <xdr:cNvSpPr/>
      </xdr:nvSpPr>
      <xdr:spPr>
        <a:xfrm>
          <a:off x="1990725" y="864659"/>
          <a:ext cx="1833033" cy="320675"/>
        </a:xfrm>
        <a:prstGeom prst="roundRect">
          <a:avLst/>
        </a:prstGeom>
        <a:solidFill>
          <a:srgbClr val="FF7C8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bg1"/>
              </a:solidFill>
            </a:rPr>
            <a:t>Atualizar </a:t>
          </a:r>
        </a:p>
      </xdr:txBody>
    </xdr:sp>
    <xdr:clientData fPrintsWithSheet="0"/>
  </xdr:twoCellAnchor>
  <xdr:twoCellAnchor editAs="absolute">
    <xdr:from>
      <xdr:col>0</xdr:col>
      <xdr:colOff>1981200</xdr:colOff>
      <xdr:row>0</xdr:row>
      <xdr:rowOff>497420</xdr:rowOff>
    </xdr:from>
    <xdr:to>
      <xdr:col>2</xdr:col>
      <xdr:colOff>1609725</xdr:colOff>
      <xdr:row>0</xdr:row>
      <xdr:rowOff>811091</xdr:rowOff>
    </xdr:to>
    <xdr:sp macro="[0]!zPrintOrPDF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00000000-0008-0000-1A00-00002F000000}"/>
            </a:ext>
          </a:extLst>
        </xdr:cNvPr>
        <xdr:cNvSpPr/>
      </xdr:nvSpPr>
      <xdr:spPr>
        <a:xfrm>
          <a:off x="1981200" y="497420"/>
          <a:ext cx="1861608" cy="313671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chemeClr val="tx1"/>
              </a:solidFill>
            </a:rPr>
            <a:t>Arquivo</a:t>
          </a:r>
          <a:r>
            <a:rPr lang="pt-BR" sz="1000" b="1" baseline="0">
              <a:solidFill>
                <a:schemeClr val="tx1"/>
              </a:solidFill>
            </a:rPr>
            <a:t> para Impressão</a:t>
          </a:r>
          <a:endParaRPr lang="pt-BR" sz="10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1943100</xdr:colOff>
      <xdr:row>0</xdr:row>
      <xdr:rowOff>19050</xdr:rowOff>
    </xdr:from>
    <xdr:to>
      <xdr:col>2</xdr:col>
      <xdr:colOff>981075</xdr:colOff>
      <xdr:row>0</xdr:row>
      <xdr:rowOff>390525</xdr:rowOff>
    </xdr:to>
    <xdr:sp macro="" textlink="">
      <xdr:nvSpPr>
        <xdr:cNvPr id="41" name="Retângulo 4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29000000}"/>
            </a:ext>
          </a:extLst>
        </xdr:cNvPr>
        <xdr:cNvSpPr/>
      </xdr:nvSpPr>
      <xdr:spPr>
        <a:xfrm>
          <a:off x="1943100" y="19050"/>
          <a:ext cx="1266825" cy="37147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1</a:t>
          </a:r>
          <a:endParaRPr lang="pt-BR" sz="1100" b="1"/>
        </a:p>
      </xdr:txBody>
    </xdr:sp>
    <xdr:clientData/>
  </xdr:twoCellAnchor>
  <xdr:twoCellAnchor editAs="absolute">
    <xdr:from>
      <xdr:col>2</xdr:col>
      <xdr:colOff>981075</xdr:colOff>
      <xdr:row>0</xdr:row>
      <xdr:rowOff>19050</xdr:rowOff>
    </xdr:from>
    <xdr:to>
      <xdr:col>3</xdr:col>
      <xdr:colOff>495300</xdr:colOff>
      <xdr:row>0</xdr:row>
      <xdr:rowOff>390525</xdr:rowOff>
    </xdr:to>
    <xdr:sp macro="" textlink="">
      <xdr:nvSpPr>
        <xdr:cNvPr id="48" name="Retângulo 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A00-000030000000}"/>
            </a:ext>
          </a:extLst>
        </xdr:cNvPr>
        <xdr:cNvSpPr/>
      </xdr:nvSpPr>
      <xdr:spPr>
        <a:xfrm>
          <a:off x="3209925" y="19050"/>
          <a:ext cx="1266825" cy="37147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2</a:t>
          </a:r>
          <a:endParaRPr lang="pt-BR" sz="1100" b="1"/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0</xdr:col>
      <xdr:colOff>1800000</xdr:colOff>
      <xdr:row>21</xdr:row>
      <xdr:rowOff>179916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1A00-000031000000}"/>
            </a:ext>
          </a:extLst>
        </xdr:cNvPr>
        <xdr:cNvGrpSpPr/>
      </xdr:nvGrpSpPr>
      <xdr:grpSpPr>
        <a:xfrm>
          <a:off x="0" y="1"/>
          <a:ext cx="1800000" cy="4900082"/>
          <a:chOff x="0" y="0"/>
          <a:chExt cx="1800000" cy="6944714"/>
        </a:xfrm>
      </xdr:grpSpPr>
      <xdr:grpSp>
        <xdr:nvGrpSpPr>
          <xdr:cNvPr id="50" name="Agrupar 4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A00-000032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86" name="Imagem 85">
              <a:extLst>
                <a:ext uri="{FF2B5EF4-FFF2-40B4-BE49-F238E27FC236}">
                  <a16:creationId xmlns:a16="http://schemas.microsoft.com/office/drawing/2014/main" id="{00000000-0008-0000-1A00-00005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87" name="Retângulo 86">
              <a:extLst>
                <a:ext uri="{FF2B5EF4-FFF2-40B4-BE49-F238E27FC236}">
                  <a16:creationId xmlns:a16="http://schemas.microsoft.com/office/drawing/2014/main" id="{00000000-0008-0000-1A00-000057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00000000-0008-0000-1A00-000033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52" name="Agrupar 51">
              <a:extLst>
                <a:ext uri="{FF2B5EF4-FFF2-40B4-BE49-F238E27FC236}">
                  <a16:creationId xmlns:a16="http://schemas.microsoft.com/office/drawing/2014/main" id="{00000000-0008-0000-1A00-000034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56" name="Agrupar 55">
                <a:extLst>
                  <a:ext uri="{FF2B5EF4-FFF2-40B4-BE49-F238E27FC236}">
                    <a16:creationId xmlns:a16="http://schemas.microsoft.com/office/drawing/2014/main" id="{00000000-0008-0000-1A00-000038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60" name="Agrupar 59">
                  <a:extLst>
                    <a:ext uri="{FF2B5EF4-FFF2-40B4-BE49-F238E27FC236}">
                      <a16:creationId xmlns:a16="http://schemas.microsoft.com/office/drawing/2014/main" id="{00000000-0008-0000-1A00-00003C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66" name="Agrupar 65">
                    <a:extLst>
                      <a:ext uri="{FF2B5EF4-FFF2-40B4-BE49-F238E27FC236}">
                        <a16:creationId xmlns:a16="http://schemas.microsoft.com/office/drawing/2014/main" id="{00000000-0008-0000-1A00-000042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69" name="Agrupar 68">
                      <a:extLst>
                        <a:ext uri="{FF2B5EF4-FFF2-40B4-BE49-F238E27FC236}">
                          <a16:creationId xmlns:a16="http://schemas.microsoft.com/office/drawing/2014/main" id="{00000000-0008-0000-1A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74" name="Agrupar 73">
                        <a:extLst>
                          <a:ext uri="{FF2B5EF4-FFF2-40B4-BE49-F238E27FC236}">
                            <a16:creationId xmlns:a16="http://schemas.microsoft.com/office/drawing/2014/main" id="{00000000-0008-0000-1A00-00004A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79" name="Retângulo 78">
                          <a:extLst>
                            <a:ext uri="{FF2B5EF4-FFF2-40B4-BE49-F238E27FC236}">
                              <a16:creationId xmlns:a16="http://schemas.microsoft.com/office/drawing/2014/main" id="{00000000-0008-0000-1A00-00004F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80" name="Retângulo: Cantos Arredondados 79">
                          <a:extLst>
                            <a:ext uri="{FF2B5EF4-FFF2-40B4-BE49-F238E27FC236}">
                              <a16:creationId xmlns:a16="http://schemas.microsoft.com/office/drawing/2014/main" id="{00000000-0008-0000-1A00-000050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1" name="Retângulo: Cantos Arredondados 80">
                          <a:extLst>
                            <a:ext uri="{FF2B5EF4-FFF2-40B4-BE49-F238E27FC236}">
                              <a16:creationId xmlns:a16="http://schemas.microsoft.com/office/drawing/2014/main" id="{00000000-0008-0000-1A00-000051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2" name="Retângulo: Cantos Arredondados 81">
                          <a:extLst>
                            <a:ext uri="{FF2B5EF4-FFF2-40B4-BE49-F238E27FC236}">
                              <a16:creationId xmlns:a16="http://schemas.microsoft.com/office/drawing/2014/main" id="{00000000-0008-0000-1A00-000052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3" name="Retângulo: Cantos Arredondados 82">
                          <a:extLst>
                            <a:ext uri="{FF2B5EF4-FFF2-40B4-BE49-F238E27FC236}">
                              <a16:creationId xmlns:a16="http://schemas.microsoft.com/office/drawing/2014/main" id="{00000000-0008-0000-1A00-000053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4" name="Retângulo: Cantos Arredondados 83">
                          <a:extLst>
                            <a:ext uri="{FF2B5EF4-FFF2-40B4-BE49-F238E27FC236}">
                              <a16:creationId xmlns:a16="http://schemas.microsoft.com/office/drawing/2014/main" id="{00000000-0008-0000-1A00-00005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5" name="Retângulo: Cantos Arredondados 84">
                          <a:extLst>
                            <a:ext uri="{FF2B5EF4-FFF2-40B4-BE49-F238E27FC236}">
                              <a16:creationId xmlns:a16="http://schemas.microsoft.com/office/drawing/2014/main" id="{00000000-0008-0000-1A00-00005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75" name="Retângulo 74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A00-00004B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69659" y="1671575"/>
                        <a:ext cx="1457288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76" name="Retângulo 75">
                        <a:hlinkClick xmlns:r="http://schemas.openxmlformats.org/officeDocument/2006/relationships" r:id="rId6"/>
                        <a:extLst>
                          <a:ext uri="{FF2B5EF4-FFF2-40B4-BE49-F238E27FC236}">
                            <a16:creationId xmlns:a16="http://schemas.microsoft.com/office/drawing/2014/main" id="{00000000-0008-0000-1A00-00004C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77" name="Retângulo 76">
                        <a:hlinkClick xmlns:r="http://schemas.openxmlformats.org/officeDocument/2006/relationships" r:id="rId7"/>
                        <a:extLst>
                          <a:ext uri="{FF2B5EF4-FFF2-40B4-BE49-F238E27FC236}">
                            <a16:creationId xmlns:a16="http://schemas.microsoft.com/office/drawing/2014/main" id="{00000000-0008-0000-1A00-00004D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78" name="Retângulo 77">
                        <a:extLst>
                          <a:ext uri="{FF2B5EF4-FFF2-40B4-BE49-F238E27FC236}">
                            <a16:creationId xmlns:a16="http://schemas.microsoft.com/office/drawing/2014/main" id="{00000000-0008-0000-1A00-00004E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72080"/>
                        <a:ext cx="1336674" cy="53699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70" name="Agrupar 69">
                      <a:extLst>
                        <a:ext uri="{FF2B5EF4-FFF2-40B4-BE49-F238E27FC236}">
                          <a16:creationId xmlns:a16="http://schemas.microsoft.com/office/drawing/2014/main" id="{00000000-0008-0000-1A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71" name="Retângulo 70">
                        <a:extLst>
                          <a:ext uri="{FF2B5EF4-FFF2-40B4-BE49-F238E27FC236}">
                            <a16:creationId xmlns:a16="http://schemas.microsoft.com/office/drawing/2014/main" id="{00000000-0008-0000-1A00-00004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72" name="Imagem 71">
                        <a:extLst>
                          <a:ext uri="{FF2B5EF4-FFF2-40B4-BE49-F238E27FC236}">
                            <a16:creationId xmlns:a16="http://schemas.microsoft.com/office/drawing/2014/main" id="{00000000-0008-0000-1A00-000048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8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73" name="Retângulo 72">
                        <a:extLst>
                          <a:ext uri="{FF2B5EF4-FFF2-40B4-BE49-F238E27FC236}">
                            <a16:creationId xmlns:a16="http://schemas.microsoft.com/office/drawing/2014/main" id="{00000000-0008-0000-1A00-000049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67" name="Retângulo 66">
                    <a:hlinkClick xmlns:r="http://schemas.openxmlformats.org/officeDocument/2006/relationships" r:id="rId9"/>
                    <a:extLst>
                      <a:ext uri="{FF2B5EF4-FFF2-40B4-BE49-F238E27FC236}">
                        <a16:creationId xmlns:a16="http://schemas.microsoft.com/office/drawing/2014/main" id="{00000000-0008-0000-1A00-000043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68" name="Retângulo 67">
                    <a:hlinkClick xmlns:r="http://schemas.openxmlformats.org/officeDocument/2006/relationships" r:id="rId10"/>
                    <a:extLst>
                      <a:ext uri="{FF2B5EF4-FFF2-40B4-BE49-F238E27FC236}">
                        <a16:creationId xmlns:a16="http://schemas.microsoft.com/office/drawing/2014/main" id="{00000000-0008-0000-1A00-000044000000}"/>
                      </a:ext>
                    </a:extLst>
                  </xdr:cNvPr>
                  <xdr:cNvSpPr/>
                </xdr:nvSpPr>
                <xdr:spPr>
                  <a:xfrm>
                    <a:off x="105833" y="2776661"/>
                    <a:ext cx="159808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61" name="Agrupar 60">
                  <a:extLst>
                    <a:ext uri="{FF2B5EF4-FFF2-40B4-BE49-F238E27FC236}">
                      <a16:creationId xmlns:a16="http://schemas.microsoft.com/office/drawing/2014/main" id="{00000000-0008-0000-1A00-00003D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64" name="Retângulo: Cantos Arredondados 63">
                    <a:extLst>
                      <a:ext uri="{FF2B5EF4-FFF2-40B4-BE49-F238E27FC236}">
                        <a16:creationId xmlns:a16="http://schemas.microsoft.com/office/drawing/2014/main" id="{00000000-0008-0000-1A00-000040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65" name="Retângulo 64">
                    <a:extLst>
                      <a:ext uri="{FF2B5EF4-FFF2-40B4-BE49-F238E27FC236}">
                        <a16:creationId xmlns:a16="http://schemas.microsoft.com/office/drawing/2014/main" id="{00000000-0008-0000-1A00-000041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62" name="Retângulo: Cantos Arredondados 61">
                  <a:extLst>
                    <a:ext uri="{FF2B5EF4-FFF2-40B4-BE49-F238E27FC236}">
                      <a16:creationId xmlns:a16="http://schemas.microsoft.com/office/drawing/2014/main" id="{00000000-0008-0000-1A00-00003E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63" name="Retângulo 62">
                  <a:extLst>
                    <a:ext uri="{FF2B5EF4-FFF2-40B4-BE49-F238E27FC236}">
                      <a16:creationId xmlns:a16="http://schemas.microsoft.com/office/drawing/2014/main" id="{00000000-0008-0000-1A00-00003F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57" name="Agrupar 56">
                <a:extLst>
                  <a:ext uri="{FF2B5EF4-FFF2-40B4-BE49-F238E27FC236}">
                    <a16:creationId xmlns:a16="http://schemas.microsoft.com/office/drawing/2014/main" id="{00000000-0008-0000-1A00-000039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58" name="Retângulo: Cantos Arredondados 57">
                  <a:extLst>
                    <a:ext uri="{FF2B5EF4-FFF2-40B4-BE49-F238E27FC236}">
                      <a16:creationId xmlns:a16="http://schemas.microsoft.com/office/drawing/2014/main" id="{00000000-0008-0000-1A00-00003A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59" name="Retângulo 58">
                  <a:extLst>
                    <a:ext uri="{FF2B5EF4-FFF2-40B4-BE49-F238E27FC236}">
                      <a16:creationId xmlns:a16="http://schemas.microsoft.com/office/drawing/2014/main" id="{00000000-0008-0000-1A00-00003B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ysClr val="windowText" lastClr="000000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00000000-0008-0000-1A00-000035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54" name="Retângulo: Cantos Arredondados 53">
                <a:extLst>
                  <a:ext uri="{FF2B5EF4-FFF2-40B4-BE49-F238E27FC236}">
                    <a16:creationId xmlns:a16="http://schemas.microsoft.com/office/drawing/2014/main" id="{00000000-0008-0000-1A00-000036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55" name="Retângulo 54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0000000-0008-0000-1A00-000037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bg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bg1"/>
                    </a:solidFill>
                  </a:rPr>
                  <a:t> DE PAGAMENTO</a:t>
                </a:r>
                <a:endParaRPr lang="pt-BR" sz="800" b="1">
                  <a:solidFill>
                    <a:schemeClr val="bg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1943100</xdr:colOff>
      <xdr:row>0</xdr:row>
      <xdr:rowOff>0</xdr:rowOff>
    </xdr:from>
    <xdr:to>
      <xdr:col>3</xdr:col>
      <xdr:colOff>357313</xdr:colOff>
      <xdr:row>1</xdr:row>
      <xdr:rowOff>158563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1943100" y="0"/>
          <a:ext cx="1266825" cy="37147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1</a:t>
          </a:r>
          <a:endParaRPr lang="pt-BR" sz="1100" b="1"/>
        </a:p>
      </xdr:txBody>
    </xdr:sp>
    <xdr:clientData/>
  </xdr:twoCellAnchor>
  <xdr:twoCellAnchor editAs="absolute">
    <xdr:from>
      <xdr:col>3</xdr:col>
      <xdr:colOff>357313</xdr:colOff>
      <xdr:row>0</xdr:row>
      <xdr:rowOff>0</xdr:rowOff>
    </xdr:from>
    <xdr:to>
      <xdr:col>4</xdr:col>
      <xdr:colOff>88232</xdr:colOff>
      <xdr:row>1</xdr:row>
      <xdr:rowOff>158563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209925" y="0"/>
          <a:ext cx="1266825" cy="37147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2</a:t>
          </a:r>
          <a:endParaRPr lang="pt-BR" sz="1100" b="1"/>
        </a:p>
      </xdr:txBody>
    </xdr:sp>
    <xdr:clientData/>
  </xdr:twoCellAnchor>
  <xdr:twoCellAnchor editAs="absolute">
    <xdr:from>
      <xdr:col>0</xdr:col>
      <xdr:colOff>1949824</xdr:colOff>
      <xdr:row>2</xdr:row>
      <xdr:rowOff>31937</xdr:rowOff>
    </xdr:from>
    <xdr:to>
      <xdr:col>3</xdr:col>
      <xdr:colOff>674421</xdr:colOff>
      <xdr:row>2</xdr:row>
      <xdr:rowOff>355675</xdr:rowOff>
    </xdr:to>
    <xdr:sp macro="[0]!AbreFormRelatorio_fpgt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1B00-00002B000000}"/>
            </a:ext>
          </a:extLst>
        </xdr:cNvPr>
        <xdr:cNvSpPr/>
      </xdr:nvSpPr>
      <xdr:spPr>
        <a:xfrm>
          <a:off x="1949824" y="457761"/>
          <a:ext cx="1574968" cy="323738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Configurar</a:t>
          </a:r>
          <a:r>
            <a:rPr lang="pt-BR" sz="1100" b="1" baseline="0">
              <a:solidFill>
                <a:schemeClr val="tx1"/>
              </a:solidFill>
            </a:rPr>
            <a:t> Relatório</a:t>
          </a:r>
          <a:endParaRPr lang="pt-BR" sz="1100" b="1">
            <a:solidFill>
              <a:schemeClr val="tx1"/>
            </a:solidFill>
          </a:endParaRPr>
        </a:p>
      </xdr:txBody>
    </xdr:sp>
    <xdr:clientData fPrintsWithSheet="0"/>
  </xdr:twoCellAnchor>
  <xdr:twoCellAnchor editAs="absolute">
    <xdr:from>
      <xdr:col>3</xdr:col>
      <xdr:colOff>998270</xdr:colOff>
      <xdr:row>2</xdr:row>
      <xdr:rowOff>22412</xdr:rowOff>
    </xdr:from>
    <xdr:to>
      <xdr:col>5</xdr:col>
      <xdr:colOff>450412</xdr:colOff>
      <xdr:row>2</xdr:row>
      <xdr:rowOff>350632</xdr:rowOff>
    </xdr:to>
    <xdr:sp macro="[0]!zPrintOrPDF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00000000-0008-0000-1B00-00002C000000}"/>
            </a:ext>
          </a:extLst>
        </xdr:cNvPr>
        <xdr:cNvSpPr/>
      </xdr:nvSpPr>
      <xdr:spPr>
        <a:xfrm>
          <a:off x="3848641" y="448236"/>
          <a:ext cx="2163733" cy="32822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</a:t>
          </a:r>
          <a:r>
            <a:rPr lang="pt-BR" sz="1100" b="1" baseline="0">
              <a:solidFill>
                <a:schemeClr val="tx1"/>
              </a:solidFill>
            </a:rPr>
            <a:t> para Impressão</a:t>
          </a:r>
          <a:endParaRPr lang="pt-BR" sz="1100" b="1">
            <a:solidFill>
              <a:schemeClr val="tx1"/>
            </a:solidFill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1</xdr:rowOff>
    </xdr:from>
    <xdr:to>
      <xdr:col>0</xdr:col>
      <xdr:colOff>1800000</xdr:colOff>
      <xdr:row>21</xdr:row>
      <xdr:rowOff>11907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1B00-00002D000000}"/>
            </a:ext>
          </a:extLst>
        </xdr:cNvPr>
        <xdr:cNvGrpSpPr/>
      </xdr:nvGrpSpPr>
      <xdr:grpSpPr>
        <a:xfrm>
          <a:off x="0" y="1"/>
          <a:ext cx="1800000" cy="4890823"/>
          <a:chOff x="0" y="0"/>
          <a:chExt cx="1800000" cy="6944714"/>
        </a:xfrm>
      </xdr:grpSpPr>
      <xdr:grpSp>
        <xdr:nvGrpSpPr>
          <xdr:cNvPr id="46" name="Agrupar 4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B00-00002E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82" name="Imagem 81">
              <a:extLst>
                <a:ext uri="{FF2B5EF4-FFF2-40B4-BE49-F238E27FC236}">
                  <a16:creationId xmlns:a16="http://schemas.microsoft.com/office/drawing/2014/main" id="{00000000-0008-0000-1B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id="{00000000-0008-0000-1B00-000053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00000000-0008-0000-1B00-00002F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48" name="Agrupar 47">
              <a:extLst>
                <a:ext uri="{FF2B5EF4-FFF2-40B4-BE49-F238E27FC236}">
                  <a16:creationId xmlns:a16="http://schemas.microsoft.com/office/drawing/2014/main" id="{00000000-0008-0000-1B00-000030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52" name="Agrupar 51">
                <a:extLst>
                  <a:ext uri="{FF2B5EF4-FFF2-40B4-BE49-F238E27FC236}">
                    <a16:creationId xmlns:a16="http://schemas.microsoft.com/office/drawing/2014/main" id="{00000000-0008-0000-1B00-000034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56" name="Agrupar 55">
                  <a:extLst>
                    <a:ext uri="{FF2B5EF4-FFF2-40B4-BE49-F238E27FC236}">
                      <a16:creationId xmlns:a16="http://schemas.microsoft.com/office/drawing/2014/main" id="{00000000-0008-0000-1B00-000038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62" name="Agrupar 61">
                    <a:extLst>
                      <a:ext uri="{FF2B5EF4-FFF2-40B4-BE49-F238E27FC236}">
                        <a16:creationId xmlns:a16="http://schemas.microsoft.com/office/drawing/2014/main" id="{00000000-0008-0000-1B00-00003E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65" name="Agrupar 64">
                      <a:extLst>
                        <a:ext uri="{FF2B5EF4-FFF2-40B4-BE49-F238E27FC236}">
                          <a16:creationId xmlns:a16="http://schemas.microsoft.com/office/drawing/2014/main" id="{00000000-0008-0000-1B00-000041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70" name="Agrupar 69">
                        <a:extLst>
                          <a:ext uri="{FF2B5EF4-FFF2-40B4-BE49-F238E27FC236}">
                            <a16:creationId xmlns:a16="http://schemas.microsoft.com/office/drawing/2014/main" id="{00000000-0008-0000-1B00-00004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75" name="Retângulo 74">
                          <a:extLst>
                            <a:ext uri="{FF2B5EF4-FFF2-40B4-BE49-F238E27FC236}">
                              <a16:creationId xmlns:a16="http://schemas.microsoft.com/office/drawing/2014/main" id="{00000000-0008-0000-1B00-00004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76" name="Retângulo: Cantos Arredondados 75">
                          <a:extLst>
                            <a:ext uri="{FF2B5EF4-FFF2-40B4-BE49-F238E27FC236}">
                              <a16:creationId xmlns:a16="http://schemas.microsoft.com/office/drawing/2014/main" id="{00000000-0008-0000-1B00-00004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7" name="Retângulo: Cantos Arredondados 76">
                          <a:extLst>
                            <a:ext uri="{FF2B5EF4-FFF2-40B4-BE49-F238E27FC236}">
                              <a16:creationId xmlns:a16="http://schemas.microsoft.com/office/drawing/2014/main" id="{00000000-0008-0000-1B00-00004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8" name="Retângulo: Cantos Arredondados 77">
                          <a:extLst>
                            <a:ext uri="{FF2B5EF4-FFF2-40B4-BE49-F238E27FC236}">
                              <a16:creationId xmlns:a16="http://schemas.microsoft.com/office/drawing/2014/main" id="{00000000-0008-0000-1B00-00004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9" name="Retângulo: Cantos Arredondados 78">
                          <a:extLst>
                            <a:ext uri="{FF2B5EF4-FFF2-40B4-BE49-F238E27FC236}">
                              <a16:creationId xmlns:a16="http://schemas.microsoft.com/office/drawing/2014/main" id="{00000000-0008-0000-1B00-00004F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0" name="Retângulo: Cantos Arredondados 79">
                          <a:extLst>
                            <a:ext uri="{FF2B5EF4-FFF2-40B4-BE49-F238E27FC236}">
                              <a16:creationId xmlns:a16="http://schemas.microsoft.com/office/drawing/2014/main" id="{00000000-0008-0000-1B00-000050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1" name="Retângulo: Cantos Arredondados 80">
                          <a:extLst>
                            <a:ext uri="{FF2B5EF4-FFF2-40B4-BE49-F238E27FC236}">
                              <a16:creationId xmlns:a16="http://schemas.microsoft.com/office/drawing/2014/main" id="{00000000-0008-0000-1B00-000051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71" name="Retângulo 70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B00-00004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0492" y="1671576"/>
                        <a:ext cx="1436455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72" name="Retângulo 71">
                        <a:hlinkClick xmlns:r="http://schemas.openxmlformats.org/officeDocument/2006/relationships" r:id="rId6"/>
                        <a:extLst>
                          <a:ext uri="{FF2B5EF4-FFF2-40B4-BE49-F238E27FC236}">
                            <a16:creationId xmlns:a16="http://schemas.microsoft.com/office/drawing/2014/main" id="{00000000-0008-0000-1B00-000048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73" name="Retângulo 72">
                        <a:hlinkClick xmlns:r="http://schemas.openxmlformats.org/officeDocument/2006/relationships" r:id="rId7"/>
                        <a:extLst>
                          <a:ext uri="{FF2B5EF4-FFF2-40B4-BE49-F238E27FC236}">
                            <a16:creationId xmlns:a16="http://schemas.microsoft.com/office/drawing/2014/main" id="{00000000-0008-0000-1B00-00004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74" name="Retângulo 73">
                        <a:extLst>
                          <a:ext uri="{FF2B5EF4-FFF2-40B4-BE49-F238E27FC236}">
                            <a16:creationId xmlns:a16="http://schemas.microsoft.com/office/drawing/2014/main" id="{00000000-0008-0000-1B00-00004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76761"/>
                        <a:ext cx="1336674" cy="50449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66" name="Agrupar 65">
                      <a:extLst>
                        <a:ext uri="{FF2B5EF4-FFF2-40B4-BE49-F238E27FC236}">
                          <a16:creationId xmlns:a16="http://schemas.microsoft.com/office/drawing/2014/main" id="{00000000-0008-0000-1B00-000042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67" name="Retângulo 66">
                        <a:extLst>
                          <a:ext uri="{FF2B5EF4-FFF2-40B4-BE49-F238E27FC236}">
                            <a16:creationId xmlns:a16="http://schemas.microsoft.com/office/drawing/2014/main" id="{00000000-0008-0000-1B00-00004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68" name="Imagem 67">
                        <a:extLst>
                          <a:ext uri="{FF2B5EF4-FFF2-40B4-BE49-F238E27FC236}">
                            <a16:creationId xmlns:a16="http://schemas.microsoft.com/office/drawing/2014/main" id="{00000000-0008-0000-1B00-000044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8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69" name="Retângulo 68">
                        <a:extLst>
                          <a:ext uri="{FF2B5EF4-FFF2-40B4-BE49-F238E27FC236}">
                            <a16:creationId xmlns:a16="http://schemas.microsoft.com/office/drawing/2014/main" id="{00000000-0008-0000-1B00-000045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63" name="Retângulo 62">
                    <a:hlinkClick xmlns:r="http://schemas.openxmlformats.org/officeDocument/2006/relationships" r:id="rId9"/>
                    <a:extLst>
                      <a:ext uri="{FF2B5EF4-FFF2-40B4-BE49-F238E27FC236}">
                        <a16:creationId xmlns:a16="http://schemas.microsoft.com/office/drawing/2014/main" id="{00000000-0008-0000-1B00-00003F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64" name="Retângulo 63">
                    <a:hlinkClick xmlns:r="http://schemas.openxmlformats.org/officeDocument/2006/relationships" r:id="rId10"/>
                    <a:extLst>
                      <a:ext uri="{FF2B5EF4-FFF2-40B4-BE49-F238E27FC236}">
                        <a16:creationId xmlns:a16="http://schemas.microsoft.com/office/drawing/2014/main" id="{00000000-0008-0000-1B00-000040000000}"/>
                      </a:ext>
                    </a:extLst>
                  </xdr:cNvPr>
                  <xdr:cNvSpPr/>
                </xdr:nvSpPr>
                <xdr:spPr>
                  <a:xfrm>
                    <a:off x="169333" y="2776662"/>
                    <a:ext cx="1534584" cy="476251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57" name="Agrupar 56">
                  <a:extLst>
                    <a:ext uri="{FF2B5EF4-FFF2-40B4-BE49-F238E27FC236}">
                      <a16:creationId xmlns:a16="http://schemas.microsoft.com/office/drawing/2014/main" id="{00000000-0008-0000-1B00-000039000000}"/>
                    </a:ext>
                  </a:extLst>
                </xdr:cNvPr>
                <xdr:cNvGrpSpPr/>
              </xdr:nvGrpSpPr>
              <xdr:grpSpPr>
                <a:xfrm>
                  <a:off x="104775" y="3800475"/>
                  <a:ext cx="1625000" cy="476250"/>
                  <a:chOff x="95250" y="3771900"/>
                  <a:chExt cx="1625000" cy="476250"/>
                </a:xfrm>
              </xdr:grpSpPr>
              <xdr:sp macro="" textlink="">
                <xdr:nvSpPr>
                  <xdr:cNvPr id="60" name="Retângulo: Cantos Arredondados 59">
                    <a:extLst>
                      <a:ext uri="{FF2B5EF4-FFF2-40B4-BE49-F238E27FC236}">
                        <a16:creationId xmlns:a16="http://schemas.microsoft.com/office/drawing/2014/main" id="{00000000-0008-0000-1B00-00003C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61" name="Retângulo 60">
                    <a:extLst>
                      <a:ext uri="{FF2B5EF4-FFF2-40B4-BE49-F238E27FC236}">
                        <a16:creationId xmlns:a16="http://schemas.microsoft.com/office/drawing/2014/main" id="{00000000-0008-0000-1B00-00003D000000}"/>
                      </a:ext>
                    </a:extLst>
                  </xdr:cNvPr>
                  <xdr:cNvSpPr/>
                </xdr:nvSpPr>
                <xdr:spPr>
                  <a:xfrm>
                    <a:off x="266700" y="3771900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58" name="Retângulo: Cantos Arredondados 57">
                  <a:extLst>
                    <a:ext uri="{FF2B5EF4-FFF2-40B4-BE49-F238E27FC236}">
                      <a16:creationId xmlns:a16="http://schemas.microsoft.com/office/drawing/2014/main" id="{00000000-0008-0000-1B00-00003A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59" name="Retângulo 58">
                  <a:extLst>
                    <a:ext uri="{FF2B5EF4-FFF2-40B4-BE49-F238E27FC236}">
                      <a16:creationId xmlns:a16="http://schemas.microsoft.com/office/drawing/2014/main" id="{00000000-0008-0000-1B00-00003B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53" name="Agrupar 52">
                <a:extLst>
                  <a:ext uri="{FF2B5EF4-FFF2-40B4-BE49-F238E27FC236}">
                    <a16:creationId xmlns:a16="http://schemas.microsoft.com/office/drawing/2014/main" id="{00000000-0008-0000-1B00-000035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54" name="Retângulo: Cantos Arredondados 53">
                  <a:extLst>
                    <a:ext uri="{FF2B5EF4-FFF2-40B4-BE49-F238E27FC236}">
                      <a16:creationId xmlns:a16="http://schemas.microsoft.com/office/drawing/2014/main" id="{00000000-0008-0000-1B00-000036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55" name="Retângulo 54">
                  <a:extLst>
                    <a:ext uri="{FF2B5EF4-FFF2-40B4-BE49-F238E27FC236}">
                      <a16:creationId xmlns:a16="http://schemas.microsoft.com/office/drawing/2014/main" id="{00000000-0008-0000-1B00-000037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ysClr val="windowText" lastClr="000000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49" name="Agrupar 48">
              <a:extLst>
                <a:ext uri="{FF2B5EF4-FFF2-40B4-BE49-F238E27FC236}">
                  <a16:creationId xmlns:a16="http://schemas.microsoft.com/office/drawing/2014/main" id="{00000000-0008-0000-1B00-000031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00000000-0008-0000-1B00-000032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51" name="Retângulo 50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0000000-0008-0000-1B00-000033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bg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bg1"/>
                    </a:solidFill>
                  </a:rPr>
                  <a:t> DE PAGAMENTO</a:t>
                </a:r>
                <a:endParaRPr lang="pt-BR" sz="800" b="1">
                  <a:solidFill>
                    <a:schemeClr val="bg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3</xdr:col>
      <xdr:colOff>434727</xdr:colOff>
      <xdr:row>1</xdr:row>
      <xdr:rowOff>158563</xdr:rowOff>
    </xdr:to>
    <xdr:sp macro="" textlink="">
      <xdr:nvSpPr>
        <xdr:cNvPr id="41" name="Retângulo 4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983441" y="0"/>
          <a:ext cx="1269565" cy="37147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1</a:t>
          </a:r>
          <a:endParaRPr lang="pt-BR" sz="1100" b="1"/>
        </a:p>
      </xdr:txBody>
    </xdr:sp>
    <xdr:clientData/>
  </xdr:twoCellAnchor>
  <xdr:twoCellAnchor editAs="absolute">
    <xdr:from>
      <xdr:col>3</xdr:col>
      <xdr:colOff>434727</xdr:colOff>
      <xdr:row>0</xdr:row>
      <xdr:rowOff>0</xdr:rowOff>
    </xdr:from>
    <xdr:to>
      <xdr:col>4</xdr:col>
      <xdr:colOff>29385</xdr:colOff>
      <xdr:row>1</xdr:row>
      <xdr:rowOff>158563</xdr:rowOff>
    </xdr:to>
    <xdr:sp macro="" textlink="">
      <xdr:nvSpPr>
        <xdr:cNvPr id="42" name="Retângulo 4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/>
      </xdr:nvSpPr>
      <xdr:spPr>
        <a:xfrm>
          <a:off x="3253006" y="0"/>
          <a:ext cx="1266825" cy="37147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  <a:r>
            <a:rPr lang="pt-BR" sz="1100" b="1" baseline="0"/>
            <a:t> 2</a:t>
          </a:r>
          <a:endParaRPr lang="pt-BR" sz="1100" b="1"/>
        </a:p>
      </xdr:txBody>
    </xdr:sp>
    <xdr:clientData/>
  </xdr:twoCellAnchor>
  <xdr:twoCellAnchor editAs="absolute">
    <xdr:from>
      <xdr:col>1</xdr:col>
      <xdr:colOff>0</xdr:colOff>
      <xdr:row>2</xdr:row>
      <xdr:rowOff>31937</xdr:rowOff>
    </xdr:from>
    <xdr:to>
      <xdr:col>3</xdr:col>
      <xdr:colOff>751835</xdr:colOff>
      <xdr:row>2</xdr:row>
      <xdr:rowOff>355675</xdr:rowOff>
    </xdr:to>
    <xdr:sp macro="[0]!AbreFormRelatorio_GrupoContas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SpPr/>
      </xdr:nvSpPr>
      <xdr:spPr>
        <a:xfrm>
          <a:off x="1990165" y="457761"/>
          <a:ext cx="1579949" cy="323738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Configurar</a:t>
          </a:r>
          <a:r>
            <a:rPr lang="pt-BR" sz="1100" b="1" baseline="0">
              <a:solidFill>
                <a:schemeClr val="tx1"/>
              </a:solidFill>
            </a:rPr>
            <a:t> Relatório</a:t>
          </a:r>
          <a:endParaRPr lang="pt-BR" sz="1100" b="1">
            <a:solidFill>
              <a:schemeClr val="tx1"/>
            </a:solidFill>
          </a:endParaRPr>
        </a:p>
      </xdr:txBody>
    </xdr:sp>
    <xdr:clientData fPrintsWithSheet="0"/>
  </xdr:twoCellAnchor>
  <xdr:twoCellAnchor editAs="absolute">
    <xdr:from>
      <xdr:col>3</xdr:col>
      <xdr:colOff>1075684</xdr:colOff>
      <xdr:row>2</xdr:row>
      <xdr:rowOff>22412</xdr:rowOff>
    </xdr:from>
    <xdr:to>
      <xdr:col>5</xdr:col>
      <xdr:colOff>37024</xdr:colOff>
      <xdr:row>2</xdr:row>
      <xdr:rowOff>350632</xdr:rowOff>
    </xdr:to>
    <xdr:sp macro="[0]!zPrintOrPDF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/>
      </xdr:nvSpPr>
      <xdr:spPr>
        <a:xfrm>
          <a:off x="3893963" y="448236"/>
          <a:ext cx="2167468" cy="32822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Gerar Arquivo</a:t>
          </a:r>
          <a:r>
            <a:rPr lang="pt-BR" sz="1100" b="1" baseline="0">
              <a:solidFill>
                <a:schemeClr val="tx1"/>
              </a:solidFill>
            </a:rPr>
            <a:t> para Impressão</a:t>
          </a:r>
          <a:endParaRPr lang="pt-BR" sz="1100" b="1">
            <a:solidFill>
              <a:schemeClr val="tx1"/>
            </a:solidFill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1</xdr:rowOff>
    </xdr:from>
    <xdr:to>
      <xdr:col>0</xdr:col>
      <xdr:colOff>1800000</xdr:colOff>
      <xdr:row>22</xdr:row>
      <xdr:rowOff>0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1C00-00002D000000}"/>
            </a:ext>
          </a:extLst>
        </xdr:cNvPr>
        <xdr:cNvGrpSpPr/>
      </xdr:nvGrpSpPr>
      <xdr:grpSpPr>
        <a:xfrm>
          <a:off x="0" y="1"/>
          <a:ext cx="1800000" cy="4868332"/>
          <a:chOff x="0" y="0"/>
          <a:chExt cx="1800000" cy="6944714"/>
        </a:xfrm>
      </xdr:grpSpPr>
      <xdr:grpSp>
        <xdr:nvGrpSpPr>
          <xdr:cNvPr id="46" name="Agrupar 4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GrpSpPr/>
        </xdr:nvGrpSpPr>
        <xdr:grpSpPr>
          <a:xfrm>
            <a:off x="590550" y="6086475"/>
            <a:ext cx="704850" cy="858239"/>
            <a:chOff x="2152650" y="129186"/>
            <a:chExt cx="704850" cy="851889"/>
          </a:xfrm>
        </xdr:grpSpPr>
        <xdr:pic>
          <xdr:nvPicPr>
            <xdr:cNvPr id="82" name="Imagem 81">
              <a:extLst>
                <a:ext uri="{FF2B5EF4-FFF2-40B4-BE49-F238E27FC236}">
                  <a16:creationId xmlns:a16="http://schemas.microsoft.com/office/drawing/2014/main" id="{00000000-0008-0000-1C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id="{00000000-0008-0000-1C00-000053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8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00000000-0008-0000-1C00-00002F000000}"/>
              </a:ext>
            </a:extLst>
          </xdr:cNvPr>
          <xdr:cNvGrpSpPr/>
        </xdr:nvGrpSpPr>
        <xdr:grpSpPr>
          <a:xfrm>
            <a:off x="0" y="0"/>
            <a:ext cx="1800000" cy="5924548"/>
            <a:chOff x="0" y="0"/>
            <a:chExt cx="1800000" cy="5924548"/>
          </a:xfrm>
        </xdr:grpSpPr>
        <xdr:grpSp>
          <xdr:nvGrpSpPr>
            <xdr:cNvPr id="48" name="Agrupar 47"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GrpSpPr/>
          </xdr:nvGrpSpPr>
          <xdr:grpSpPr>
            <a:xfrm>
              <a:off x="0" y="0"/>
              <a:ext cx="1800000" cy="5924548"/>
              <a:chOff x="0" y="0"/>
              <a:chExt cx="1800000" cy="5924548"/>
            </a:xfrm>
          </xdr:grpSpPr>
          <xdr:grpSp>
            <xdr:nvGrpSpPr>
              <xdr:cNvPr id="52" name="Agrupar 51">
                <a:extLst>
                  <a:ext uri="{FF2B5EF4-FFF2-40B4-BE49-F238E27FC236}">
                    <a16:creationId xmlns:a16="http://schemas.microsoft.com/office/drawing/2014/main" id="{00000000-0008-0000-1C00-000034000000}"/>
                  </a:ext>
                </a:extLst>
              </xdr:cNvPr>
              <xdr:cNvGrpSpPr/>
            </xdr:nvGrpSpPr>
            <xdr:grpSpPr>
              <a:xfrm>
                <a:off x="0" y="0"/>
                <a:ext cx="1800000" cy="5924548"/>
                <a:chOff x="9525" y="0"/>
                <a:chExt cx="1800000" cy="5871037"/>
              </a:xfrm>
            </xdr:grpSpPr>
            <xdr:grpSp>
              <xdr:nvGrpSpPr>
                <xdr:cNvPr id="56" name="Agrupar 55">
                  <a:extLst>
                    <a:ext uri="{FF2B5EF4-FFF2-40B4-BE49-F238E27FC236}">
                      <a16:creationId xmlns:a16="http://schemas.microsoft.com/office/drawing/2014/main" id="{00000000-0008-0000-1C00-000038000000}"/>
                    </a:ext>
                  </a:extLst>
                </xdr:cNvPr>
                <xdr:cNvGrpSpPr/>
              </xdr:nvGrpSpPr>
              <xdr:grpSpPr>
                <a:xfrm>
                  <a:off x="9525" y="0"/>
                  <a:ext cx="1800000" cy="5871037"/>
                  <a:chOff x="0" y="4973"/>
                  <a:chExt cx="1800000" cy="5871037"/>
                </a:xfrm>
              </xdr:grpSpPr>
              <xdr:grpSp>
                <xdr:nvGrpSpPr>
                  <xdr:cNvPr id="62" name="Agrupar 61">
                    <a:extLst>
                      <a:ext uri="{FF2B5EF4-FFF2-40B4-BE49-F238E27FC236}">
                        <a16:creationId xmlns:a16="http://schemas.microsoft.com/office/drawing/2014/main" id="{00000000-0008-0000-1C00-00003E000000}"/>
                      </a:ext>
                    </a:extLst>
                  </xdr:cNvPr>
                  <xdr:cNvGrpSpPr/>
                </xdr:nvGrpSpPr>
                <xdr:grpSpPr>
                  <a:xfrm>
                    <a:off x="0" y="4973"/>
                    <a:ext cx="1800000" cy="5871037"/>
                    <a:chOff x="47625" y="62123"/>
                    <a:chExt cx="1800000" cy="5871037"/>
                  </a:xfrm>
                </xdr:grpSpPr>
                <xdr:grpSp>
                  <xdr:nvGrpSpPr>
                    <xdr:cNvPr id="65" name="Agrupar 64">
                      <a:extLst>
                        <a:ext uri="{FF2B5EF4-FFF2-40B4-BE49-F238E27FC236}">
                          <a16:creationId xmlns:a16="http://schemas.microsoft.com/office/drawing/2014/main" id="{00000000-0008-0000-1C00-000041000000}"/>
                        </a:ext>
                      </a:extLst>
                    </xdr:cNvPr>
                    <xdr:cNvGrpSpPr/>
                  </xdr:nvGrpSpPr>
                  <xdr:grpSpPr>
                    <a:xfrm>
                      <a:off x="47625" y="795544"/>
                      <a:ext cx="1800000" cy="5137616"/>
                      <a:chOff x="123826" y="1647819"/>
                      <a:chExt cx="1771649" cy="5170116"/>
                    </a:xfrm>
                  </xdr:grpSpPr>
                  <xdr:grpSp>
                    <xdr:nvGrpSpPr>
                      <xdr:cNvPr id="70" name="Agrupar 69">
                        <a:extLst>
                          <a:ext uri="{FF2B5EF4-FFF2-40B4-BE49-F238E27FC236}">
                            <a16:creationId xmlns:a16="http://schemas.microsoft.com/office/drawing/2014/main" id="{00000000-0008-0000-1C00-00004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3826" y="1647819"/>
                        <a:ext cx="1771649" cy="5170116"/>
                        <a:chOff x="1514476" y="1724019"/>
                        <a:chExt cx="2057400" cy="5170116"/>
                      </a:xfrm>
                    </xdr:grpSpPr>
                    <xdr:sp macro="" textlink="">
                      <xdr:nvSpPr>
                        <xdr:cNvPr id="75" name="Retângulo 74">
                          <a:extLst>
                            <a:ext uri="{FF2B5EF4-FFF2-40B4-BE49-F238E27FC236}">
                              <a16:creationId xmlns:a16="http://schemas.microsoft.com/office/drawing/2014/main" id="{00000000-0008-0000-1C00-00004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14476" y="1724019"/>
                          <a:ext cx="2057400" cy="5170116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pt-BR" sz="800"/>
                            <a:t>.</a:t>
                          </a:r>
                        </a:p>
                      </xdr:txBody>
                    </xdr:sp>
                    <xdr:sp macro="" textlink="">
                      <xdr:nvSpPr>
                        <xdr:cNvPr id="76" name="Retângulo: Cantos Arredondados 75">
                          <a:extLst>
                            <a:ext uri="{FF2B5EF4-FFF2-40B4-BE49-F238E27FC236}">
                              <a16:creationId xmlns:a16="http://schemas.microsoft.com/office/drawing/2014/main" id="{00000000-0008-0000-1C00-00004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5" y="1828800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7" name="Retângulo: Cantos Arredondados 76">
                          <a:extLst>
                            <a:ext uri="{FF2B5EF4-FFF2-40B4-BE49-F238E27FC236}">
                              <a16:creationId xmlns:a16="http://schemas.microsoft.com/office/drawing/2014/main" id="{00000000-0008-0000-1C00-00004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3336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8" name="Retângulo: Cantos Arredondados 77">
                          <a:extLst>
                            <a:ext uri="{FF2B5EF4-FFF2-40B4-BE49-F238E27FC236}">
                              <a16:creationId xmlns:a16="http://schemas.microsoft.com/office/drawing/2014/main" id="{00000000-0008-0000-1C00-00004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09726" y="2828924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79" name="Retângulo: Cantos Arredondados 78">
                          <a:extLst>
                            <a:ext uri="{FF2B5EF4-FFF2-40B4-BE49-F238E27FC236}">
                              <a16:creationId xmlns:a16="http://schemas.microsoft.com/office/drawing/2014/main" id="{00000000-0008-0000-1C00-00004F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1" y="3324224"/>
                          <a:ext cx="1857375" cy="361950"/>
                        </a:xfrm>
                        <a:prstGeom prst="roundRect">
                          <a:avLst/>
                        </a:prstGeom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0" name="Retângulo: Cantos Arredondados 79">
                          <a:extLst>
                            <a:ext uri="{FF2B5EF4-FFF2-40B4-BE49-F238E27FC236}">
                              <a16:creationId xmlns:a16="http://schemas.microsoft.com/office/drawing/2014/main" id="{00000000-0008-0000-1C00-000050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38385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  <xdr:sp macro="" textlink="">
                      <xdr:nvSpPr>
                        <xdr:cNvPr id="81" name="Retângulo: Cantos Arredondados 80">
                          <a:extLst>
                            <a:ext uri="{FF2B5EF4-FFF2-40B4-BE49-F238E27FC236}">
                              <a16:creationId xmlns:a16="http://schemas.microsoft.com/office/drawing/2014/main" id="{00000000-0008-0000-1C00-000051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19250" y="4333875"/>
                          <a:ext cx="1857375" cy="361950"/>
                        </a:xfrm>
                        <a:prstGeom prst="roundRect">
                          <a:avLst/>
                        </a:prstGeom>
                        <a:noFill/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1100" b="1">
                              <a:solidFill>
                                <a:schemeClr val="tx1"/>
                              </a:solidFill>
                            </a:rPr>
                            <a:t>&gt;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71" name="Retângulo 70">
                        <a:hlinkClick xmlns:r="http://schemas.openxmlformats.org/officeDocument/2006/relationships" r:id="rId5"/>
                        <a:extLst>
                          <a:ext uri="{FF2B5EF4-FFF2-40B4-BE49-F238E27FC236}">
                            <a16:creationId xmlns:a16="http://schemas.microsoft.com/office/drawing/2014/main" id="{00000000-0008-0000-1C00-00004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90492" y="1671574"/>
                        <a:ext cx="1436455" cy="508017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PREVISTO</a:t>
                        </a:r>
                        <a:r>
                          <a:rPr lang="pt-BR" sz="800" b="1" baseline="0">
                            <a:solidFill>
                              <a:schemeClr val="tx1"/>
                            </a:solidFill>
                          </a:rPr>
                          <a:t> REALIZADO - ANO</a:t>
                        </a:r>
                        <a:endParaRPr lang="pt-BR" sz="800" b="1">
                          <a:solidFill>
                            <a:schemeClr val="tx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72" name="Retângulo 71">
                        <a:hlinkClick xmlns:r="http://schemas.openxmlformats.org/officeDocument/2006/relationships" r:id="rId6"/>
                        <a:extLst>
                          <a:ext uri="{FF2B5EF4-FFF2-40B4-BE49-F238E27FC236}">
                            <a16:creationId xmlns:a16="http://schemas.microsoft.com/office/drawing/2014/main" id="{00000000-0008-0000-1C00-000048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6951" y="2716367"/>
                        <a:ext cx="1582798" cy="44092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DRE - RESUMO</a:t>
                        </a:r>
                      </a:p>
                    </xdr:txBody>
                  </xdr:sp>
                  <xdr:sp macro="" textlink="">
                    <xdr:nvSpPr>
                      <xdr:cNvPr id="73" name="Retângulo 72">
                        <a:hlinkClick xmlns:r="http://schemas.openxmlformats.org/officeDocument/2006/relationships" r:id="rId1"/>
                        <a:extLst>
                          <a:ext uri="{FF2B5EF4-FFF2-40B4-BE49-F238E27FC236}">
                            <a16:creationId xmlns:a16="http://schemas.microsoft.com/office/drawing/2014/main" id="{00000000-0008-0000-1C00-00004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4450" y="3195631"/>
                        <a:ext cx="1312497" cy="47926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DRE -</a:t>
                        </a:r>
                        <a:r>
                          <a:rPr lang="pt-BR" sz="800" b="1" baseline="0">
                            <a:solidFill>
                              <a:schemeClr val="bg1"/>
                            </a:solidFill>
                          </a:rPr>
                          <a:t> </a:t>
                        </a:r>
                        <a:r>
                          <a:rPr lang="pt-BR" sz="800" b="1">
                            <a:solidFill>
                              <a:schemeClr val="bg1"/>
                            </a:solidFill>
                          </a:rPr>
                          <a:t>DETALHADO</a:t>
                        </a:r>
                      </a:p>
                    </xdr:txBody>
                  </xdr:sp>
                  <xdr:sp macro="[0]!AbreFormRelatorioPeR" textlink="">
                    <xdr:nvSpPr>
                      <xdr:cNvPr id="74" name="Retângulo 73">
                        <a:extLst>
                          <a:ext uri="{FF2B5EF4-FFF2-40B4-BE49-F238E27FC236}">
                            <a16:creationId xmlns:a16="http://schemas.microsoft.com/office/drawing/2014/main" id="{00000000-0008-0000-1C00-00004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79176" y="4191854"/>
                        <a:ext cx="1336674" cy="489402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RECEBER </a:t>
                        </a:r>
                      </a:p>
                      <a:p>
                        <a:pPr algn="ctr"/>
                        <a:r>
                          <a:rPr lang="pt-BR" sz="800" b="1">
                            <a:solidFill>
                              <a:schemeClr val="tx1"/>
                            </a:solidFill>
                          </a:rPr>
                          <a:t>A PAGAR</a:t>
                        </a:r>
                      </a:p>
                    </xdr:txBody>
                  </xdr:sp>
                </xdr:grpSp>
                <xdr:grpSp>
                  <xdr:nvGrpSpPr>
                    <xdr:cNvPr id="66" name="Agrupar 65">
                      <a:extLst>
                        <a:ext uri="{FF2B5EF4-FFF2-40B4-BE49-F238E27FC236}">
                          <a16:creationId xmlns:a16="http://schemas.microsoft.com/office/drawing/2014/main" id="{00000000-0008-0000-1C00-000042000000}"/>
                        </a:ext>
                      </a:extLst>
                    </xdr:cNvPr>
                    <xdr:cNvGrpSpPr/>
                  </xdr:nvGrpSpPr>
                  <xdr:grpSpPr>
                    <a:xfrm>
                      <a:off x="85725" y="62123"/>
                      <a:ext cx="1741667" cy="728815"/>
                      <a:chOff x="1524000" y="2428875"/>
                      <a:chExt cx="1741667" cy="728815"/>
                    </a:xfrm>
                  </xdr:grpSpPr>
                  <xdr:sp macro="" textlink="">
                    <xdr:nvSpPr>
                      <xdr:cNvPr id="67" name="Retângulo 66">
                        <a:extLst>
                          <a:ext uri="{FF2B5EF4-FFF2-40B4-BE49-F238E27FC236}">
                            <a16:creationId xmlns:a16="http://schemas.microsoft.com/office/drawing/2014/main" id="{00000000-0008-0000-1C00-00004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4000" y="2428875"/>
                        <a:ext cx="1741667" cy="728815"/>
                      </a:xfrm>
                      <a:prstGeom prst="rect">
                        <a:avLst/>
                      </a:prstGeom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800"/>
                      </a:p>
                    </xdr:txBody>
                  </xdr:sp>
                  <xdr:pic>
                    <xdr:nvPicPr>
                      <xdr:cNvPr id="68" name="Imagem 67">
                        <a:extLst>
                          <a:ext uri="{FF2B5EF4-FFF2-40B4-BE49-F238E27FC236}">
                            <a16:creationId xmlns:a16="http://schemas.microsoft.com/office/drawing/2014/main" id="{00000000-0008-0000-1C00-000044000000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>
                      <a:blip xmlns:r="http://schemas.openxmlformats.org/officeDocument/2006/relationships" r:embed="rId7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tretch>
                        <a:fillRect/>
                      </a:stretch>
                    </xdr:blipFill>
                    <xdr:spPr>
                      <a:xfrm>
                        <a:off x="1657350" y="2552700"/>
                        <a:ext cx="483016" cy="472421"/>
                      </a:xfrm>
                      <a:prstGeom prst="rect">
                        <a:avLst/>
                      </a:prstGeom>
                    </xdr:spPr>
                  </xdr:pic>
                  <xdr:sp macro="" textlink="">
                    <xdr:nvSpPr>
                      <xdr:cNvPr id="69" name="Retângulo 68">
                        <a:extLst>
                          <a:ext uri="{FF2B5EF4-FFF2-40B4-BE49-F238E27FC236}">
                            <a16:creationId xmlns:a16="http://schemas.microsoft.com/office/drawing/2014/main" id="{00000000-0008-0000-1C00-000045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>
                      <a:xfrm>
                        <a:off x="2124075" y="2581275"/>
                        <a:ext cx="1060216" cy="497183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800" b="1"/>
                          <a:t>RELATÓRIOS</a:t>
                        </a:r>
                      </a:p>
                    </xdr:txBody>
                  </xdr:sp>
                </xdr:grpSp>
              </xdr:grpSp>
              <xdr:sp macro="" textlink="">
                <xdr:nvSpPr>
                  <xdr:cNvPr id="63" name="Retângulo 62">
                    <a:hlinkClick xmlns:r="http://schemas.openxmlformats.org/officeDocument/2006/relationships" r:id="rId8"/>
                    <a:extLst>
                      <a:ext uri="{FF2B5EF4-FFF2-40B4-BE49-F238E27FC236}">
                        <a16:creationId xmlns:a16="http://schemas.microsoft.com/office/drawing/2014/main" id="{00000000-0008-0000-1C00-00003F000000}"/>
                      </a:ext>
                    </a:extLst>
                  </xdr:cNvPr>
                  <xdr:cNvSpPr/>
                </xdr:nvSpPr>
                <xdr:spPr>
                  <a:xfrm>
                    <a:off x="276225" y="1298112"/>
                    <a:ext cx="1371598" cy="45946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PREVISTO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REALIZADO - MÊS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  <xdr:sp macro="" textlink="">
                <xdr:nvSpPr>
                  <xdr:cNvPr id="64" name="Retângulo 63">
                    <a:hlinkClick xmlns:r="http://schemas.openxmlformats.org/officeDocument/2006/relationships" r:id="rId9"/>
                    <a:extLst>
                      <a:ext uri="{FF2B5EF4-FFF2-40B4-BE49-F238E27FC236}">
                        <a16:creationId xmlns:a16="http://schemas.microsoft.com/office/drawing/2014/main" id="{00000000-0008-0000-1C00-000040000000}"/>
                      </a:ext>
                    </a:extLst>
                  </xdr:cNvPr>
                  <xdr:cNvSpPr/>
                </xdr:nvSpPr>
                <xdr:spPr>
                  <a:xfrm>
                    <a:off x="179916" y="2776662"/>
                    <a:ext cx="1471083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CONCILIAÇÃO</a:t>
                    </a:r>
                    <a:r>
                      <a:rPr lang="pt-BR" sz="800" b="1" baseline="0">
                        <a:solidFill>
                          <a:schemeClr val="tx1"/>
                        </a:solidFill>
                      </a:rPr>
                      <a:t> CAIXA</a:t>
                    </a:r>
                    <a:endParaRPr lang="pt-BR" sz="800" b="1">
                      <a:solidFill>
                        <a:schemeClr val="tx1"/>
                      </a:solidFill>
                    </a:endParaRPr>
                  </a:p>
                </xdr:txBody>
              </xdr:sp>
            </xdr:grpSp>
            <xdr:grpSp>
              <xdr:nvGrpSpPr>
                <xdr:cNvPr id="57" name="Agrupar 56">
                  <a:extLst>
                    <a:ext uri="{FF2B5EF4-FFF2-40B4-BE49-F238E27FC236}">
                      <a16:creationId xmlns:a16="http://schemas.microsoft.com/office/drawing/2014/main" id="{00000000-0008-0000-1C00-000039000000}"/>
                    </a:ext>
                  </a:extLst>
                </xdr:cNvPr>
                <xdr:cNvGrpSpPr/>
              </xdr:nvGrpSpPr>
              <xdr:grpSpPr>
                <a:xfrm>
                  <a:off x="104775" y="3779523"/>
                  <a:ext cx="1625000" cy="476250"/>
                  <a:chOff x="95250" y="3750948"/>
                  <a:chExt cx="1625000" cy="476250"/>
                </a:xfrm>
              </xdr:grpSpPr>
              <xdr:sp macro="" textlink="">
                <xdr:nvSpPr>
                  <xdr:cNvPr id="60" name="Retângulo: Cantos Arredondados 59">
                    <a:extLst>
                      <a:ext uri="{FF2B5EF4-FFF2-40B4-BE49-F238E27FC236}">
                        <a16:creationId xmlns:a16="http://schemas.microsoft.com/office/drawing/2014/main" id="{00000000-0008-0000-1C00-00003C000000}"/>
                      </a:ext>
                    </a:extLst>
                  </xdr:cNvPr>
                  <xdr:cNvSpPr/>
                </xdr:nvSpPr>
                <xdr:spPr>
                  <a:xfrm>
                    <a:off x="95250" y="3819525"/>
                    <a:ext cx="1625000" cy="359675"/>
                  </a:xfrm>
                  <a:prstGeom prst="roundRect">
                    <a:avLst/>
                  </a:prstGeom>
                  <a:noFill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l"/>
                    <a:r>
                      <a:rPr lang="pt-BR" sz="1100" b="1">
                        <a:solidFill>
                          <a:schemeClr val="tx1"/>
                        </a:solidFill>
                      </a:rPr>
                      <a:t>&gt;</a:t>
                    </a:r>
                  </a:p>
                </xdr:txBody>
              </xdr:sp>
              <xdr:sp macro="[0]!AbreFormRelatorioGRUPOdeCONTAS" textlink="">
                <xdr:nvSpPr>
                  <xdr:cNvPr id="61" name="Retângulo 60">
                    <a:extLst>
                      <a:ext uri="{FF2B5EF4-FFF2-40B4-BE49-F238E27FC236}">
                        <a16:creationId xmlns:a16="http://schemas.microsoft.com/office/drawing/2014/main" id="{00000000-0008-0000-1C00-00003D000000}"/>
                      </a:ext>
                    </a:extLst>
                  </xdr:cNvPr>
                  <xdr:cNvSpPr/>
                </xdr:nvSpPr>
                <xdr:spPr>
                  <a:xfrm>
                    <a:off x="266700" y="3750948"/>
                    <a:ext cx="1358064" cy="47625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800" b="1">
                        <a:solidFill>
                          <a:schemeClr val="tx1"/>
                        </a:solidFill>
                      </a:rPr>
                      <a:t>CENTRO DE CUSTO</a:t>
                    </a:r>
                  </a:p>
                </xdr:txBody>
              </xdr:sp>
            </xdr:grpSp>
            <xdr:sp macro="" textlink="">
              <xdr:nvSpPr>
                <xdr:cNvPr id="58" name="Retângulo: Cantos Arredondados 57">
                  <a:extLst>
                    <a:ext uri="{FF2B5EF4-FFF2-40B4-BE49-F238E27FC236}">
                      <a16:creationId xmlns:a16="http://schemas.microsoft.com/office/drawing/2014/main" id="{00000000-0008-0000-1C00-00003A000000}"/>
                    </a:ext>
                  </a:extLst>
                </xdr:cNvPr>
                <xdr:cNvSpPr/>
              </xdr:nvSpPr>
              <xdr:spPr>
                <a:xfrm>
                  <a:off x="107731" y="4352925"/>
                  <a:ext cx="1625000" cy="359675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FluxoDeCaixa" textlink="">
              <xdr:nvSpPr>
                <xdr:cNvPr id="59" name="Retângulo 58">
                  <a:extLst>
                    <a:ext uri="{FF2B5EF4-FFF2-40B4-BE49-F238E27FC236}">
                      <a16:creationId xmlns:a16="http://schemas.microsoft.com/office/drawing/2014/main" id="{00000000-0008-0000-1C00-00003B000000}"/>
                    </a:ext>
                  </a:extLst>
                </xdr:cNvPr>
                <xdr:cNvSpPr/>
              </xdr:nvSpPr>
              <xdr:spPr>
                <a:xfrm>
                  <a:off x="323850" y="4370241"/>
                  <a:ext cx="1358064" cy="320926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FLUXO</a:t>
                  </a:r>
                  <a:r>
                    <a:rPr lang="pt-BR" sz="800" b="1" baseline="0">
                      <a:solidFill>
                        <a:schemeClr val="tx1"/>
                      </a:solidFill>
                    </a:rPr>
                    <a:t> DE CAIXA</a:t>
                  </a:r>
                  <a:endParaRPr lang="pt-BR" sz="800" b="1">
                    <a:solidFill>
                      <a:schemeClr val="tx1"/>
                    </a:solidFill>
                  </a:endParaRPr>
                </a:p>
              </xdr:txBody>
            </xdr:sp>
          </xdr:grpSp>
          <xdr:grpSp>
            <xdr:nvGrpSpPr>
              <xdr:cNvPr id="53" name="Agrupar 52">
                <a:extLst>
                  <a:ext uri="{FF2B5EF4-FFF2-40B4-BE49-F238E27FC236}">
                    <a16:creationId xmlns:a16="http://schemas.microsoft.com/office/drawing/2014/main" id="{00000000-0008-0000-1C00-000035000000}"/>
                  </a:ext>
                </a:extLst>
              </xdr:cNvPr>
              <xdr:cNvGrpSpPr/>
            </xdr:nvGrpSpPr>
            <xdr:grpSpPr>
              <a:xfrm>
                <a:off x="98206" y="4825636"/>
                <a:ext cx="1625000" cy="457199"/>
                <a:chOff x="98206" y="4825636"/>
                <a:chExt cx="1625000" cy="457199"/>
              </a:xfrm>
            </xdr:grpSpPr>
            <xdr:sp macro="" textlink="">
              <xdr:nvSpPr>
                <xdr:cNvPr id="54" name="Retângulo: Cantos Arredondados 53">
                  <a:extLst>
                    <a:ext uri="{FF2B5EF4-FFF2-40B4-BE49-F238E27FC236}">
                      <a16:creationId xmlns:a16="http://schemas.microsoft.com/office/drawing/2014/main" id="{00000000-0008-0000-1C00-000036000000}"/>
                    </a:ext>
                  </a:extLst>
                </xdr:cNvPr>
                <xdr:cNvSpPr/>
              </xdr:nvSpPr>
              <xdr:spPr>
                <a:xfrm>
                  <a:off x="98206" y="4876800"/>
                  <a:ext cx="1625000" cy="362953"/>
                </a:xfrm>
                <a:prstGeom prst="roundRect">
                  <a:avLst/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pt-BR" sz="1100" b="1">
                      <a:solidFill>
                        <a:schemeClr val="tx1"/>
                      </a:solidFill>
                    </a:rPr>
                    <a:t>&gt;</a:t>
                  </a:r>
                </a:p>
              </xdr:txBody>
            </xdr:sp>
            <xdr:sp macro="[0]!AbreFormRelatorio_Cli_For" textlink="">
              <xdr:nvSpPr>
                <xdr:cNvPr id="55" name="Retângulo 54">
                  <a:extLst>
                    <a:ext uri="{FF2B5EF4-FFF2-40B4-BE49-F238E27FC236}">
                      <a16:creationId xmlns:a16="http://schemas.microsoft.com/office/drawing/2014/main" id="{00000000-0008-0000-1C00-000037000000}"/>
                    </a:ext>
                  </a:extLst>
                </xdr:cNvPr>
                <xdr:cNvSpPr/>
              </xdr:nvSpPr>
              <xdr:spPr>
                <a:xfrm>
                  <a:off x="285750" y="4825636"/>
                  <a:ext cx="1358064" cy="4571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800" b="1">
                      <a:solidFill>
                        <a:schemeClr val="tx1"/>
                      </a:solidFill>
                    </a:rPr>
                    <a:t>CLIENTE  FORNECEDOR</a:t>
                  </a:r>
                </a:p>
              </xdr:txBody>
            </xdr:sp>
          </xdr:grpSp>
        </xdr:grpSp>
        <xdr:grpSp>
          <xdr:nvGrpSpPr>
            <xdr:cNvPr id="49" name="Agrupar 48"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GrpSpPr/>
          </xdr:nvGrpSpPr>
          <xdr:grpSpPr>
            <a:xfrm>
              <a:off x="85725" y="5334000"/>
              <a:ext cx="1625000" cy="457199"/>
              <a:chOff x="85725" y="5334000"/>
              <a:chExt cx="1625000" cy="457199"/>
            </a:xfrm>
          </xdr:grpSpPr>
          <xdr:sp macro="" textlink="">
            <xdr:nvSpPr>
              <xdr:cNvPr id="50" name="Retângulo: Cantos Arredondados 49">
                <a:extLst>
                  <a:ext uri="{FF2B5EF4-FFF2-40B4-BE49-F238E27FC236}">
                    <a16:creationId xmlns:a16="http://schemas.microsoft.com/office/drawing/2014/main" id="{00000000-0008-0000-1C00-000032000000}"/>
                  </a:ext>
                </a:extLst>
              </xdr:cNvPr>
              <xdr:cNvSpPr/>
            </xdr:nvSpPr>
            <xdr:spPr>
              <a:xfrm>
                <a:off x="85725" y="5381625"/>
                <a:ext cx="1625000" cy="362953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51" name="Retângulo 50">
                <a:hlinkClick xmlns:r="http://schemas.openxmlformats.org/officeDocument/2006/relationships" r:id="rId10"/>
                <a:extLst>
                  <a:ext uri="{FF2B5EF4-FFF2-40B4-BE49-F238E27FC236}">
                    <a16:creationId xmlns:a16="http://schemas.microsoft.com/office/drawing/2014/main" id="{00000000-0008-0000-1C00-000033000000}"/>
                  </a:ext>
                </a:extLst>
              </xdr:cNvPr>
              <xdr:cNvSpPr/>
            </xdr:nvSpPr>
            <xdr:spPr>
              <a:xfrm>
                <a:off x="276225" y="5334000"/>
                <a:ext cx="1358064" cy="45719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800" b="1">
                    <a:solidFill>
                      <a:schemeClr val="tx1"/>
                    </a:solidFill>
                  </a:rPr>
                  <a:t>FORMA</a:t>
                </a:r>
                <a:r>
                  <a:rPr lang="pt-BR" sz="800" b="1" baseline="0">
                    <a:solidFill>
                      <a:schemeClr val="tx1"/>
                    </a:solidFill>
                  </a:rPr>
                  <a:t> DE PAGAMENTO</a:t>
                </a:r>
                <a:endParaRPr lang="pt-BR" sz="800" b="1">
                  <a:solidFill>
                    <a:schemeClr val="tx1"/>
                  </a:solidFill>
                </a:endParaRPr>
              </a:p>
            </xdr:txBody>
          </xdr:sp>
        </xdr:grp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577438</xdr:colOff>
      <xdr:row>17</xdr:row>
      <xdr:rowOff>178415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0" y="0"/>
          <a:ext cx="1796638" cy="3416915"/>
          <a:chOff x="9524" y="9525"/>
          <a:chExt cx="1800000" cy="3414114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42737" y="9525"/>
            <a:ext cx="1741875" cy="729118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/>
        </xdr:nvSpPr>
        <xdr:spPr>
          <a:xfrm>
            <a:off x="9524" y="729227"/>
            <a:ext cx="1800000" cy="167107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.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D00-000005000000}"/>
              </a:ext>
            </a:extLst>
          </xdr:cNvPr>
          <xdr:cNvSpPr>
            <a:spLocks/>
          </xdr:cNvSpPr>
        </xdr:nvSpPr>
        <xdr:spPr>
          <a:xfrm>
            <a:off x="593452" y="153889"/>
            <a:ext cx="1167858" cy="4966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1D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238" y="55554"/>
            <a:ext cx="619286" cy="606726"/>
          </a:xfrm>
          <a:prstGeom prst="rect">
            <a:avLst/>
          </a:prstGeom>
        </xdr:spPr>
      </xdr:pic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0000000-0008-0000-1D00-000007000000}"/>
              </a:ext>
            </a:extLst>
          </xdr:cNvPr>
          <xdr:cNvSpPr/>
        </xdr:nvSpPr>
        <xdr:spPr>
          <a:xfrm>
            <a:off x="104774" y="8286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D00-000008000000}"/>
              </a:ext>
            </a:extLst>
          </xdr:cNvPr>
          <xdr:cNvSpPr/>
        </xdr:nvSpPr>
        <xdr:spPr>
          <a:xfrm>
            <a:off x="333374" y="8667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00000000-0008-0000-1D00-000009000000}"/>
              </a:ext>
            </a:extLst>
          </xdr:cNvPr>
          <xdr:cNvSpPr/>
        </xdr:nvSpPr>
        <xdr:spPr>
          <a:xfrm>
            <a:off x="104774" y="13239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D00-00000A000000}"/>
              </a:ext>
            </a:extLst>
          </xdr:cNvPr>
          <xdr:cNvSpPr/>
        </xdr:nvSpPr>
        <xdr:spPr>
          <a:xfrm>
            <a:off x="361949" y="13620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DESPESAS</a:t>
            </a:r>
          </a:p>
        </xdr:txBody>
      </xdr:sp>
      <xdr:grpSp>
        <xdr:nvGrpSpPr>
          <xdr:cNvPr id="11" name="Agrupar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D00-00000B000000}"/>
              </a:ext>
            </a:extLst>
          </xdr:cNvPr>
          <xdr:cNvGrpSpPr/>
        </xdr:nvGrpSpPr>
        <xdr:grpSpPr>
          <a:xfrm>
            <a:off x="542925" y="2571750"/>
            <a:ext cx="704850" cy="851889"/>
            <a:chOff x="2152650" y="129186"/>
            <a:chExt cx="704850" cy="851889"/>
          </a:xfrm>
        </xdr:grpSpPr>
        <xdr:pic>
          <xdr:nvPicPr>
            <xdr:cNvPr id="14" name="Imagem 13">
              <a:extLst>
                <a:ext uri="{FF2B5EF4-FFF2-40B4-BE49-F238E27FC236}">
                  <a16:creationId xmlns:a16="http://schemas.microsoft.com/office/drawing/2014/main" id="{00000000-0008-0000-1D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5" name="Retângulo 14">
              <a:extLst>
                <a:ext uri="{FF2B5EF4-FFF2-40B4-BE49-F238E27FC236}">
                  <a16:creationId xmlns:a16="http://schemas.microsoft.com/office/drawing/2014/main" id="{00000000-0008-0000-1D00-00000F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1D00-00000C000000}"/>
              </a:ext>
            </a:extLst>
          </xdr:cNvPr>
          <xdr:cNvSpPr/>
        </xdr:nvSpPr>
        <xdr:spPr>
          <a:xfrm>
            <a:off x="95249" y="1834127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3" name="Retângulo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D00-00000D000000}"/>
              </a:ext>
            </a:extLst>
          </xdr:cNvPr>
          <xdr:cNvSpPr/>
        </xdr:nvSpPr>
        <xdr:spPr>
          <a:xfrm>
            <a:off x="352424" y="1872227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TRANSFERÊNCIAS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100853</xdr:colOff>
      <xdr:row>3</xdr:row>
      <xdr:rowOff>89647</xdr:rowOff>
    </xdr:from>
    <xdr:to>
      <xdr:col>9</xdr:col>
      <xdr:colOff>425824</xdr:colOff>
      <xdr:row>17</xdr:row>
      <xdr:rowOff>145676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215403" y="775447"/>
          <a:ext cx="9287996" cy="3570754"/>
        </a:xfrm>
        <a:prstGeom prst="roundRect">
          <a:avLst>
            <a:gd name="adj" fmla="val 4592"/>
          </a:avLst>
        </a:prstGeom>
        <a:noFill/>
        <a:ln w="7620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1796638</xdr:colOff>
      <xdr:row>13</xdr:row>
      <xdr:rowOff>98854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pSpPr/>
      </xdr:nvGrpSpPr>
      <xdr:grpSpPr>
        <a:xfrm>
          <a:off x="0" y="0"/>
          <a:ext cx="1796638" cy="3423079"/>
          <a:chOff x="9524" y="9525"/>
          <a:chExt cx="1800000" cy="3414114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1E00-000006000000}"/>
              </a:ext>
            </a:extLst>
          </xdr:cNvPr>
          <xdr:cNvSpPr/>
        </xdr:nvSpPr>
        <xdr:spPr>
          <a:xfrm>
            <a:off x="42737" y="9525"/>
            <a:ext cx="1741875" cy="729118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1E00-000007000000}"/>
              </a:ext>
            </a:extLst>
          </xdr:cNvPr>
          <xdr:cNvSpPr/>
        </xdr:nvSpPr>
        <xdr:spPr>
          <a:xfrm>
            <a:off x="9524" y="729227"/>
            <a:ext cx="1800000" cy="167107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.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E00-000008000000}"/>
              </a:ext>
            </a:extLst>
          </xdr:cNvPr>
          <xdr:cNvSpPr>
            <a:spLocks/>
          </xdr:cNvSpPr>
        </xdr:nvSpPr>
        <xdr:spPr>
          <a:xfrm>
            <a:off x="593452" y="153889"/>
            <a:ext cx="1167858" cy="4966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1E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238" y="55554"/>
            <a:ext cx="619286" cy="606726"/>
          </a:xfrm>
          <a:prstGeom prst="rect">
            <a:avLst/>
          </a:prstGeom>
        </xdr:spPr>
      </xdr:pic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0000000-0008-0000-1E00-00000A000000}"/>
              </a:ext>
            </a:extLst>
          </xdr:cNvPr>
          <xdr:cNvSpPr/>
        </xdr:nvSpPr>
        <xdr:spPr>
          <a:xfrm>
            <a:off x="104774" y="828675"/>
            <a:ext cx="1625000" cy="359675"/>
          </a:xfrm>
          <a:prstGeom prst="roundRect">
            <a:avLst/>
          </a:prstGeom>
          <a:solidFill>
            <a:srgbClr val="00B0F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E00-00000B000000}"/>
              </a:ext>
            </a:extLst>
          </xdr:cNvPr>
          <xdr:cNvSpPr/>
        </xdr:nvSpPr>
        <xdr:spPr>
          <a:xfrm>
            <a:off x="333374" y="8667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RECEITAS</a:t>
            </a: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1E00-00000C000000}"/>
              </a:ext>
            </a:extLst>
          </xdr:cNvPr>
          <xdr:cNvSpPr/>
        </xdr:nvSpPr>
        <xdr:spPr>
          <a:xfrm>
            <a:off x="104774" y="13239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3" name="Retângulo 1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E00-00000D000000}"/>
              </a:ext>
            </a:extLst>
          </xdr:cNvPr>
          <xdr:cNvSpPr/>
        </xdr:nvSpPr>
        <xdr:spPr>
          <a:xfrm>
            <a:off x="361949" y="13620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DESPESAS</a:t>
            </a:r>
          </a:p>
        </xdr:txBody>
      </xdr:sp>
      <xdr:grpSp>
        <xdr:nvGrpSpPr>
          <xdr:cNvPr id="14" name="Agrupar 1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E00-00000E000000}"/>
              </a:ext>
            </a:extLst>
          </xdr:cNvPr>
          <xdr:cNvGrpSpPr/>
        </xdr:nvGrpSpPr>
        <xdr:grpSpPr>
          <a:xfrm>
            <a:off x="542925" y="2571750"/>
            <a:ext cx="704850" cy="851889"/>
            <a:chOff x="2152650" y="129186"/>
            <a:chExt cx="704850" cy="851889"/>
          </a:xfrm>
        </xdr:grpSpPr>
        <xdr:pic>
          <xdr:nvPicPr>
            <xdr:cNvPr id="17" name="Imagem 16">
              <a:extLst>
                <a:ext uri="{FF2B5EF4-FFF2-40B4-BE49-F238E27FC236}">
                  <a16:creationId xmlns:a16="http://schemas.microsoft.com/office/drawing/2014/main" id="{00000000-0008-0000-1E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8" name="Retângulo 17">
              <a:extLst>
                <a:ext uri="{FF2B5EF4-FFF2-40B4-BE49-F238E27FC236}">
                  <a16:creationId xmlns:a16="http://schemas.microsoft.com/office/drawing/2014/main" id="{00000000-0008-0000-1E00-000012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E00-00000F000000}"/>
              </a:ext>
            </a:extLst>
          </xdr:cNvPr>
          <xdr:cNvSpPr/>
        </xdr:nvSpPr>
        <xdr:spPr>
          <a:xfrm>
            <a:off x="95249" y="1834127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6" name="Retângulo 1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E00-000010000000}"/>
              </a:ext>
            </a:extLst>
          </xdr:cNvPr>
          <xdr:cNvSpPr/>
        </xdr:nvSpPr>
        <xdr:spPr>
          <a:xfrm>
            <a:off x="352424" y="1872227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TRANSFERÊNCIAS</a:t>
            </a:r>
          </a:p>
        </xdr:txBody>
      </xdr:sp>
    </xdr:grpSp>
    <xdr:clientData/>
  </xdr:twoCellAnchor>
  <xdr:twoCellAnchor editAs="absolute">
    <xdr:from>
      <xdr:col>3</xdr:col>
      <xdr:colOff>219075</xdr:colOff>
      <xdr:row>18</xdr:row>
      <xdr:rowOff>123825</xdr:rowOff>
    </xdr:from>
    <xdr:to>
      <xdr:col>5</xdr:col>
      <xdr:colOff>82363</xdr:colOff>
      <xdr:row>21</xdr:row>
      <xdr:rowOff>16808</xdr:rowOff>
    </xdr:to>
    <xdr:sp macro="[0]!FORM_Gravar_Receitas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1E00-000013000000}"/>
            </a:ext>
          </a:extLst>
        </xdr:cNvPr>
        <xdr:cNvSpPr/>
      </xdr:nvSpPr>
      <xdr:spPr>
        <a:xfrm>
          <a:off x="2495550" y="4667250"/>
          <a:ext cx="2082613" cy="49305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781611</xdr:colOff>
      <xdr:row>18</xdr:row>
      <xdr:rowOff>125506</xdr:rowOff>
    </xdr:from>
    <xdr:to>
      <xdr:col>9</xdr:col>
      <xdr:colOff>454399</xdr:colOff>
      <xdr:row>21</xdr:row>
      <xdr:rowOff>18489</xdr:rowOff>
    </xdr:to>
    <xdr:sp macro="" textlink="">
      <xdr:nvSpPr>
        <xdr:cNvPr id="20" name="Retângulo: Cantos Arredondados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E00-000014000000}"/>
            </a:ext>
          </a:extLst>
        </xdr:cNvPr>
        <xdr:cNvSpPr/>
      </xdr:nvSpPr>
      <xdr:spPr>
        <a:xfrm>
          <a:off x="9630336" y="4668931"/>
          <a:ext cx="1806388" cy="49305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100853</xdr:colOff>
      <xdr:row>3</xdr:row>
      <xdr:rowOff>89647</xdr:rowOff>
    </xdr:from>
    <xdr:to>
      <xdr:col>9</xdr:col>
      <xdr:colOff>425824</xdr:colOff>
      <xdr:row>17</xdr:row>
      <xdr:rowOff>145676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215403" y="775447"/>
          <a:ext cx="9335621" cy="3570754"/>
        </a:xfrm>
        <a:prstGeom prst="roundRect">
          <a:avLst>
            <a:gd name="adj" fmla="val 4592"/>
          </a:avLst>
        </a:prstGeom>
        <a:noFill/>
        <a:ln w="76200"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1796638</xdr:colOff>
      <xdr:row>13</xdr:row>
      <xdr:rowOff>98854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pSpPr/>
      </xdr:nvGrpSpPr>
      <xdr:grpSpPr>
        <a:xfrm>
          <a:off x="0" y="0"/>
          <a:ext cx="1796638" cy="3423079"/>
          <a:chOff x="9524" y="9525"/>
          <a:chExt cx="1800000" cy="3414114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1F00-000006000000}"/>
              </a:ext>
            </a:extLst>
          </xdr:cNvPr>
          <xdr:cNvSpPr/>
        </xdr:nvSpPr>
        <xdr:spPr>
          <a:xfrm>
            <a:off x="42737" y="9525"/>
            <a:ext cx="1741875" cy="729118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1F00-000007000000}"/>
              </a:ext>
            </a:extLst>
          </xdr:cNvPr>
          <xdr:cNvSpPr/>
        </xdr:nvSpPr>
        <xdr:spPr>
          <a:xfrm>
            <a:off x="9524" y="729227"/>
            <a:ext cx="1800000" cy="167107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.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F00-000008000000}"/>
              </a:ext>
            </a:extLst>
          </xdr:cNvPr>
          <xdr:cNvSpPr>
            <a:spLocks/>
          </xdr:cNvSpPr>
        </xdr:nvSpPr>
        <xdr:spPr>
          <a:xfrm>
            <a:off x="593452" y="153889"/>
            <a:ext cx="1167858" cy="4966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1F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238" y="55554"/>
            <a:ext cx="619286" cy="606726"/>
          </a:xfrm>
          <a:prstGeom prst="rect">
            <a:avLst/>
          </a:prstGeom>
        </xdr:spPr>
      </xdr:pic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0000000-0008-0000-1F00-00000A000000}"/>
              </a:ext>
            </a:extLst>
          </xdr:cNvPr>
          <xdr:cNvSpPr/>
        </xdr:nvSpPr>
        <xdr:spPr>
          <a:xfrm>
            <a:off x="104774" y="8286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F00-00000B000000}"/>
              </a:ext>
            </a:extLst>
          </xdr:cNvPr>
          <xdr:cNvSpPr/>
        </xdr:nvSpPr>
        <xdr:spPr>
          <a:xfrm>
            <a:off x="333374" y="8667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1F00-00000C000000}"/>
              </a:ext>
            </a:extLst>
          </xdr:cNvPr>
          <xdr:cNvSpPr/>
        </xdr:nvSpPr>
        <xdr:spPr>
          <a:xfrm>
            <a:off x="104774" y="1323975"/>
            <a:ext cx="1625000" cy="359675"/>
          </a:xfrm>
          <a:prstGeom prst="roundRect">
            <a:avLst/>
          </a:prstGeom>
          <a:solidFill>
            <a:srgbClr val="00B0F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3" name="Retângulo 1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F00-00000D000000}"/>
              </a:ext>
            </a:extLst>
          </xdr:cNvPr>
          <xdr:cNvSpPr/>
        </xdr:nvSpPr>
        <xdr:spPr>
          <a:xfrm>
            <a:off x="361949" y="13620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DESPESAS</a:t>
            </a:r>
          </a:p>
        </xdr:txBody>
      </xdr:sp>
      <xdr:grpSp>
        <xdr:nvGrpSpPr>
          <xdr:cNvPr id="14" name="Agrupar 1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F00-00000E000000}"/>
              </a:ext>
            </a:extLst>
          </xdr:cNvPr>
          <xdr:cNvGrpSpPr/>
        </xdr:nvGrpSpPr>
        <xdr:grpSpPr>
          <a:xfrm>
            <a:off x="542925" y="2571750"/>
            <a:ext cx="704850" cy="851889"/>
            <a:chOff x="2152650" y="129186"/>
            <a:chExt cx="704850" cy="851889"/>
          </a:xfrm>
        </xdr:grpSpPr>
        <xdr:pic>
          <xdr:nvPicPr>
            <xdr:cNvPr id="17" name="Imagem 16">
              <a:extLst>
                <a:ext uri="{FF2B5EF4-FFF2-40B4-BE49-F238E27FC236}">
                  <a16:creationId xmlns:a16="http://schemas.microsoft.com/office/drawing/2014/main" id="{00000000-0008-0000-1F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8" name="Retângulo 17">
              <a:extLst>
                <a:ext uri="{FF2B5EF4-FFF2-40B4-BE49-F238E27FC236}">
                  <a16:creationId xmlns:a16="http://schemas.microsoft.com/office/drawing/2014/main" id="{00000000-0008-0000-1F00-000012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F00-00000F000000}"/>
              </a:ext>
            </a:extLst>
          </xdr:cNvPr>
          <xdr:cNvSpPr/>
        </xdr:nvSpPr>
        <xdr:spPr>
          <a:xfrm>
            <a:off x="95249" y="1834127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6" name="Retângulo 1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F00-000010000000}"/>
              </a:ext>
            </a:extLst>
          </xdr:cNvPr>
          <xdr:cNvSpPr/>
        </xdr:nvSpPr>
        <xdr:spPr>
          <a:xfrm>
            <a:off x="352424" y="1872227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TRANSFERÊNCIAS</a:t>
            </a:r>
          </a:p>
        </xdr:txBody>
      </xdr:sp>
    </xdr:grpSp>
    <xdr:clientData/>
  </xdr:twoCellAnchor>
  <xdr:twoCellAnchor editAs="absolute">
    <xdr:from>
      <xdr:col>3</xdr:col>
      <xdr:colOff>219075</xdr:colOff>
      <xdr:row>18</xdr:row>
      <xdr:rowOff>123825</xdr:rowOff>
    </xdr:from>
    <xdr:to>
      <xdr:col>5</xdr:col>
      <xdr:colOff>82363</xdr:colOff>
      <xdr:row>21</xdr:row>
      <xdr:rowOff>16808</xdr:rowOff>
    </xdr:to>
    <xdr:sp macro="[0]!FORM_Gravar_Despesas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1F00-000023000000}"/>
            </a:ext>
          </a:extLst>
        </xdr:cNvPr>
        <xdr:cNvSpPr/>
      </xdr:nvSpPr>
      <xdr:spPr>
        <a:xfrm>
          <a:off x="2495550" y="4667250"/>
          <a:ext cx="2082613" cy="493058"/>
        </a:xfrm>
        <a:prstGeom prst="roundRect">
          <a:avLst/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788334</xdr:colOff>
      <xdr:row>18</xdr:row>
      <xdr:rowOff>125506</xdr:rowOff>
    </xdr:from>
    <xdr:to>
      <xdr:col>9</xdr:col>
      <xdr:colOff>461122</xdr:colOff>
      <xdr:row>21</xdr:row>
      <xdr:rowOff>18489</xdr:rowOff>
    </xdr:to>
    <xdr:sp macro="" textlink="">
      <xdr:nvSpPr>
        <xdr:cNvPr id="36" name="Retângulo: Cantos Arredondados 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F00-000024000000}"/>
            </a:ext>
          </a:extLst>
        </xdr:cNvPr>
        <xdr:cNvSpPr/>
      </xdr:nvSpPr>
      <xdr:spPr>
        <a:xfrm>
          <a:off x="9637059" y="4668931"/>
          <a:ext cx="1806388" cy="49305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100853</xdr:colOff>
      <xdr:row>3</xdr:row>
      <xdr:rowOff>89647</xdr:rowOff>
    </xdr:from>
    <xdr:to>
      <xdr:col>9</xdr:col>
      <xdr:colOff>425824</xdr:colOff>
      <xdr:row>11</xdr:row>
      <xdr:rowOff>133350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215403" y="775447"/>
          <a:ext cx="9221321" cy="1986803"/>
        </a:xfrm>
        <a:prstGeom prst="roundRect">
          <a:avLst>
            <a:gd name="adj" fmla="val 4592"/>
          </a:avLst>
        </a:prstGeom>
        <a:noFill/>
        <a:ln w="76200"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137832</xdr:colOff>
      <xdr:row>12</xdr:row>
      <xdr:rowOff>26894</xdr:rowOff>
    </xdr:from>
    <xdr:to>
      <xdr:col>5</xdr:col>
      <xdr:colOff>349063</xdr:colOff>
      <xdr:row>14</xdr:row>
      <xdr:rowOff>8964</xdr:rowOff>
    </xdr:to>
    <xdr:sp macro="[0]!FORM_Gravar_Trans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2252382" y="2970119"/>
          <a:ext cx="2078131" cy="496420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733425</xdr:colOff>
      <xdr:row>12</xdr:row>
      <xdr:rowOff>47625</xdr:rowOff>
    </xdr:from>
    <xdr:to>
      <xdr:col>9</xdr:col>
      <xdr:colOff>382682</xdr:colOff>
      <xdr:row>14</xdr:row>
      <xdr:rowOff>29695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9582150" y="3152775"/>
          <a:ext cx="1782857" cy="48689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1796638</xdr:colOff>
      <xdr:row>13</xdr:row>
      <xdr:rowOff>114542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pSpPr/>
      </xdr:nvGrpSpPr>
      <xdr:grpSpPr>
        <a:xfrm>
          <a:off x="0" y="0"/>
          <a:ext cx="1796638" cy="3419717"/>
          <a:chOff x="9524" y="9525"/>
          <a:chExt cx="1800000" cy="3414114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2000-000006000000}"/>
              </a:ext>
            </a:extLst>
          </xdr:cNvPr>
          <xdr:cNvSpPr/>
        </xdr:nvSpPr>
        <xdr:spPr>
          <a:xfrm>
            <a:off x="42737" y="9525"/>
            <a:ext cx="1741875" cy="729118"/>
          </a:xfrm>
          <a:prstGeom prst="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2000-000007000000}"/>
              </a:ext>
            </a:extLst>
          </xdr:cNvPr>
          <xdr:cNvSpPr/>
        </xdr:nvSpPr>
        <xdr:spPr>
          <a:xfrm>
            <a:off x="9524" y="729227"/>
            <a:ext cx="1800000" cy="1671073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.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000-000008000000}"/>
              </a:ext>
            </a:extLst>
          </xdr:cNvPr>
          <xdr:cNvSpPr>
            <a:spLocks/>
          </xdr:cNvSpPr>
        </xdr:nvSpPr>
        <xdr:spPr>
          <a:xfrm>
            <a:off x="593452" y="153889"/>
            <a:ext cx="1167858" cy="4966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LANÇAMENTOS</a:t>
            </a:r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2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238" y="55554"/>
            <a:ext cx="619286" cy="606726"/>
          </a:xfrm>
          <a:prstGeom prst="rect">
            <a:avLst/>
          </a:prstGeom>
        </xdr:spPr>
      </xdr:pic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0000000-0008-0000-2000-00000A000000}"/>
              </a:ext>
            </a:extLst>
          </xdr:cNvPr>
          <xdr:cNvSpPr/>
        </xdr:nvSpPr>
        <xdr:spPr>
          <a:xfrm>
            <a:off x="104774" y="8286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000-00000B000000}"/>
              </a:ext>
            </a:extLst>
          </xdr:cNvPr>
          <xdr:cNvSpPr/>
        </xdr:nvSpPr>
        <xdr:spPr>
          <a:xfrm>
            <a:off x="333374" y="8667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2000-00000C000000}"/>
              </a:ext>
            </a:extLst>
          </xdr:cNvPr>
          <xdr:cNvSpPr/>
        </xdr:nvSpPr>
        <xdr:spPr>
          <a:xfrm>
            <a:off x="104774" y="1323975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3" name="Retângulo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000-00000D000000}"/>
              </a:ext>
            </a:extLst>
          </xdr:cNvPr>
          <xdr:cNvSpPr/>
        </xdr:nvSpPr>
        <xdr:spPr>
          <a:xfrm>
            <a:off x="361949" y="1362075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DESPESAS</a:t>
            </a:r>
          </a:p>
        </xdr:txBody>
      </xdr:sp>
      <xdr:grpSp>
        <xdr:nvGrpSpPr>
          <xdr:cNvPr id="14" name="Agrupar 13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000-00000E000000}"/>
              </a:ext>
            </a:extLst>
          </xdr:cNvPr>
          <xdr:cNvGrpSpPr/>
        </xdr:nvGrpSpPr>
        <xdr:grpSpPr>
          <a:xfrm>
            <a:off x="542925" y="2571750"/>
            <a:ext cx="704850" cy="851889"/>
            <a:chOff x="2152650" y="129186"/>
            <a:chExt cx="704850" cy="851889"/>
          </a:xfrm>
        </xdr:grpSpPr>
        <xdr:pic>
          <xdr:nvPicPr>
            <xdr:cNvPr id="17" name="Imagem 16">
              <a:extLst>
                <a:ext uri="{FF2B5EF4-FFF2-40B4-BE49-F238E27FC236}">
                  <a16:creationId xmlns:a16="http://schemas.microsoft.com/office/drawing/2014/main" id="{00000000-0008-0000-2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162175" y="129186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18" name="Retângulo 17">
              <a:extLst>
                <a:ext uri="{FF2B5EF4-FFF2-40B4-BE49-F238E27FC236}">
                  <a16:creationId xmlns:a16="http://schemas.microsoft.com/office/drawing/2014/main" id="{00000000-0008-0000-2000-000012000000}"/>
                </a:ext>
              </a:extLst>
            </xdr:cNvPr>
            <xdr:cNvSpPr/>
          </xdr:nvSpPr>
          <xdr:spPr>
            <a:xfrm>
              <a:off x="2152650" y="685800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  <xdr:sp macro="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2000-00000F000000}"/>
              </a:ext>
            </a:extLst>
          </xdr:cNvPr>
          <xdr:cNvSpPr/>
        </xdr:nvSpPr>
        <xdr:spPr>
          <a:xfrm>
            <a:off x="95249" y="1834127"/>
            <a:ext cx="1625000" cy="359675"/>
          </a:xfrm>
          <a:prstGeom prst="roundRect">
            <a:avLst/>
          </a:prstGeom>
          <a:solidFill>
            <a:srgbClr val="00B0F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000-000010000000}"/>
              </a:ext>
            </a:extLst>
          </xdr:cNvPr>
          <xdr:cNvSpPr/>
        </xdr:nvSpPr>
        <xdr:spPr>
          <a:xfrm>
            <a:off x="352424" y="1872227"/>
            <a:ext cx="1228726" cy="2974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TRANSFERÊNCIAS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3" name="Retângulo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2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2200-000005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609600</xdr:colOff>
      <xdr:row>0</xdr:row>
      <xdr:rowOff>523875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pSpPr/>
      </xdr:nvGrpSpPr>
      <xdr:grpSpPr>
        <a:xfrm>
          <a:off x="0" y="0"/>
          <a:ext cx="1219200" cy="523875"/>
          <a:chOff x="176206" y="1543050"/>
          <a:chExt cx="1750289" cy="728815"/>
        </a:xfrm>
      </xdr:grpSpPr>
      <xdr:sp macro="" textlink="">
        <xdr:nvSpPr>
          <xdr:cNvPr id="3" name="Retângulo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2300-000003000000}"/>
              </a:ext>
            </a:extLst>
          </xdr:cNvPr>
          <xdr:cNvSpPr/>
        </xdr:nvSpPr>
        <xdr:spPr>
          <a:xfrm>
            <a:off x="176206" y="1543050"/>
            <a:ext cx="1741666" cy="72881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2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206" y="1666097"/>
            <a:ext cx="500832" cy="474202"/>
          </a:xfrm>
          <a:prstGeom prst="rect">
            <a:avLst/>
          </a:prstGeom>
        </xdr:spPr>
      </xdr:pic>
      <xdr:sp macro="" textlink="">
        <xdr:nvSpPr>
          <xdr:cNvPr id="5" name="Retângul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2300-000005000000}"/>
              </a:ext>
            </a:extLst>
          </xdr:cNvPr>
          <xdr:cNvSpPr>
            <a:spLocks/>
          </xdr:cNvSpPr>
        </xdr:nvSpPr>
        <xdr:spPr>
          <a:xfrm>
            <a:off x="597508" y="1714500"/>
            <a:ext cx="1328987" cy="371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571835</xdr:colOff>
      <xdr:row>22</xdr:row>
      <xdr:rowOff>128348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pSpPr/>
      </xdr:nvGrpSpPr>
      <xdr:grpSpPr>
        <a:xfrm>
          <a:off x="0" y="0"/>
          <a:ext cx="1791035" cy="4319348"/>
          <a:chOff x="0" y="9525"/>
          <a:chExt cx="1800000" cy="4319348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24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2400-00000D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2400-00000E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.</a:t>
              </a:r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2400-00000F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2400-000010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2400-000011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2400-000012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2400-000013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2400-000014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24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24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4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</a:t>
            </a:r>
            <a:r>
              <a:rPr lang="pt-BR" sz="1100" b="1" baseline="0">
                <a:solidFill>
                  <a:schemeClr val="tx1"/>
                </a:solidFill>
              </a:rPr>
              <a:t> DE </a:t>
            </a:r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4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 DE DESPESAS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4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CENTROS DE CUSTOS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4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CAIXA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4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CLIENTES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4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FORNECEDORES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400-00000B000000}"/>
              </a:ext>
            </a:extLst>
          </xdr:cNvPr>
          <xdr:cNvSpPr/>
        </xdr:nvSpPr>
        <xdr:spPr>
          <a:xfrm>
            <a:off x="323850" y="3743325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FORMAS</a:t>
            </a:r>
            <a:r>
              <a:rPr lang="pt-BR" sz="1100" b="1" baseline="0">
                <a:solidFill>
                  <a:schemeClr val="tx1"/>
                </a:solidFill>
              </a:rPr>
              <a:t> DE PAGAMENTOS</a:t>
            </a:r>
            <a:endParaRPr lang="pt-BR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2400-00000C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</xdr:grpSp>
    <xdr:clientData/>
  </xdr:twoCellAnchor>
  <xdr:twoCellAnchor>
    <xdr:from>
      <xdr:col>0</xdr:col>
      <xdr:colOff>430307</xdr:colOff>
      <xdr:row>23</xdr:row>
      <xdr:rowOff>82925</xdr:rowOff>
    </xdr:from>
    <xdr:to>
      <xdr:col>1</xdr:col>
      <xdr:colOff>525557</xdr:colOff>
      <xdr:row>27</xdr:row>
      <xdr:rowOff>172814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2400-000016000000}"/>
            </a:ext>
          </a:extLst>
        </xdr:cNvPr>
        <xdr:cNvGrpSpPr/>
      </xdr:nvGrpSpPr>
      <xdr:grpSpPr>
        <a:xfrm>
          <a:off x="430307" y="4464425"/>
          <a:ext cx="704850" cy="851889"/>
          <a:chOff x="549089" y="4493559"/>
          <a:chExt cx="704850" cy="851889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24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8614" y="4493559"/>
            <a:ext cx="663473" cy="556614"/>
          </a:xfrm>
          <a:prstGeom prst="rect">
            <a:avLst/>
          </a:prstGeom>
        </xdr:spPr>
      </xdr:pic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2400-000018000000}"/>
              </a:ext>
            </a:extLst>
          </xdr:cNvPr>
          <xdr:cNvSpPr/>
        </xdr:nvSpPr>
        <xdr:spPr>
          <a:xfrm>
            <a:off x="549089" y="5050173"/>
            <a:ext cx="704850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INICIO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580800</xdr:colOff>
      <xdr:row>22</xdr:row>
      <xdr:rowOff>58513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2500-00001C000000}"/>
            </a:ext>
          </a:extLst>
        </xdr:cNvPr>
        <xdr:cNvGrpSpPr/>
      </xdr:nvGrpSpPr>
      <xdr:grpSpPr>
        <a:xfrm>
          <a:off x="0" y="0"/>
          <a:ext cx="1800000" cy="5316313"/>
          <a:chOff x="0" y="0"/>
          <a:chExt cx="1800000" cy="5316313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00000000-0008-0000-2500-000002000000}"/>
              </a:ext>
            </a:extLst>
          </xdr:cNvPr>
          <xdr:cNvGrpSpPr/>
        </xdr:nvGrpSpPr>
        <xdr:grpSpPr>
          <a:xfrm>
            <a:off x="0" y="0"/>
            <a:ext cx="1800000" cy="4319348"/>
            <a:chOff x="0" y="9525"/>
            <a:chExt cx="1800000" cy="4319348"/>
          </a:xfrm>
        </xdr:grpSpPr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00000000-0008-0000-2500-000003000000}"/>
                </a:ext>
              </a:extLst>
            </xdr:cNvPr>
            <xdr:cNvGrpSpPr/>
          </xdr:nvGrpSpPr>
          <xdr:grpSpPr>
            <a:xfrm>
              <a:off x="0" y="9525"/>
              <a:ext cx="1800000" cy="4319348"/>
              <a:chOff x="1514476" y="1000125"/>
              <a:chExt cx="2057400" cy="4346671"/>
            </a:xfrm>
          </xdr:grpSpPr>
          <xdr:sp macro="" textlink="">
            <xdr:nvSpPr>
              <xdr:cNvPr id="13" name="Retângulo 12">
                <a:extLst>
                  <a:ext uri="{FF2B5EF4-FFF2-40B4-BE49-F238E27FC236}">
                    <a16:creationId xmlns:a16="http://schemas.microsoft.com/office/drawing/2014/main" id="{00000000-0008-0000-2500-00000D000000}"/>
                  </a:ext>
                </a:extLst>
              </xdr:cNvPr>
              <xdr:cNvSpPr/>
            </xdr:nvSpPr>
            <xdr:spPr>
              <a:xfrm>
                <a:off x="1574349" y="1000125"/>
                <a:ext cx="1990725" cy="733425"/>
              </a:xfrm>
              <a:prstGeom prst="rect">
                <a:avLst/>
              </a:prstGeom>
              <a:solidFill>
                <a:srgbClr val="00B05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4" name="Retângulo 13">
                <a:extLst>
                  <a:ext uri="{FF2B5EF4-FFF2-40B4-BE49-F238E27FC236}">
                    <a16:creationId xmlns:a16="http://schemas.microsoft.com/office/drawing/2014/main" id="{00000000-0008-0000-2500-00000E000000}"/>
                  </a:ext>
                </a:extLst>
              </xdr:cNvPr>
              <xdr:cNvSpPr/>
            </xdr:nvSpPr>
            <xdr:spPr>
              <a:xfrm>
                <a:off x="1514476" y="1724023"/>
                <a:ext cx="2057400" cy="3622773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.</a:t>
                </a:r>
              </a:p>
            </xdr:txBody>
          </xdr:sp>
          <xdr:sp macro="" textlink="">
            <xdr:nvSpPr>
              <xdr:cNvPr id="15" name="Retângulo: Cantos Arredondados 14">
                <a:extLst>
                  <a:ext uri="{FF2B5EF4-FFF2-40B4-BE49-F238E27FC236}">
                    <a16:creationId xmlns:a16="http://schemas.microsoft.com/office/drawing/2014/main" id="{00000000-0008-0000-2500-00000F000000}"/>
                  </a:ext>
                </a:extLst>
              </xdr:cNvPr>
              <xdr:cNvSpPr/>
            </xdr:nvSpPr>
            <xdr:spPr>
              <a:xfrm>
                <a:off x="1609725" y="1828800"/>
                <a:ext cx="1857375" cy="361950"/>
              </a:xfrm>
              <a:prstGeom prst="roundRect">
                <a:avLst/>
              </a:prstGeom>
              <a:solidFill>
                <a:srgbClr val="00B05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6" name="Retângulo: Cantos Arredondados 15">
                <a:extLst>
                  <a:ext uri="{FF2B5EF4-FFF2-40B4-BE49-F238E27FC236}">
                    <a16:creationId xmlns:a16="http://schemas.microsoft.com/office/drawing/2014/main" id="{00000000-0008-0000-2500-000010000000}"/>
                  </a:ext>
                </a:extLst>
              </xdr:cNvPr>
              <xdr:cNvSpPr/>
            </xdr:nvSpPr>
            <xdr:spPr>
              <a:xfrm>
                <a:off x="1609726" y="2333624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7" name="Retângulo: Cantos Arredondados 16">
                <a:extLst>
                  <a:ext uri="{FF2B5EF4-FFF2-40B4-BE49-F238E27FC236}">
                    <a16:creationId xmlns:a16="http://schemas.microsoft.com/office/drawing/2014/main" id="{00000000-0008-0000-2500-000011000000}"/>
                  </a:ext>
                </a:extLst>
              </xdr:cNvPr>
              <xdr:cNvSpPr/>
            </xdr:nvSpPr>
            <xdr:spPr>
              <a:xfrm>
                <a:off x="1609726" y="2828924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8" name="Retângulo: Cantos Arredondados 17">
                <a:extLst>
                  <a:ext uri="{FF2B5EF4-FFF2-40B4-BE49-F238E27FC236}">
                    <a16:creationId xmlns:a16="http://schemas.microsoft.com/office/drawing/2014/main" id="{00000000-0008-0000-2500-000012000000}"/>
                  </a:ext>
                </a:extLst>
              </xdr:cNvPr>
              <xdr:cNvSpPr/>
            </xdr:nvSpPr>
            <xdr:spPr>
              <a:xfrm>
                <a:off x="1619251" y="3324224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9" name="Retângulo: Cantos Arredondados 18">
                <a:extLst>
                  <a:ext uri="{FF2B5EF4-FFF2-40B4-BE49-F238E27FC236}">
                    <a16:creationId xmlns:a16="http://schemas.microsoft.com/office/drawing/2014/main" id="{00000000-0008-0000-2500-000013000000}"/>
                  </a:ext>
                </a:extLst>
              </xdr:cNvPr>
              <xdr:cNvSpPr/>
            </xdr:nvSpPr>
            <xdr:spPr>
              <a:xfrm>
                <a:off x="1619250" y="3838575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20" name="Retângulo: Cantos Arredondados 19">
                <a:extLst>
                  <a:ext uri="{FF2B5EF4-FFF2-40B4-BE49-F238E27FC236}">
                    <a16:creationId xmlns:a16="http://schemas.microsoft.com/office/drawing/2014/main" id="{00000000-0008-0000-2500-000014000000}"/>
                  </a:ext>
                </a:extLst>
              </xdr:cNvPr>
              <xdr:cNvSpPr/>
            </xdr:nvSpPr>
            <xdr:spPr>
              <a:xfrm>
                <a:off x="1619250" y="4333875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pic>
            <xdr:nvPicPr>
              <xdr:cNvPr id="21" name="Imagem 20">
                <a:extLst>
                  <a:ext uri="{FF2B5EF4-FFF2-40B4-BE49-F238E27FC236}">
                    <a16:creationId xmlns:a16="http://schemas.microsoft.com/office/drawing/2014/main" id="{00000000-0008-0000-2500-00001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581150" y="1123950"/>
                <a:ext cx="572451" cy="477202"/>
              </a:xfrm>
              <a:prstGeom prst="rect">
                <a:avLst/>
              </a:prstGeom>
            </xdr:spPr>
          </xdr:pic>
        </xdr:grpSp>
        <xdr:sp macro="" textlink="">
          <xdr:nvSpPr>
            <xdr:cNvPr id="4" name="Retângulo 3">
              <a:extLst>
                <a:ext uri="{FF2B5EF4-FFF2-40B4-BE49-F238E27FC236}">
                  <a16:creationId xmlns:a16="http://schemas.microsoft.com/office/drawing/2014/main" id="{00000000-0008-0000-2500-000004000000}"/>
                </a:ext>
              </a:extLst>
            </xdr:cNvPr>
            <xdr:cNvSpPr>
              <a:spLocks/>
            </xdr:cNvSpPr>
          </xdr:nvSpPr>
          <xdr:spPr>
            <a:xfrm>
              <a:off x="454634" y="238125"/>
              <a:ext cx="1328987" cy="33337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5" name="Retângulo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2500-000005000000}"/>
                </a:ext>
              </a:extLst>
            </xdr:cNvPr>
            <xdr:cNvSpPr/>
          </xdr:nvSpPr>
          <xdr:spPr>
            <a:xfrm>
              <a:off x="209551" y="1865058"/>
              <a:ext cx="1485899" cy="29743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CONTAS</a:t>
              </a:r>
              <a:r>
                <a:rPr lang="pt-BR" sz="1100" b="1" baseline="0">
                  <a:solidFill>
                    <a:schemeClr val="tx1"/>
                  </a:solidFill>
                </a:rPr>
                <a:t> DE </a:t>
              </a:r>
              <a:r>
                <a:rPr lang="pt-BR" sz="1100" b="1">
                  <a:solidFill>
                    <a:schemeClr val="tx1"/>
                  </a:solidFill>
                </a:rPr>
                <a:t>RECEITAS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2500-000006000000}"/>
                </a:ext>
              </a:extLst>
            </xdr:cNvPr>
            <xdr:cNvSpPr/>
          </xdr:nvSpPr>
          <xdr:spPr>
            <a:xfrm>
              <a:off x="219077" y="2357188"/>
              <a:ext cx="1495424" cy="29743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CONTAS DE DESPESAS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2500-000007000000}"/>
                </a:ext>
              </a:extLst>
            </xdr:cNvPr>
            <xdr:cNvSpPr/>
          </xdr:nvSpPr>
          <xdr:spPr>
            <a:xfrm>
              <a:off x="278494" y="2855408"/>
              <a:ext cx="1434408" cy="33127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CENTROS DE CUSTOS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2500-000008000000}"/>
                </a:ext>
              </a:extLst>
            </xdr:cNvPr>
            <xdr:cNvSpPr/>
          </xdr:nvSpPr>
          <xdr:spPr>
            <a:xfrm>
              <a:off x="393701" y="3347479"/>
              <a:ext cx="1043012" cy="29743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CAIXA</a:t>
              </a:r>
            </a:p>
          </xdr:txBody>
        </xdr:sp>
        <xdr:sp macro="" textlink="">
          <xdr:nvSpPr>
            <xdr:cNvPr id="9" name="Retângulo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2500-000009000000}"/>
                </a:ext>
              </a:extLst>
            </xdr:cNvPr>
            <xdr:cNvSpPr/>
          </xdr:nvSpPr>
          <xdr:spPr>
            <a:xfrm>
              <a:off x="219075" y="857250"/>
              <a:ext cx="1304925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CLIENTES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2500-00000A000000}"/>
                </a:ext>
              </a:extLst>
            </xdr:cNvPr>
            <xdr:cNvSpPr/>
          </xdr:nvSpPr>
          <xdr:spPr>
            <a:xfrm>
              <a:off x="259436" y="1364201"/>
              <a:ext cx="1358064" cy="29026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FORNECEDORES</a:t>
              </a:r>
            </a:p>
          </xdr:txBody>
        </xdr:sp>
        <xdr:sp macro="" textlink="">
          <xdr:nvSpPr>
            <xdr:cNvPr id="11" name="Retângulo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500-00000B000000}"/>
                </a:ext>
              </a:extLst>
            </xdr:cNvPr>
            <xdr:cNvSpPr/>
          </xdr:nvSpPr>
          <xdr:spPr>
            <a:xfrm>
              <a:off x="323850" y="3743325"/>
              <a:ext cx="1304925" cy="4667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FORMAS</a:t>
              </a:r>
              <a:r>
                <a:rPr lang="pt-BR" sz="1100" b="1" baseline="0">
                  <a:solidFill>
                    <a:schemeClr val="tx1"/>
                  </a:solidFill>
                </a:rPr>
                <a:t> DE PAGAMENTOS</a:t>
              </a:r>
              <a:endParaRPr lang="pt-BR" sz="1100" b="1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2" name="Retângulo: Cantos Arredondados 11">
              <a:extLst>
                <a:ext uri="{FF2B5EF4-FFF2-40B4-BE49-F238E27FC236}">
                  <a16:creationId xmlns:a16="http://schemas.microsoft.com/office/drawing/2014/main" id="{00000000-0008-0000-2500-00000C000000}"/>
                </a:ext>
              </a:extLst>
            </xdr:cNvPr>
            <xdr:cNvSpPr/>
          </xdr:nvSpPr>
          <xdr:spPr>
            <a:xfrm>
              <a:off x="95250" y="3810000"/>
              <a:ext cx="1625000" cy="359675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</xdr:grpSp>
      <xdr:grpSp>
        <xdr:nvGrpSpPr>
          <xdr:cNvPr id="22" name="Agrupar 2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2500-000016000000}"/>
              </a:ext>
            </a:extLst>
          </xdr:cNvPr>
          <xdr:cNvGrpSpPr/>
        </xdr:nvGrpSpPr>
        <xdr:grpSpPr>
          <a:xfrm>
            <a:off x="430303" y="4464424"/>
            <a:ext cx="704850" cy="851889"/>
            <a:chOff x="549089" y="4493559"/>
            <a:chExt cx="704850" cy="851889"/>
          </a:xfrm>
        </xdr:grpSpPr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0000000-0008-0000-2500-00001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8614" y="4493559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00000000-0008-0000-2500-000018000000}"/>
                </a:ext>
              </a:extLst>
            </xdr:cNvPr>
            <xdr:cNvSpPr/>
          </xdr:nvSpPr>
          <xdr:spPr>
            <a:xfrm>
              <a:off x="549089" y="5050173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</xdr:grpSp>
    <xdr:clientData/>
  </xdr:twoCellAnchor>
  <xdr:twoCellAnchor editAs="absolute">
    <xdr:from>
      <xdr:col>3</xdr:col>
      <xdr:colOff>100853</xdr:colOff>
      <xdr:row>3</xdr:row>
      <xdr:rowOff>89647</xdr:rowOff>
    </xdr:from>
    <xdr:to>
      <xdr:col>9</xdr:col>
      <xdr:colOff>425824</xdr:colOff>
      <xdr:row>17</xdr:row>
      <xdr:rowOff>145676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2500-00001D000000}"/>
            </a:ext>
          </a:extLst>
        </xdr:cNvPr>
        <xdr:cNvSpPr/>
      </xdr:nvSpPr>
      <xdr:spPr>
        <a:xfrm>
          <a:off x="2215403" y="775447"/>
          <a:ext cx="9287996" cy="3570754"/>
        </a:xfrm>
        <a:prstGeom prst="roundRect">
          <a:avLst>
            <a:gd name="adj" fmla="val 4592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147357</xdr:colOff>
      <xdr:row>18</xdr:row>
      <xdr:rowOff>93569</xdr:rowOff>
    </xdr:from>
    <xdr:to>
      <xdr:col>5</xdr:col>
      <xdr:colOff>358588</xdr:colOff>
      <xdr:row>20</xdr:row>
      <xdr:rowOff>123264</xdr:rowOff>
    </xdr:to>
    <xdr:sp macro="[0]!FORM_Gravar_Clientes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2500-00001E000000}"/>
            </a:ext>
          </a:extLst>
        </xdr:cNvPr>
        <xdr:cNvSpPr/>
      </xdr:nvSpPr>
      <xdr:spPr>
        <a:xfrm>
          <a:off x="2366682" y="4560794"/>
          <a:ext cx="2173381" cy="429745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1095375</xdr:colOff>
      <xdr:row>18</xdr:row>
      <xdr:rowOff>95250</xdr:rowOff>
    </xdr:from>
    <xdr:to>
      <xdr:col>9</xdr:col>
      <xdr:colOff>458881</xdr:colOff>
      <xdr:row>20</xdr:row>
      <xdr:rowOff>124945</xdr:rowOff>
    </xdr:to>
    <xdr:sp macro="" textlink="">
      <xdr:nvSpPr>
        <xdr:cNvPr id="31" name="Retângulo: Cantos Arredondado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500-00001F000000}"/>
            </a:ext>
          </a:extLst>
        </xdr:cNvPr>
        <xdr:cNvSpPr/>
      </xdr:nvSpPr>
      <xdr:spPr>
        <a:xfrm>
          <a:off x="9525000" y="4562475"/>
          <a:ext cx="1763806" cy="42974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580800</xdr:colOff>
      <xdr:row>22</xdr:row>
      <xdr:rowOff>58513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2600-000019000000}"/>
            </a:ext>
          </a:extLst>
        </xdr:cNvPr>
        <xdr:cNvGrpSpPr/>
      </xdr:nvGrpSpPr>
      <xdr:grpSpPr>
        <a:xfrm>
          <a:off x="0" y="0"/>
          <a:ext cx="1800000" cy="5316313"/>
          <a:chOff x="0" y="0"/>
          <a:chExt cx="1800000" cy="5316313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00000000-0008-0000-2600-000002000000}"/>
              </a:ext>
            </a:extLst>
          </xdr:cNvPr>
          <xdr:cNvGrpSpPr/>
        </xdr:nvGrpSpPr>
        <xdr:grpSpPr>
          <a:xfrm>
            <a:off x="0" y="0"/>
            <a:ext cx="1800000" cy="4319348"/>
            <a:chOff x="0" y="9525"/>
            <a:chExt cx="1800000" cy="4319348"/>
          </a:xfrm>
        </xdr:grpSpPr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00000000-0008-0000-2600-000003000000}"/>
                </a:ext>
              </a:extLst>
            </xdr:cNvPr>
            <xdr:cNvGrpSpPr/>
          </xdr:nvGrpSpPr>
          <xdr:grpSpPr>
            <a:xfrm>
              <a:off x="0" y="9525"/>
              <a:ext cx="1800000" cy="4319348"/>
              <a:chOff x="1514476" y="1000125"/>
              <a:chExt cx="2057400" cy="4346671"/>
            </a:xfrm>
          </xdr:grpSpPr>
          <xdr:sp macro="" textlink="">
            <xdr:nvSpPr>
              <xdr:cNvPr id="13" name="Retângulo 12">
                <a:extLst>
                  <a:ext uri="{FF2B5EF4-FFF2-40B4-BE49-F238E27FC236}">
                    <a16:creationId xmlns:a16="http://schemas.microsoft.com/office/drawing/2014/main" id="{00000000-0008-0000-2600-00000D000000}"/>
                  </a:ext>
                </a:extLst>
              </xdr:cNvPr>
              <xdr:cNvSpPr/>
            </xdr:nvSpPr>
            <xdr:spPr>
              <a:xfrm>
                <a:off x="1574349" y="1000125"/>
                <a:ext cx="1990725" cy="733425"/>
              </a:xfrm>
              <a:prstGeom prst="rect">
                <a:avLst/>
              </a:prstGeom>
              <a:solidFill>
                <a:srgbClr val="00B05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4" name="Retângulo 13">
                <a:extLst>
                  <a:ext uri="{FF2B5EF4-FFF2-40B4-BE49-F238E27FC236}">
                    <a16:creationId xmlns:a16="http://schemas.microsoft.com/office/drawing/2014/main" id="{00000000-0008-0000-2600-00000E000000}"/>
                  </a:ext>
                </a:extLst>
              </xdr:cNvPr>
              <xdr:cNvSpPr/>
            </xdr:nvSpPr>
            <xdr:spPr>
              <a:xfrm>
                <a:off x="1514476" y="1724023"/>
                <a:ext cx="2057400" cy="3622773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.</a:t>
                </a:r>
              </a:p>
            </xdr:txBody>
          </xdr:sp>
          <xdr:sp macro="" textlink="">
            <xdr:nvSpPr>
              <xdr:cNvPr id="15" name="Retângulo: Cantos Arredondados 14">
                <a:extLst>
                  <a:ext uri="{FF2B5EF4-FFF2-40B4-BE49-F238E27FC236}">
                    <a16:creationId xmlns:a16="http://schemas.microsoft.com/office/drawing/2014/main" id="{00000000-0008-0000-2600-00000F000000}"/>
                  </a:ext>
                </a:extLst>
              </xdr:cNvPr>
              <xdr:cNvSpPr/>
            </xdr:nvSpPr>
            <xdr:spPr>
              <a:xfrm>
                <a:off x="1609725" y="1828800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6" name="Retângulo: Cantos Arredondados 15">
                <a:extLst>
                  <a:ext uri="{FF2B5EF4-FFF2-40B4-BE49-F238E27FC236}">
                    <a16:creationId xmlns:a16="http://schemas.microsoft.com/office/drawing/2014/main" id="{00000000-0008-0000-2600-000010000000}"/>
                  </a:ext>
                </a:extLst>
              </xdr:cNvPr>
              <xdr:cNvSpPr/>
            </xdr:nvSpPr>
            <xdr:spPr>
              <a:xfrm>
                <a:off x="1609726" y="2333624"/>
                <a:ext cx="1857375" cy="361950"/>
              </a:xfrm>
              <a:prstGeom prst="roundRect">
                <a:avLst/>
              </a:prstGeom>
              <a:solidFill>
                <a:srgbClr val="00B05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7" name="Retângulo: Cantos Arredondados 16">
                <a:extLst>
                  <a:ext uri="{FF2B5EF4-FFF2-40B4-BE49-F238E27FC236}">
                    <a16:creationId xmlns:a16="http://schemas.microsoft.com/office/drawing/2014/main" id="{00000000-0008-0000-2600-000011000000}"/>
                  </a:ext>
                </a:extLst>
              </xdr:cNvPr>
              <xdr:cNvSpPr/>
            </xdr:nvSpPr>
            <xdr:spPr>
              <a:xfrm>
                <a:off x="1609726" y="2828924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8" name="Retângulo: Cantos Arredondados 17">
                <a:extLst>
                  <a:ext uri="{FF2B5EF4-FFF2-40B4-BE49-F238E27FC236}">
                    <a16:creationId xmlns:a16="http://schemas.microsoft.com/office/drawing/2014/main" id="{00000000-0008-0000-2600-000012000000}"/>
                  </a:ext>
                </a:extLst>
              </xdr:cNvPr>
              <xdr:cNvSpPr/>
            </xdr:nvSpPr>
            <xdr:spPr>
              <a:xfrm>
                <a:off x="1619251" y="3324224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19" name="Retângulo: Cantos Arredondados 18">
                <a:extLst>
                  <a:ext uri="{FF2B5EF4-FFF2-40B4-BE49-F238E27FC236}">
                    <a16:creationId xmlns:a16="http://schemas.microsoft.com/office/drawing/2014/main" id="{00000000-0008-0000-2600-000013000000}"/>
                  </a:ext>
                </a:extLst>
              </xdr:cNvPr>
              <xdr:cNvSpPr/>
            </xdr:nvSpPr>
            <xdr:spPr>
              <a:xfrm>
                <a:off x="1619250" y="3838575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sp macro="" textlink="">
            <xdr:nvSpPr>
              <xdr:cNvPr id="20" name="Retângulo: Cantos Arredondados 19">
                <a:extLst>
                  <a:ext uri="{FF2B5EF4-FFF2-40B4-BE49-F238E27FC236}">
                    <a16:creationId xmlns:a16="http://schemas.microsoft.com/office/drawing/2014/main" id="{00000000-0008-0000-2600-000014000000}"/>
                  </a:ext>
                </a:extLst>
              </xdr:cNvPr>
              <xdr:cNvSpPr/>
            </xdr:nvSpPr>
            <xdr:spPr>
              <a:xfrm>
                <a:off x="1619250" y="4333875"/>
                <a:ext cx="1857375" cy="361950"/>
              </a:xfrm>
              <a:prstGeom prst="round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800" b="1">
                    <a:solidFill>
                      <a:schemeClr val="tx1"/>
                    </a:solidFill>
                  </a:rPr>
                  <a:t>&gt;</a:t>
                </a:r>
              </a:p>
            </xdr:txBody>
          </xdr:sp>
          <xdr:pic>
            <xdr:nvPicPr>
              <xdr:cNvPr id="21" name="Imagem 20">
                <a:extLst>
                  <a:ext uri="{FF2B5EF4-FFF2-40B4-BE49-F238E27FC236}">
                    <a16:creationId xmlns:a16="http://schemas.microsoft.com/office/drawing/2014/main" id="{00000000-0008-0000-2600-00001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581150" y="1123950"/>
                <a:ext cx="572451" cy="477202"/>
              </a:xfrm>
              <a:prstGeom prst="rect">
                <a:avLst/>
              </a:prstGeom>
            </xdr:spPr>
          </xdr:pic>
        </xdr:grpSp>
        <xdr:sp macro="" textlink="">
          <xdr:nvSpPr>
            <xdr:cNvPr id="4" name="Retângulo 3">
              <a:extLst>
                <a:ext uri="{FF2B5EF4-FFF2-40B4-BE49-F238E27FC236}">
                  <a16:creationId xmlns:a16="http://schemas.microsoft.com/office/drawing/2014/main" id="{00000000-0008-0000-2600-000004000000}"/>
                </a:ext>
              </a:extLst>
            </xdr:cNvPr>
            <xdr:cNvSpPr>
              <a:spLocks/>
            </xdr:cNvSpPr>
          </xdr:nvSpPr>
          <xdr:spPr>
            <a:xfrm>
              <a:off x="454634" y="238125"/>
              <a:ext cx="1328987" cy="33337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CADASTROS</a:t>
              </a:r>
            </a:p>
          </xdr:txBody>
        </xdr:sp>
        <xdr:sp macro="" textlink="">
          <xdr:nvSpPr>
            <xdr:cNvPr id="5" name="Retângulo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2600-000005000000}"/>
                </a:ext>
              </a:extLst>
            </xdr:cNvPr>
            <xdr:cNvSpPr/>
          </xdr:nvSpPr>
          <xdr:spPr>
            <a:xfrm>
              <a:off x="209551" y="1865058"/>
              <a:ext cx="1485899" cy="29743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CONTAS</a:t>
              </a:r>
              <a:r>
                <a:rPr lang="pt-BR" sz="1100" b="1" baseline="0">
                  <a:solidFill>
                    <a:schemeClr val="tx1"/>
                  </a:solidFill>
                </a:rPr>
                <a:t> DE </a:t>
              </a:r>
              <a:r>
                <a:rPr lang="pt-BR" sz="1100" b="1">
                  <a:solidFill>
                    <a:schemeClr val="tx1"/>
                  </a:solidFill>
                </a:rPr>
                <a:t>RECEITAS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2600-000006000000}"/>
                </a:ext>
              </a:extLst>
            </xdr:cNvPr>
            <xdr:cNvSpPr/>
          </xdr:nvSpPr>
          <xdr:spPr>
            <a:xfrm>
              <a:off x="219077" y="2357188"/>
              <a:ext cx="1495424" cy="29743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CONTAS DE DESPESAS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2600-000007000000}"/>
                </a:ext>
              </a:extLst>
            </xdr:cNvPr>
            <xdr:cNvSpPr/>
          </xdr:nvSpPr>
          <xdr:spPr>
            <a:xfrm>
              <a:off x="278494" y="2855408"/>
              <a:ext cx="1434408" cy="33127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CENTROS DE CUSTOS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2600-000008000000}"/>
                </a:ext>
              </a:extLst>
            </xdr:cNvPr>
            <xdr:cNvSpPr/>
          </xdr:nvSpPr>
          <xdr:spPr>
            <a:xfrm>
              <a:off x="393701" y="3347479"/>
              <a:ext cx="1043012" cy="29743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CAIXA</a:t>
              </a:r>
            </a:p>
          </xdr:txBody>
        </xdr:sp>
        <xdr:sp macro="" textlink="">
          <xdr:nvSpPr>
            <xdr:cNvPr id="9" name="Retângulo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2600-000009000000}"/>
                </a:ext>
              </a:extLst>
            </xdr:cNvPr>
            <xdr:cNvSpPr/>
          </xdr:nvSpPr>
          <xdr:spPr>
            <a:xfrm>
              <a:off x="219075" y="857250"/>
              <a:ext cx="1304925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CLIENTES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2600-00000A000000}"/>
                </a:ext>
              </a:extLst>
            </xdr:cNvPr>
            <xdr:cNvSpPr/>
          </xdr:nvSpPr>
          <xdr:spPr>
            <a:xfrm>
              <a:off x="259436" y="1364201"/>
              <a:ext cx="1358064" cy="29026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bg1"/>
                  </a:solidFill>
                </a:rPr>
                <a:t>FORNECEDORES</a:t>
              </a:r>
            </a:p>
          </xdr:txBody>
        </xdr:sp>
        <xdr:sp macro="" textlink="">
          <xdr:nvSpPr>
            <xdr:cNvPr id="11" name="Retângulo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600-00000B000000}"/>
                </a:ext>
              </a:extLst>
            </xdr:cNvPr>
            <xdr:cNvSpPr/>
          </xdr:nvSpPr>
          <xdr:spPr>
            <a:xfrm>
              <a:off x="323850" y="3743325"/>
              <a:ext cx="1304925" cy="4667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FORMAS</a:t>
              </a:r>
              <a:r>
                <a:rPr lang="pt-BR" sz="1100" b="1" baseline="0">
                  <a:solidFill>
                    <a:schemeClr val="tx1"/>
                  </a:solidFill>
                </a:rPr>
                <a:t> DE PAGAMENTOS</a:t>
              </a:r>
              <a:endParaRPr lang="pt-BR" sz="1100" b="1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2" name="Retângulo: Cantos Arredondados 11">
              <a:extLst>
                <a:ext uri="{FF2B5EF4-FFF2-40B4-BE49-F238E27FC236}">
                  <a16:creationId xmlns:a16="http://schemas.microsoft.com/office/drawing/2014/main" id="{00000000-0008-0000-2600-00000C000000}"/>
                </a:ext>
              </a:extLst>
            </xdr:cNvPr>
            <xdr:cNvSpPr/>
          </xdr:nvSpPr>
          <xdr:spPr>
            <a:xfrm>
              <a:off x="95250" y="3810000"/>
              <a:ext cx="1625000" cy="359675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</xdr:grpSp>
      <xdr:grpSp>
        <xdr:nvGrpSpPr>
          <xdr:cNvPr id="22" name="Agrupar 2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2600-000016000000}"/>
              </a:ext>
            </a:extLst>
          </xdr:cNvPr>
          <xdr:cNvGrpSpPr/>
        </xdr:nvGrpSpPr>
        <xdr:grpSpPr>
          <a:xfrm>
            <a:off x="430303" y="4464424"/>
            <a:ext cx="704850" cy="851889"/>
            <a:chOff x="549089" y="4493559"/>
            <a:chExt cx="704850" cy="851889"/>
          </a:xfrm>
        </xdr:grpSpPr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0000000-0008-0000-2600-00001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58614" y="4493559"/>
              <a:ext cx="663473" cy="556614"/>
            </a:xfrm>
            <a:prstGeom prst="rect">
              <a:avLst/>
            </a:prstGeom>
          </xdr:spPr>
        </xdr:pic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00000000-0008-0000-2600-000018000000}"/>
                </a:ext>
              </a:extLst>
            </xdr:cNvPr>
            <xdr:cNvSpPr/>
          </xdr:nvSpPr>
          <xdr:spPr>
            <a:xfrm>
              <a:off x="549089" y="5050173"/>
              <a:ext cx="704850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chemeClr val="tx1"/>
                  </a:solidFill>
                </a:rPr>
                <a:t>INICIO</a:t>
              </a:r>
            </a:p>
          </xdr:txBody>
        </xdr:sp>
      </xdr:grpSp>
    </xdr:grpSp>
    <xdr:clientData/>
  </xdr:twoCellAnchor>
  <xdr:twoCellAnchor editAs="absolute">
    <xdr:from>
      <xdr:col>3</xdr:col>
      <xdr:colOff>100853</xdr:colOff>
      <xdr:row>3</xdr:row>
      <xdr:rowOff>89647</xdr:rowOff>
    </xdr:from>
    <xdr:to>
      <xdr:col>9</xdr:col>
      <xdr:colOff>425824</xdr:colOff>
      <xdr:row>17</xdr:row>
      <xdr:rowOff>145676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2600-00001A000000}"/>
            </a:ext>
          </a:extLst>
        </xdr:cNvPr>
        <xdr:cNvSpPr/>
      </xdr:nvSpPr>
      <xdr:spPr>
        <a:xfrm>
          <a:off x="2215403" y="775447"/>
          <a:ext cx="9287996" cy="3570754"/>
        </a:xfrm>
        <a:prstGeom prst="roundRect">
          <a:avLst>
            <a:gd name="adj" fmla="val 4592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147357</xdr:colOff>
      <xdr:row>18</xdr:row>
      <xdr:rowOff>93569</xdr:rowOff>
    </xdr:from>
    <xdr:to>
      <xdr:col>5</xdr:col>
      <xdr:colOff>358588</xdr:colOff>
      <xdr:row>20</xdr:row>
      <xdr:rowOff>123264</xdr:rowOff>
    </xdr:to>
    <xdr:sp macro="[0]!FORM_Gravar_Fornecedore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2600-00001B000000}"/>
            </a:ext>
          </a:extLst>
        </xdr:cNvPr>
        <xdr:cNvSpPr/>
      </xdr:nvSpPr>
      <xdr:spPr>
        <a:xfrm>
          <a:off x="2366682" y="4560794"/>
          <a:ext cx="2173381" cy="429745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1095375</xdr:colOff>
      <xdr:row>18</xdr:row>
      <xdr:rowOff>95250</xdr:rowOff>
    </xdr:from>
    <xdr:to>
      <xdr:col>9</xdr:col>
      <xdr:colOff>458881</xdr:colOff>
      <xdr:row>20</xdr:row>
      <xdr:rowOff>124945</xdr:rowOff>
    </xdr:to>
    <xdr:sp macro="" textlink="">
      <xdr:nvSpPr>
        <xdr:cNvPr id="28" name="Retângulo: Cantos Arredondados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600-00001C000000}"/>
            </a:ext>
          </a:extLst>
        </xdr:cNvPr>
        <xdr:cNvSpPr/>
      </xdr:nvSpPr>
      <xdr:spPr>
        <a:xfrm>
          <a:off x="9525000" y="4562475"/>
          <a:ext cx="1763806" cy="42974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580800</xdr:colOff>
      <xdr:row>29</xdr:row>
      <xdr:rowOff>5924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pSpPr/>
      </xdr:nvGrpSpPr>
      <xdr:grpSpPr>
        <a:xfrm>
          <a:off x="0" y="0"/>
          <a:ext cx="1800000" cy="4292174"/>
          <a:chOff x="0" y="9525"/>
          <a:chExt cx="1800000" cy="4319348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27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2700-00000D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2700-00000E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.</a:t>
              </a:r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2700-00000F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2700-000010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2700-000011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solidFill>
              <a:srgbClr val="00B05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2700-000012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2700-000013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2700-000014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27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27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7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CONTAS</a:t>
            </a:r>
            <a:r>
              <a:rPr lang="pt-BR" sz="1100" b="1" baseline="0">
                <a:solidFill>
                  <a:schemeClr val="bg1"/>
                </a:solidFill>
              </a:rPr>
              <a:t> DE </a:t>
            </a:r>
            <a:r>
              <a:rPr lang="pt-BR" sz="1100" b="1">
                <a:solidFill>
                  <a:schemeClr val="bg1"/>
                </a:solidFill>
              </a:rPr>
              <a:t>RECEITAS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7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 DE DESPESAS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7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CENTROS DE CUSTOS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7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CAIXA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7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CLIENTES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7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FORNECEDORES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700-00000B000000}"/>
              </a:ext>
            </a:extLst>
          </xdr:cNvPr>
          <xdr:cNvSpPr/>
        </xdr:nvSpPr>
        <xdr:spPr>
          <a:xfrm>
            <a:off x="323850" y="3743325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FORMAS</a:t>
            </a:r>
            <a:r>
              <a:rPr lang="pt-BR" sz="1100" b="1" baseline="0">
                <a:solidFill>
                  <a:schemeClr val="tx1"/>
                </a:solidFill>
              </a:rPr>
              <a:t> DE PAGAMENTOS</a:t>
            </a:r>
            <a:endParaRPr lang="pt-BR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2700-00000C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</xdr:grpSp>
    <xdr:clientData/>
  </xdr:twoCellAnchor>
  <xdr:twoCellAnchor editAs="absolute">
    <xdr:from>
      <xdr:col>0</xdr:col>
      <xdr:colOff>430303</xdr:colOff>
      <xdr:row>29</xdr:row>
      <xdr:rowOff>178174</xdr:rowOff>
    </xdr:from>
    <xdr:to>
      <xdr:col>1</xdr:col>
      <xdr:colOff>525553</xdr:colOff>
      <xdr:row>34</xdr:row>
      <xdr:rowOff>77563</xdr:rowOff>
    </xdr:to>
    <xdr:grpSp>
      <xdr:nvGrpSpPr>
        <xdr:cNvPr id="22" name="Agrupar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700-000016000000}"/>
            </a:ext>
          </a:extLst>
        </xdr:cNvPr>
        <xdr:cNvGrpSpPr/>
      </xdr:nvGrpSpPr>
      <xdr:grpSpPr>
        <a:xfrm>
          <a:off x="430303" y="4464424"/>
          <a:ext cx="704850" cy="851889"/>
          <a:chOff x="549089" y="4493559"/>
          <a:chExt cx="704850" cy="851889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27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8614" y="4493559"/>
            <a:ext cx="663473" cy="556614"/>
          </a:xfrm>
          <a:prstGeom prst="rect">
            <a:avLst/>
          </a:prstGeom>
        </xdr:spPr>
      </xdr:pic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2700-000018000000}"/>
              </a:ext>
            </a:extLst>
          </xdr:cNvPr>
          <xdr:cNvSpPr/>
        </xdr:nvSpPr>
        <xdr:spPr>
          <a:xfrm>
            <a:off x="549089" y="5050173"/>
            <a:ext cx="704850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INICIO</a:t>
            </a:r>
          </a:p>
        </xdr:txBody>
      </xdr:sp>
    </xdr:grpSp>
    <xdr:clientData/>
  </xdr:twoCellAnchor>
  <xdr:twoCellAnchor editAs="absolute">
    <xdr:from>
      <xdr:col>3</xdr:col>
      <xdr:colOff>100853</xdr:colOff>
      <xdr:row>3</xdr:row>
      <xdr:rowOff>0</xdr:rowOff>
    </xdr:from>
    <xdr:to>
      <xdr:col>9</xdr:col>
      <xdr:colOff>425824</xdr:colOff>
      <xdr:row>3</xdr:row>
      <xdr:rowOff>0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2700-000019000000}"/>
            </a:ext>
          </a:extLst>
        </xdr:cNvPr>
        <xdr:cNvSpPr/>
      </xdr:nvSpPr>
      <xdr:spPr>
        <a:xfrm>
          <a:off x="2215403" y="775447"/>
          <a:ext cx="9287996" cy="1030941"/>
        </a:xfrm>
        <a:prstGeom prst="roundRect">
          <a:avLst>
            <a:gd name="adj" fmla="val 4592"/>
          </a:avLst>
        </a:prstGeom>
        <a:noFill/>
        <a:ln w="76200"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147357</xdr:colOff>
      <xdr:row>3</xdr:row>
      <xdr:rowOff>0</xdr:rowOff>
    </xdr:from>
    <xdr:to>
      <xdr:col>5</xdr:col>
      <xdr:colOff>358588</xdr:colOff>
      <xdr:row>3</xdr:row>
      <xdr:rowOff>0</xdr:rowOff>
    </xdr:to>
    <xdr:sp macro="[0]!FORM_Gravar_Grupo_Receitas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2700-00001A000000}"/>
            </a:ext>
          </a:extLst>
        </xdr:cNvPr>
        <xdr:cNvSpPr/>
      </xdr:nvSpPr>
      <xdr:spPr>
        <a:xfrm>
          <a:off x="2366682" y="2085972"/>
          <a:ext cx="2173381" cy="428628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1095375</xdr:colOff>
      <xdr:row>3</xdr:row>
      <xdr:rowOff>0</xdr:rowOff>
    </xdr:from>
    <xdr:to>
      <xdr:col>9</xdr:col>
      <xdr:colOff>458881</xdr:colOff>
      <xdr:row>3</xdr:row>
      <xdr:rowOff>0</xdr:rowOff>
    </xdr:to>
    <xdr:sp macro="" textlink="">
      <xdr:nvSpPr>
        <xdr:cNvPr id="27" name="Retângulo: Cantos Arredondados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700-00001B000000}"/>
            </a:ext>
          </a:extLst>
        </xdr:cNvPr>
        <xdr:cNvSpPr/>
      </xdr:nvSpPr>
      <xdr:spPr>
        <a:xfrm>
          <a:off x="9525000" y="2087653"/>
          <a:ext cx="1763806" cy="42862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  <xdr:twoCellAnchor editAs="absolute">
    <xdr:from>
      <xdr:col>3</xdr:col>
      <xdr:colOff>100853</xdr:colOff>
      <xdr:row>4</xdr:row>
      <xdr:rowOff>108697</xdr:rowOff>
    </xdr:from>
    <xdr:to>
      <xdr:col>9</xdr:col>
      <xdr:colOff>425824</xdr:colOff>
      <xdr:row>8</xdr:row>
      <xdr:rowOff>187138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2700-00001C000000}"/>
            </a:ext>
          </a:extLst>
        </xdr:cNvPr>
        <xdr:cNvSpPr/>
      </xdr:nvSpPr>
      <xdr:spPr>
        <a:xfrm>
          <a:off x="2215403" y="3147172"/>
          <a:ext cx="9287996" cy="1040466"/>
        </a:xfrm>
        <a:prstGeom prst="roundRect">
          <a:avLst>
            <a:gd name="adj" fmla="val 4592"/>
          </a:avLst>
        </a:prstGeom>
        <a:noFill/>
        <a:ln w="76200"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145674</xdr:colOff>
      <xdr:row>9</xdr:row>
      <xdr:rowOff>104777</xdr:rowOff>
    </xdr:from>
    <xdr:to>
      <xdr:col>5</xdr:col>
      <xdr:colOff>356905</xdr:colOff>
      <xdr:row>21</xdr:row>
      <xdr:rowOff>99173</xdr:rowOff>
    </xdr:to>
    <xdr:sp macro="[0]!FORM_Gravar_Grupo_Receitas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2700-00001D000000}"/>
            </a:ext>
          </a:extLst>
        </xdr:cNvPr>
        <xdr:cNvSpPr/>
      </xdr:nvSpPr>
      <xdr:spPr>
        <a:xfrm>
          <a:off x="2364999" y="4514852"/>
          <a:ext cx="2173381" cy="480171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1093692</xdr:colOff>
      <xdr:row>9</xdr:row>
      <xdr:rowOff>106458</xdr:rowOff>
    </xdr:from>
    <xdr:to>
      <xdr:col>9</xdr:col>
      <xdr:colOff>457198</xdr:colOff>
      <xdr:row>21</xdr:row>
      <xdr:rowOff>91329</xdr:rowOff>
    </xdr:to>
    <xdr:sp macro="" textlink="">
      <xdr:nvSpPr>
        <xdr:cNvPr id="30" name="Retângulo: Cantos Arredondados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700-00001E000000}"/>
            </a:ext>
          </a:extLst>
        </xdr:cNvPr>
        <xdr:cNvSpPr/>
      </xdr:nvSpPr>
      <xdr:spPr>
        <a:xfrm>
          <a:off x="9523317" y="4516533"/>
          <a:ext cx="1763806" cy="47064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  <xdr:twoCellAnchor editAs="absolute">
    <xdr:from>
      <xdr:col>5</xdr:col>
      <xdr:colOff>2263583</xdr:colOff>
      <xdr:row>0</xdr:row>
      <xdr:rowOff>168088</xdr:rowOff>
    </xdr:from>
    <xdr:to>
      <xdr:col>7</xdr:col>
      <xdr:colOff>1298196</xdr:colOff>
      <xdr:row>2</xdr:row>
      <xdr:rowOff>67235</xdr:rowOff>
    </xdr:to>
    <xdr:sp macro="[0]!Esconde_Contas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0000000-0008-0000-2700-00001F000000}"/>
            </a:ext>
          </a:extLst>
        </xdr:cNvPr>
        <xdr:cNvSpPr/>
      </xdr:nvSpPr>
      <xdr:spPr>
        <a:xfrm>
          <a:off x="6245033" y="168088"/>
          <a:ext cx="2092138" cy="356347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1º GRUPO</a:t>
          </a:r>
        </a:p>
      </xdr:txBody>
    </xdr:sp>
    <xdr:clientData/>
  </xdr:twoCellAnchor>
  <xdr:twoCellAnchor editAs="absolute">
    <xdr:from>
      <xdr:col>8</xdr:col>
      <xdr:colOff>4478</xdr:colOff>
      <xdr:row>0</xdr:row>
      <xdr:rowOff>168088</xdr:rowOff>
    </xdr:from>
    <xdr:to>
      <xdr:col>8</xdr:col>
      <xdr:colOff>1981755</xdr:colOff>
      <xdr:row>2</xdr:row>
      <xdr:rowOff>67235</xdr:rowOff>
    </xdr:to>
    <xdr:sp macro="[0]!Abre_Contas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2700-000020000000}"/>
            </a:ext>
          </a:extLst>
        </xdr:cNvPr>
        <xdr:cNvSpPr/>
      </xdr:nvSpPr>
      <xdr:spPr>
        <a:xfrm>
          <a:off x="8529353" y="168088"/>
          <a:ext cx="2082052" cy="356347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2º CONTA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580800</xdr:colOff>
      <xdr:row>26</xdr:row>
      <xdr:rowOff>186899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>
          <a:off x="0" y="9525"/>
          <a:ext cx="1800000" cy="4292174"/>
          <a:chOff x="0" y="9525"/>
          <a:chExt cx="1800000" cy="4319348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2800-00000D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2800-00000E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.</a:t>
              </a:r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2800-00000F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2800-000010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2800-000011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2800-000012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solidFill>
              <a:srgbClr val="00B05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2800-000013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2800-000014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28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28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8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</a:t>
            </a:r>
            <a:r>
              <a:rPr lang="pt-BR" sz="1100" b="1" baseline="0">
                <a:solidFill>
                  <a:schemeClr val="tx1"/>
                </a:solidFill>
              </a:rPr>
              <a:t> DE </a:t>
            </a:r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8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CONTAS DE DESPESAS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8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CENTROS DE CUSTOS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8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CAIXA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8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CLIENTES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8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FORNECEDORES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800-00000B000000}"/>
              </a:ext>
            </a:extLst>
          </xdr:cNvPr>
          <xdr:cNvSpPr/>
        </xdr:nvSpPr>
        <xdr:spPr>
          <a:xfrm>
            <a:off x="323850" y="3743325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FORMAS</a:t>
            </a:r>
            <a:r>
              <a:rPr lang="pt-BR" sz="1100" b="1" baseline="0">
                <a:solidFill>
                  <a:schemeClr val="tx1"/>
                </a:solidFill>
              </a:rPr>
              <a:t> DE PAGAMENTOS</a:t>
            </a:r>
            <a:endParaRPr lang="pt-BR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2800-00000C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</xdr:grpSp>
    <xdr:clientData/>
  </xdr:twoCellAnchor>
  <xdr:twoCellAnchor editAs="absolute">
    <xdr:from>
      <xdr:col>0</xdr:col>
      <xdr:colOff>430303</xdr:colOff>
      <xdr:row>27</xdr:row>
      <xdr:rowOff>168649</xdr:rowOff>
    </xdr:from>
    <xdr:to>
      <xdr:col>1</xdr:col>
      <xdr:colOff>525553</xdr:colOff>
      <xdr:row>32</xdr:row>
      <xdr:rowOff>68038</xdr:rowOff>
    </xdr:to>
    <xdr:grpSp>
      <xdr:nvGrpSpPr>
        <xdr:cNvPr id="22" name="Agrupar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800-000016000000}"/>
            </a:ext>
          </a:extLst>
        </xdr:cNvPr>
        <xdr:cNvGrpSpPr/>
      </xdr:nvGrpSpPr>
      <xdr:grpSpPr>
        <a:xfrm>
          <a:off x="430303" y="4473949"/>
          <a:ext cx="704850" cy="851889"/>
          <a:chOff x="549089" y="4493559"/>
          <a:chExt cx="704850" cy="851889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28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8614" y="4493559"/>
            <a:ext cx="663473" cy="556614"/>
          </a:xfrm>
          <a:prstGeom prst="rect">
            <a:avLst/>
          </a:prstGeom>
        </xdr:spPr>
      </xdr:pic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2800-000018000000}"/>
              </a:ext>
            </a:extLst>
          </xdr:cNvPr>
          <xdr:cNvSpPr/>
        </xdr:nvSpPr>
        <xdr:spPr>
          <a:xfrm>
            <a:off x="549089" y="5050173"/>
            <a:ext cx="704850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INICIO</a:t>
            </a:r>
          </a:p>
        </xdr:txBody>
      </xdr:sp>
    </xdr:grpSp>
    <xdr:clientData/>
  </xdr:twoCellAnchor>
  <xdr:twoCellAnchor editAs="absolute">
    <xdr:from>
      <xdr:col>3</xdr:col>
      <xdr:colOff>100853</xdr:colOff>
      <xdr:row>3</xdr:row>
      <xdr:rowOff>0</xdr:rowOff>
    </xdr:from>
    <xdr:to>
      <xdr:col>9</xdr:col>
      <xdr:colOff>425824</xdr:colOff>
      <xdr:row>3</xdr:row>
      <xdr:rowOff>0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SpPr/>
      </xdr:nvSpPr>
      <xdr:spPr>
        <a:xfrm>
          <a:off x="2215403" y="775447"/>
          <a:ext cx="9287996" cy="1030941"/>
        </a:xfrm>
        <a:prstGeom prst="roundRect">
          <a:avLst>
            <a:gd name="adj" fmla="val 4592"/>
          </a:avLst>
        </a:prstGeom>
        <a:noFill/>
        <a:ln w="76200"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147357</xdr:colOff>
      <xdr:row>3</xdr:row>
      <xdr:rowOff>0</xdr:rowOff>
    </xdr:from>
    <xdr:to>
      <xdr:col>5</xdr:col>
      <xdr:colOff>358588</xdr:colOff>
      <xdr:row>3</xdr:row>
      <xdr:rowOff>0</xdr:rowOff>
    </xdr:to>
    <xdr:sp macro="[0]!FORM_Gravar_Grupo_Depesas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2800-00001A000000}"/>
            </a:ext>
          </a:extLst>
        </xdr:cNvPr>
        <xdr:cNvSpPr/>
      </xdr:nvSpPr>
      <xdr:spPr>
        <a:xfrm>
          <a:off x="2366682" y="2095497"/>
          <a:ext cx="2173381" cy="400053"/>
        </a:xfrm>
        <a:prstGeom prst="roundRect">
          <a:avLst/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1095375</xdr:colOff>
      <xdr:row>3</xdr:row>
      <xdr:rowOff>0</xdr:rowOff>
    </xdr:from>
    <xdr:to>
      <xdr:col>9</xdr:col>
      <xdr:colOff>458881</xdr:colOff>
      <xdr:row>3</xdr:row>
      <xdr:rowOff>0</xdr:rowOff>
    </xdr:to>
    <xdr:sp macro="" textlink="">
      <xdr:nvSpPr>
        <xdr:cNvPr id="27" name="Retângulo: Cantos Arredondados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800-00001B000000}"/>
            </a:ext>
          </a:extLst>
        </xdr:cNvPr>
        <xdr:cNvSpPr/>
      </xdr:nvSpPr>
      <xdr:spPr>
        <a:xfrm>
          <a:off x="9525000" y="2097178"/>
          <a:ext cx="1763806" cy="400053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  <xdr:twoCellAnchor editAs="absolute">
    <xdr:from>
      <xdr:col>5</xdr:col>
      <xdr:colOff>2263588</xdr:colOff>
      <xdr:row>0</xdr:row>
      <xdr:rowOff>168089</xdr:rowOff>
    </xdr:from>
    <xdr:to>
      <xdr:col>7</xdr:col>
      <xdr:colOff>1298201</xdr:colOff>
      <xdr:row>2</xdr:row>
      <xdr:rowOff>67236</xdr:rowOff>
    </xdr:to>
    <xdr:sp macro="[0]!Esconde_Contas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2800-00001C000000}"/>
            </a:ext>
          </a:extLst>
        </xdr:cNvPr>
        <xdr:cNvSpPr/>
      </xdr:nvSpPr>
      <xdr:spPr>
        <a:xfrm>
          <a:off x="6245038" y="168089"/>
          <a:ext cx="2092138" cy="356347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1º GRUPO</a:t>
          </a:r>
        </a:p>
      </xdr:txBody>
    </xdr:sp>
    <xdr:clientData/>
  </xdr:twoCellAnchor>
  <xdr:twoCellAnchor editAs="absolute">
    <xdr:from>
      <xdr:col>8</xdr:col>
      <xdr:colOff>4483</xdr:colOff>
      <xdr:row>0</xdr:row>
      <xdr:rowOff>168089</xdr:rowOff>
    </xdr:from>
    <xdr:to>
      <xdr:col>8</xdr:col>
      <xdr:colOff>1981760</xdr:colOff>
      <xdr:row>2</xdr:row>
      <xdr:rowOff>67236</xdr:rowOff>
    </xdr:to>
    <xdr:sp macro="[0]!Abre_Contas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2800-00001D000000}"/>
            </a:ext>
          </a:extLst>
        </xdr:cNvPr>
        <xdr:cNvSpPr/>
      </xdr:nvSpPr>
      <xdr:spPr>
        <a:xfrm>
          <a:off x="8529358" y="168089"/>
          <a:ext cx="2082052" cy="356347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2º</a:t>
          </a:r>
          <a:r>
            <a:rPr lang="pt-BR" sz="2000" baseline="0"/>
            <a:t> </a:t>
          </a:r>
          <a:r>
            <a:rPr lang="pt-BR" sz="2000"/>
            <a:t>CONTA</a:t>
          </a:r>
        </a:p>
      </xdr:txBody>
    </xdr:sp>
    <xdr:clientData/>
  </xdr:twoCellAnchor>
  <xdr:twoCellAnchor editAs="absolute">
    <xdr:from>
      <xdr:col>3</xdr:col>
      <xdr:colOff>100853</xdr:colOff>
      <xdr:row>12</xdr:row>
      <xdr:rowOff>89647</xdr:rowOff>
    </xdr:from>
    <xdr:to>
      <xdr:col>9</xdr:col>
      <xdr:colOff>425824</xdr:colOff>
      <xdr:row>16</xdr:row>
      <xdr:rowOff>168088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2800-00001E000000}"/>
            </a:ext>
          </a:extLst>
        </xdr:cNvPr>
        <xdr:cNvSpPr/>
      </xdr:nvSpPr>
      <xdr:spPr>
        <a:xfrm>
          <a:off x="2215403" y="3147172"/>
          <a:ext cx="9287996" cy="1040466"/>
        </a:xfrm>
        <a:prstGeom prst="roundRect">
          <a:avLst>
            <a:gd name="adj" fmla="val 4592"/>
          </a:avLst>
        </a:prstGeom>
        <a:noFill/>
        <a:ln w="76200"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147357</xdr:colOff>
      <xdr:row>17</xdr:row>
      <xdr:rowOff>104772</xdr:rowOff>
    </xdr:from>
    <xdr:to>
      <xdr:col>5</xdr:col>
      <xdr:colOff>358588</xdr:colOff>
      <xdr:row>19</xdr:row>
      <xdr:rowOff>82360</xdr:rowOff>
    </xdr:to>
    <xdr:sp macro="[0]!FORM_Gravar_Grupo_Depesas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0000000-0008-0000-2800-00001F000000}"/>
            </a:ext>
          </a:extLst>
        </xdr:cNvPr>
        <xdr:cNvSpPr/>
      </xdr:nvSpPr>
      <xdr:spPr>
        <a:xfrm>
          <a:off x="2366682" y="4533897"/>
          <a:ext cx="2173381" cy="444313"/>
        </a:xfrm>
        <a:prstGeom prst="roundRect">
          <a:avLst/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1095375</xdr:colOff>
      <xdr:row>17</xdr:row>
      <xdr:rowOff>106453</xdr:rowOff>
    </xdr:from>
    <xdr:to>
      <xdr:col>9</xdr:col>
      <xdr:colOff>458881</xdr:colOff>
      <xdr:row>19</xdr:row>
      <xdr:rowOff>84041</xdr:rowOff>
    </xdr:to>
    <xdr:sp macro="" textlink="">
      <xdr:nvSpPr>
        <xdr:cNvPr id="32" name="Retângulo: Cantos Arredondados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800-000020000000}"/>
            </a:ext>
          </a:extLst>
        </xdr:cNvPr>
        <xdr:cNvSpPr/>
      </xdr:nvSpPr>
      <xdr:spPr>
        <a:xfrm>
          <a:off x="9525000" y="4535578"/>
          <a:ext cx="1763806" cy="444313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9526</xdr:rowOff>
    </xdr:from>
    <xdr:to>
      <xdr:col>2</xdr:col>
      <xdr:colOff>580800</xdr:colOff>
      <xdr:row>17</xdr:row>
      <xdr:rowOff>180976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pSpPr/>
      </xdr:nvGrpSpPr>
      <xdr:grpSpPr>
        <a:xfrm>
          <a:off x="0" y="9526"/>
          <a:ext cx="1800000" cy="4362450"/>
          <a:chOff x="0" y="9525"/>
          <a:chExt cx="1800000" cy="4319348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29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2900-00000D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2900-00000E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.</a:t>
              </a:r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2900-00000F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2900-000010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2900-000011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2900-000012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2900-000013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solidFill>
              <a:srgbClr val="00B05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2900-000014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29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29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9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</a:t>
            </a:r>
            <a:r>
              <a:rPr lang="pt-BR" sz="1100" b="1" baseline="0">
                <a:solidFill>
                  <a:schemeClr val="tx1"/>
                </a:solidFill>
              </a:rPr>
              <a:t> DE </a:t>
            </a:r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9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 DE DESPESAS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9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CENTROS DE CUSTOS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9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CAIXA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9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CLIENTES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9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FORNECEDORES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900-00000B000000}"/>
              </a:ext>
            </a:extLst>
          </xdr:cNvPr>
          <xdr:cNvSpPr/>
        </xdr:nvSpPr>
        <xdr:spPr>
          <a:xfrm>
            <a:off x="323850" y="3743325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FORMAS</a:t>
            </a:r>
            <a:r>
              <a:rPr lang="pt-BR" sz="1100" b="1" baseline="0">
                <a:solidFill>
                  <a:schemeClr val="tx1"/>
                </a:solidFill>
              </a:rPr>
              <a:t> DE PAGAMENTOS</a:t>
            </a:r>
            <a:endParaRPr lang="pt-BR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2900-00000C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</xdr:grpSp>
    <xdr:clientData/>
  </xdr:twoCellAnchor>
  <xdr:twoCellAnchor editAs="absolute">
    <xdr:from>
      <xdr:col>0</xdr:col>
      <xdr:colOff>506503</xdr:colOff>
      <xdr:row>18</xdr:row>
      <xdr:rowOff>159124</xdr:rowOff>
    </xdr:from>
    <xdr:to>
      <xdr:col>1</xdr:col>
      <xdr:colOff>601753</xdr:colOff>
      <xdr:row>23</xdr:row>
      <xdr:rowOff>58513</xdr:rowOff>
    </xdr:to>
    <xdr:grpSp>
      <xdr:nvGrpSpPr>
        <xdr:cNvPr id="22" name="Agrupar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GrpSpPr/>
      </xdr:nvGrpSpPr>
      <xdr:grpSpPr>
        <a:xfrm>
          <a:off x="506503" y="4540624"/>
          <a:ext cx="704850" cy="851889"/>
          <a:chOff x="549089" y="4493559"/>
          <a:chExt cx="704850" cy="851889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2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8614" y="4493559"/>
            <a:ext cx="663473" cy="556614"/>
          </a:xfrm>
          <a:prstGeom prst="rect">
            <a:avLst/>
          </a:prstGeom>
        </xdr:spPr>
      </xdr:pic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2900-000018000000}"/>
              </a:ext>
            </a:extLst>
          </xdr:cNvPr>
          <xdr:cNvSpPr/>
        </xdr:nvSpPr>
        <xdr:spPr>
          <a:xfrm>
            <a:off x="549089" y="5050173"/>
            <a:ext cx="704850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INICIO</a:t>
            </a:r>
          </a:p>
        </xdr:txBody>
      </xdr:sp>
    </xdr:grpSp>
    <xdr:clientData/>
  </xdr:twoCellAnchor>
  <xdr:twoCellAnchor editAs="absolute">
    <xdr:from>
      <xdr:col>3</xdr:col>
      <xdr:colOff>161925</xdr:colOff>
      <xdr:row>3</xdr:row>
      <xdr:rowOff>180975</xdr:rowOff>
    </xdr:from>
    <xdr:to>
      <xdr:col>8</xdr:col>
      <xdr:colOff>2039471</xdr:colOff>
      <xdr:row>7</xdr:row>
      <xdr:rowOff>49306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2900-000019000000}"/>
            </a:ext>
          </a:extLst>
        </xdr:cNvPr>
        <xdr:cNvSpPr/>
      </xdr:nvSpPr>
      <xdr:spPr>
        <a:xfrm>
          <a:off x="2381250" y="809625"/>
          <a:ext cx="9278471" cy="963706"/>
        </a:xfrm>
        <a:prstGeom prst="roundRect">
          <a:avLst>
            <a:gd name="adj" fmla="val 4592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161925</xdr:colOff>
      <xdr:row>8</xdr:row>
      <xdr:rowOff>0</xdr:rowOff>
    </xdr:from>
    <xdr:to>
      <xdr:col>5</xdr:col>
      <xdr:colOff>282388</xdr:colOff>
      <xdr:row>9</xdr:row>
      <xdr:rowOff>226358</xdr:rowOff>
    </xdr:to>
    <xdr:sp macro="[0]!FORM_Gravar_Centro_de_Cust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2900-00001A000000}"/>
            </a:ext>
          </a:extLst>
        </xdr:cNvPr>
        <xdr:cNvSpPr/>
      </xdr:nvSpPr>
      <xdr:spPr>
        <a:xfrm>
          <a:off x="2381250" y="2009775"/>
          <a:ext cx="2082613" cy="493058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219636</xdr:colOff>
      <xdr:row>8</xdr:row>
      <xdr:rowOff>1681</xdr:rowOff>
    </xdr:from>
    <xdr:to>
      <xdr:col>8</xdr:col>
      <xdr:colOff>2026024</xdr:colOff>
      <xdr:row>9</xdr:row>
      <xdr:rowOff>228039</xdr:rowOff>
    </xdr:to>
    <xdr:sp macro="" textlink="">
      <xdr:nvSpPr>
        <xdr:cNvPr id="27" name="Retângulo: Cantos Arredondados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900-00001B000000}"/>
            </a:ext>
          </a:extLst>
        </xdr:cNvPr>
        <xdr:cNvSpPr/>
      </xdr:nvSpPr>
      <xdr:spPr>
        <a:xfrm>
          <a:off x="9839886" y="2011456"/>
          <a:ext cx="1806388" cy="49305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580800</xdr:colOff>
      <xdr:row>18</xdr:row>
      <xdr:rowOff>57150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pSpPr/>
      </xdr:nvGrpSpPr>
      <xdr:grpSpPr>
        <a:xfrm>
          <a:off x="0" y="9525"/>
          <a:ext cx="1800000" cy="4429125"/>
          <a:chOff x="0" y="9525"/>
          <a:chExt cx="1800000" cy="4319348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2A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2A00-00000D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2A00-00000E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.</a:t>
              </a:r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2A00-00000F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2A00-000010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2A00-000011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2A00-000012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2A00-000013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2A00-000014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solidFill>
              <a:srgbClr val="00B05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2A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2A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A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</a:t>
            </a:r>
            <a:r>
              <a:rPr lang="pt-BR" sz="1100" b="1" baseline="0">
                <a:solidFill>
                  <a:schemeClr val="tx1"/>
                </a:solidFill>
              </a:rPr>
              <a:t> DE </a:t>
            </a:r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A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 DE DESPESAS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A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CENTROS DE CUSTOS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A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CAIXA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A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CLIENTES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A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FORNECEDORES</a:t>
            </a:r>
          </a:p>
        </xdr:txBody>
      </xdr:sp>
      <xdr:sp macro="" textlink="">
        <xdr:nvSpPr>
          <xdr:cNvPr id="11" name="Retângulo 1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A00-00000B000000}"/>
              </a:ext>
            </a:extLst>
          </xdr:cNvPr>
          <xdr:cNvSpPr/>
        </xdr:nvSpPr>
        <xdr:spPr>
          <a:xfrm>
            <a:off x="323850" y="3752614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FORMAS</a:t>
            </a:r>
            <a:r>
              <a:rPr lang="pt-BR" sz="1100" b="1" baseline="0">
                <a:solidFill>
                  <a:schemeClr val="tx1"/>
                </a:solidFill>
              </a:rPr>
              <a:t> DE PAGAMENTOS</a:t>
            </a:r>
            <a:endParaRPr lang="pt-BR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2A00-00000C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</xdr:grpSp>
    <xdr:clientData/>
  </xdr:twoCellAnchor>
  <xdr:twoCellAnchor editAs="absolute">
    <xdr:from>
      <xdr:col>0</xdr:col>
      <xdr:colOff>430305</xdr:colOff>
      <xdr:row>19</xdr:row>
      <xdr:rowOff>111499</xdr:rowOff>
    </xdr:from>
    <xdr:to>
      <xdr:col>1</xdr:col>
      <xdr:colOff>525555</xdr:colOff>
      <xdr:row>24</xdr:row>
      <xdr:rowOff>10888</xdr:rowOff>
    </xdr:to>
    <xdr:grpSp>
      <xdr:nvGrpSpPr>
        <xdr:cNvPr id="22" name="Agrupar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A00-000016000000}"/>
            </a:ext>
          </a:extLst>
        </xdr:cNvPr>
        <xdr:cNvGrpSpPr/>
      </xdr:nvGrpSpPr>
      <xdr:grpSpPr>
        <a:xfrm>
          <a:off x="430305" y="4683499"/>
          <a:ext cx="704850" cy="851889"/>
          <a:chOff x="549089" y="4493559"/>
          <a:chExt cx="704850" cy="851889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2A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8614" y="4493559"/>
            <a:ext cx="663473" cy="556614"/>
          </a:xfrm>
          <a:prstGeom prst="rect">
            <a:avLst/>
          </a:prstGeom>
        </xdr:spPr>
      </xdr:pic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2A00-000018000000}"/>
              </a:ext>
            </a:extLst>
          </xdr:cNvPr>
          <xdr:cNvSpPr/>
        </xdr:nvSpPr>
        <xdr:spPr>
          <a:xfrm>
            <a:off x="549089" y="5050173"/>
            <a:ext cx="704850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INICIO</a:t>
            </a:r>
          </a:p>
        </xdr:txBody>
      </xdr:sp>
    </xdr:grpSp>
    <xdr:clientData/>
  </xdr:twoCellAnchor>
  <xdr:twoCellAnchor editAs="absolute">
    <xdr:from>
      <xdr:col>3</xdr:col>
      <xdr:colOff>100853</xdr:colOff>
      <xdr:row>3</xdr:row>
      <xdr:rowOff>89647</xdr:rowOff>
    </xdr:from>
    <xdr:to>
      <xdr:col>9</xdr:col>
      <xdr:colOff>425824</xdr:colOff>
      <xdr:row>7</xdr:row>
      <xdr:rowOff>112059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2A00-000019000000}"/>
            </a:ext>
          </a:extLst>
        </xdr:cNvPr>
        <xdr:cNvSpPr/>
      </xdr:nvSpPr>
      <xdr:spPr>
        <a:xfrm>
          <a:off x="2215403" y="775447"/>
          <a:ext cx="9287996" cy="936812"/>
        </a:xfrm>
        <a:prstGeom prst="roundRect">
          <a:avLst>
            <a:gd name="adj" fmla="val 4592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68916</xdr:colOff>
      <xdr:row>8</xdr:row>
      <xdr:rowOff>66114</xdr:rowOff>
    </xdr:from>
    <xdr:to>
      <xdr:col>5</xdr:col>
      <xdr:colOff>280147</xdr:colOff>
      <xdr:row>10</xdr:row>
      <xdr:rowOff>43702</xdr:rowOff>
    </xdr:to>
    <xdr:sp macro="[0]!FORM_Gravar_Caix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2A00-00001A000000}"/>
            </a:ext>
          </a:extLst>
        </xdr:cNvPr>
        <xdr:cNvSpPr/>
      </xdr:nvSpPr>
      <xdr:spPr>
        <a:xfrm>
          <a:off x="2288241" y="2075889"/>
          <a:ext cx="2173381" cy="530038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1016934</xdr:colOff>
      <xdr:row>8</xdr:row>
      <xdr:rowOff>67795</xdr:rowOff>
    </xdr:from>
    <xdr:to>
      <xdr:col>9</xdr:col>
      <xdr:colOff>380440</xdr:colOff>
      <xdr:row>10</xdr:row>
      <xdr:rowOff>45383</xdr:rowOff>
    </xdr:to>
    <xdr:sp macro="" textlink="">
      <xdr:nvSpPr>
        <xdr:cNvPr id="27" name="Retângulo: Cantos Arredondados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A00-00001B000000}"/>
            </a:ext>
          </a:extLst>
        </xdr:cNvPr>
        <xdr:cNvSpPr/>
      </xdr:nvSpPr>
      <xdr:spPr>
        <a:xfrm>
          <a:off x="9446559" y="2077570"/>
          <a:ext cx="1763806" cy="53003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580800</xdr:colOff>
      <xdr:row>16</xdr:row>
      <xdr:rowOff>161925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pSpPr/>
      </xdr:nvGrpSpPr>
      <xdr:grpSpPr>
        <a:xfrm>
          <a:off x="0" y="0"/>
          <a:ext cx="1800000" cy="4429125"/>
          <a:chOff x="0" y="9525"/>
          <a:chExt cx="1800000" cy="4319348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GrpSpPr/>
        </xdr:nvGrpSpPr>
        <xdr:grpSpPr>
          <a:xfrm>
            <a:off x="0" y="9525"/>
            <a:ext cx="1800000" cy="4319348"/>
            <a:chOff x="1514476" y="1000125"/>
            <a:chExt cx="2057400" cy="4346671"/>
          </a:xfrm>
        </xdr:grpSpPr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00000000-0008-0000-2B00-00000D000000}"/>
                </a:ext>
              </a:extLst>
            </xdr:cNvPr>
            <xdr:cNvSpPr/>
          </xdr:nvSpPr>
          <xdr:spPr>
            <a:xfrm>
              <a:off x="1574349" y="1000125"/>
              <a:ext cx="1990725" cy="73342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 13">
              <a:extLst>
                <a:ext uri="{FF2B5EF4-FFF2-40B4-BE49-F238E27FC236}">
                  <a16:creationId xmlns:a16="http://schemas.microsoft.com/office/drawing/2014/main" id="{00000000-0008-0000-2B00-00000E000000}"/>
                </a:ext>
              </a:extLst>
            </xdr:cNvPr>
            <xdr:cNvSpPr/>
          </xdr:nvSpPr>
          <xdr:spPr>
            <a:xfrm>
              <a:off x="1514476" y="1724023"/>
              <a:ext cx="2057400" cy="362277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.</a:t>
              </a:r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0000000-0008-0000-2B00-00000F000000}"/>
                </a:ext>
              </a:extLst>
            </xdr:cNvPr>
            <xdr:cNvSpPr/>
          </xdr:nvSpPr>
          <xdr:spPr>
            <a:xfrm>
              <a:off x="1609725" y="1828800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6" name="Retângulo: Cantos Arredondados 15">
              <a:extLst>
                <a:ext uri="{FF2B5EF4-FFF2-40B4-BE49-F238E27FC236}">
                  <a16:creationId xmlns:a16="http://schemas.microsoft.com/office/drawing/2014/main" id="{00000000-0008-0000-2B00-000010000000}"/>
                </a:ext>
              </a:extLst>
            </xdr:cNvPr>
            <xdr:cNvSpPr/>
          </xdr:nvSpPr>
          <xdr:spPr>
            <a:xfrm>
              <a:off x="1609726" y="23336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2B00-000011000000}"/>
                </a:ext>
              </a:extLst>
            </xdr:cNvPr>
            <xdr:cNvSpPr/>
          </xdr:nvSpPr>
          <xdr:spPr>
            <a:xfrm>
              <a:off x="1609726" y="28289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8" name="Retângulo: Cantos Arredondados 17">
              <a:extLst>
                <a:ext uri="{FF2B5EF4-FFF2-40B4-BE49-F238E27FC236}">
                  <a16:creationId xmlns:a16="http://schemas.microsoft.com/office/drawing/2014/main" id="{00000000-0008-0000-2B00-000012000000}"/>
                </a:ext>
              </a:extLst>
            </xdr:cNvPr>
            <xdr:cNvSpPr/>
          </xdr:nvSpPr>
          <xdr:spPr>
            <a:xfrm>
              <a:off x="1619251" y="3324224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2B00-000013000000}"/>
                </a:ext>
              </a:extLst>
            </xdr:cNvPr>
            <xdr:cNvSpPr/>
          </xdr:nvSpPr>
          <xdr:spPr>
            <a:xfrm>
              <a:off x="1619250" y="38385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00000000-0008-0000-2B00-000014000000}"/>
                </a:ext>
              </a:extLst>
            </xdr:cNvPr>
            <xdr:cNvSpPr/>
          </xdr:nvSpPr>
          <xdr:spPr>
            <a:xfrm>
              <a:off x="1619250" y="4333875"/>
              <a:ext cx="1857375" cy="361950"/>
            </a:xfrm>
            <a:prstGeom prst="round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800" b="1">
                  <a:solidFill>
                    <a:schemeClr val="tx1"/>
                  </a:solidFill>
                </a:rPr>
                <a:t>&gt;</a:t>
              </a:r>
            </a:p>
          </xdr:txBody>
        </xdr:sp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2B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81150" y="1123950"/>
              <a:ext cx="572451" cy="477202"/>
            </a:xfrm>
            <a:prstGeom prst="rect">
              <a:avLst/>
            </a:prstGeom>
          </xdr:spPr>
        </xdr:pic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2B00-000004000000}"/>
              </a:ext>
            </a:extLst>
          </xdr:cNvPr>
          <xdr:cNvSpPr>
            <a:spLocks/>
          </xdr:cNvSpPr>
        </xdr:nvSpPr>
        <xdr:spPr>
          <a:xfrm>
            <a:off x="454634" y="238125"/>
            <a:ext cx="1328987" cy="3333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CADASTROS</a:t>
            </a:r>
          </a:p>
        </xdr:txBody>
      </xdr:sp>
      <xdr:sp macro="" textlink="">
        <xdr:nvSpPr>
          <xdr:cNvPr id="5" name="Retângulo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2B00-000005000000}"/>
              </a:ext>
            </a:extLst>
          </xdr:cNvPr>
          <xdr:cNvSpPr/>
        </xdr:nvSpPr>
        <xdr:spPr>
          <a:xfrm>
            <a:off x="209551" y="1865058"/>
            <a:ext cx="1485899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</a:t>
            </a:r>
            <a:r>
              <a:rPr lang="pt-BR" sz="1100" b="1" baseline="0">
                <a:solidFill>
                  <a:schemeClr val="tx1"/>
                </a:solidFill>
              </a:rPr>
              <a:t> DE </a:t>
            </a:r>
            <a:r>
              <a:rPr lang="pt-BR" sz="1100" b="1">
                <a:solidFill>
                  <a:schemeClr val="tx1"/>
                </a:solidFill>
              </a:rPr>
              <a:t>RECEITAS</a:t>
            </a:r>
          </a:p>
        </xdr:txBody>
      </xdr:sp>
      <xdr:sp macro="" textlink="">
        <xdr:nvSpPr>
          <xdr:cNvPr id="6" name="Retângulo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2B00-000006000000}"/>
              </a:ext>
            </a:extLst>
          </xdr:cNvPr>
          <xdr:cNvSpPr/>
        </xdr:nvSpPr>
        <xdr:spPr>
          <a:xfrm>
            <a:off x="219077" y="2357188"/>
            <a:ext cx="1495424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CONTAS DE DESPESAS</a:t>
            </a:r>
          </a:p>
        </xdr:txBody>
      </xdr:sp>
      <xdr:sp macro="" textlink="">
        <xdr:nvSpPr>
          <xdr:cNvPr id="7" name="Retângulo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2B00-000007000000}"/>
              </a:ext>
            </a:extLst>
          </xdr:cNvPr>
          <xdr:cNvSpPr/>
        </xdr:nvSpPr>
        <xdr:spPr>
          <a:xfrm>
            <a:off x="278494" y="2855408"/>
            <a:ext cx="1434408" cy="3312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CENTROS DE CUSTOS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2B00-000008000000}"/>
              </a:ext>
            </a:extLst>
          </xdr:cNvPr>
          <xdr:cNvSpPr/>
        </xdr:nvSpPr>
        <xdr:spPr>
          <a:xfrm>
            <a:off x="393701" y="3347479"/>
            <a:ext cx="1043012" cy="2974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CAIXA</a:t>
            </a:r>
          </a:p>
        </xdr:txBody>
      </xdr:sp>
      <xdr:sp macro="" textlink="">
        <xdr:nvSpPr>
          <xdr:cNvPr id="9" name="Retângulo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2B00-000009000000}"/>
              </a:ext>
            </a:extLst>
          </xdr:cNvPr>
          <xdr:cNvSpPr/>
        </xdr:nvSpPr>
        <xdr:spPr>
          <a:xfrm>
            <a:off x="219075" y="857250"/>
            <a:ext cx="1304925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CLIENTES</a:t>
            </a:r>
          </a:p>
        </xdr:txBody>
      </xdr:sp>
      <xdr:sp macro="" textlink="">
        <xdr:nvSpPr>
          <xdr:cNvPr id="10" name="Retângulo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2B00-00000A000000}"/>
              </a:ext>
            </a:extLst>
          </xdr:cNvPr>
          <xdr:cNvSpPr/>
        </xdr:nvSpPr>
        <xdr:spPr>
          <a:xfrm>
            <a:off x="259436" y="1364201"/>
            <a:ext cx="1358064" cy="2902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FORNECEDORES</a:t>
            </a:r>
          </a:p>
        </xdr:txBody>
      </xdr:sp>
      <xdr:sp macro="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00000000-0008-0000-2B00-00000B000000}"/>
              </a:ext>
            </a:extLst>
          </xdr:cNvPr>
          <xdr:cNvSpPr/>
        </xdr:nvSpPr>
        <xdr:spPr>
          <a:xfrm>
            <a:off x="95250" y="3810000"/>
            <a:ext cx="1625000" cy="359675"/>
          </a:xfrm>
          <a:prstGeom prst="roundRect">
            <a:avLst/>
          </a:prstGeom>
          <a:solidFill>
            <a:srgbClr val="00B05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800" b="1">
                <a:solidFill>
                  <a:schemeClr val="tx1"/>
                </a:solidFill>
              </a:rPr>
              <a:t>&gt;</a:t>
            </a:r>
          </a:p>
        </xdr:txBody>
      </xdr:sp>
      <xdr:sp macro="" textlink="">
        <xdr:nvSpPr>
          <xdr:cNvPr id="12" name="Retângulo 11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2B00-00000C000000}"/>
              </a:ext>
            </a:extLst>
          </xdr:cNvPr>
          <xdr:cNvSpPr/>
        </xdr:nvSpPr>
        <xdr:spPr>
          <a:xfrm>
            <a:off x="323850" y="3756590"/>
            <a:ext cx="1304925" cy="4667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FORMAS</a:t>
            </a:r>
            <a:r>
              <a:rPr lang="pt-BR" sz="1100" b="1" baseline="0">
                <a:solidFill>
                  <a:schemeClr val="bg1"/>
                </a:solidFill>
              </a:rPr>
              <a:t> DE PAGAMENTOS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430303</xdr:colOff>
      <xdr:row>18</xdr:row>
      <xdr:rowOff>6724</xdr:rowOff>
    </xdr:from>
    <xdr:to>
      <xdr:col>1</xdr:col>
      <xdr:colOff>525553</xdr:colOff>
      <xdr:row>22</xdr:row>
      <xdr:rowOff>96613</xdr:rowOff>
    </xdr:to>
    <xdr:grpSp>
      <xdr:nvGrpSpPr>
        <xdr:cNvPr id="22" name="Agrupar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2B00-000016000000}"/>
            </a:ext>
          </a:extLst>
        </xdr:cNvPr>
        <xdr:cNvGrpSpPr/>
      </xdr:nvGrpSpPr>
      <xdr:grpSpPr>
        <a:xfrm>
          <a:off x="430303" y="4654924"/>
          <a:ext cx="704850" cy="851889"/>
          <a:chOff x="549089" y="4493559"/>
          <a:chExt cx="704850" cy="851889"/>
        </a:xfrm>
      </xdr:grpSpPr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00000000-0008-0000-2B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8614" y="4493559"/>
            <a:ext cx="663473" cy="556614"/>
          </a:xfrm>
          <a:prstGeom prst="rect">
            <a:avLst/>
          </a:prstGeom>
        </xdr:spPr>
      </xdr:pic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2B00-000018000000}"/>
              </a:ext>
            </a:extLst>
          </xdr:cNvPr>
          <xdr:cNvSpPr/>
        </xdr:nvSpPr>
        <xdr:spPr>
          <a:xfrm>
            <a:off x="549089" y="5050173"/>
            <a:ext cx="704850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tx1"/>
                </a:solidFill>
              </a:rPr>
              <a:t>INICIO</a:t>
            </a:r>
          </a:p>
        </xdr:txBody>
      </xdr:sp>
    </xdr:grpSp>
    <xdr:clientData/>
  </xdr:twoCellAnchor>
  <xdr:twoCellAnchor editAs="absolute">
    <xdr:from>
      <xdr:col>3</xdr:col>
      <xdr:colOff>9525</xdr:colOff>
      <xdr:row>11</xdr:row>
      <xdr:rowOff>209550</xdr:rowOff>
    </xdr:from>
    <xdr:to>
      <xdr:col>4</xdr:col>
      <xdr:colOff>1482538</xdr:colOff>
      <xdr:row>13</xdr:row>
      <xdr:rowOff>140633</xdr:rowOff>
    </xdr:to>
    <xdr:sp macro="[0]!FORM_Gravar_Forma_Pagament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2B00-00001A000000}"/>
            </a:ext>
          </a:extLst>
        </xdr:cNvPr>
        <xdr:cNvSpPr/>
      </xdr:nvSpPr>
      <xdr:spPr>
        <a:xfrm>
          <a:off x="2228850" y="3067050"/>
          <a:ext cx="2082613" cy="493058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Salvar</a:t>
          </a:r>
          <a:r>
            <a:rPr lang="pt-BR" sz="2400" baseline="0"/>
            <a:t> </a:t>
          </a:r>
          <a:r>
            <a:rPr lang="pt-BR" sz="2400"/>
            <a:t>Registro</a:t>
          </a:r>
        </a:p>
      </xdr:txBody>
    </xdr:sp>
    <xdr:clientData/>
  </xdr:twoCellAnchor>
  <xdr:twoCellAnchor editAs="absolute">
    <xdr:from>
      <xdr:col>8</xdr:col>
      <xdr:colOff>495861</xdr:colOff>
      <xdr:row>11</xdr:row>
      <xdr:rowOff>201706</xdr:rowOff>
    </xdr:from>
    <xdr:to>
      <xdr:col>9</xdr:col>
      <xdr:colOff>606799</xdr:colOff>
      <xdr:row>13</xdr:row>
      <xdr:rowOff>132789</xdr:rowOff>
    </xdr:to>
    <xdr:sp macro="" textlink="">
      <xdr:nvSpPr>
        <xdr:cNvPr id="27" name="Retângulo: Cantos Arredondados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2B00-00001B000000}"/>
            </a:ext>
          </a:extLst>
        </xdr:cNvPr>
        <xdr:cNvSpPr/>
      </xdr:nvSpPr>
      <xdr:spPr>
        <a:xfrm>
          <a:off x="9125511" y="3059206"/>
          <a:ext cx="1806388" cy="49305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BANCO DE DADOS</a:t>
          </a:r>
        </a:p>
      </xdr:txBody>
    </xdr:sp>
    <xdr:clientData/>
  </xdr:twoCellAnchor>
  <xdr:twoCellAnchor editAs="absolute">
    <xdr:from>
      <xdr:col>2</xdr:col>
      <xdr:colOff>981075</xdr:colOff>
      <xdr:row>3</xdr:row>
      <xdr:rowOff>180976</xdr:rowOff>
    </xdr:from>
    <xdr:to>
      <xdr:col>9</xdr:col>
      <xdr:colOff>571500</xdr:colOff>
      <xdr:row>11</xdr:row>
      <xdr:rowOff>66676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2B00-00001C000000}"/>
            </a:ext>
          </a:extLst>
        </xdr:cNvPr>
        <xdr:cNvSpPr/>
      </xdr:nvSpPr>
      <xdr:spPr>
        <a:xfrm>
          <a:off x="2200275" y="809626"/>
          <a:ext cx="8696325" cy="2114550"/>
        </a:xfrm>
        <a:prstGeom prst="roundRect">
          <a:avLst>
            <a:gd name="adj" fmla="val 4592"/>
          </a:avLst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XFD100"/>
  <sheetViews>
    <sheetView showGridLines="0" showRowColHeaders="0" tabSelected="1" zoomScale="85" zoomScaleNormal="85" workbookViewId="0">
      <pane ySplit="5" topLeftCell="A6" activePane="bottomLeft" state="frozen"/>
      <selection pane="bottomLeft"/>
    </sheetView>
  </sheetViews>
  <sheetFormatPr defaultRowHeight="15" x14ac:dyDescent="0.25"/>
  <cols>
    <col min="6" max="6" width="10.42578125" bestFit="1" customWidth="1"/>
  </cols>
  <sheetData>
    <row r="1" spans="1:47 16384:16384" x14ac:dyDescent="0.25">
      <c r="A1" s="191">
        <v>2021</v>
      </c>
      <c r="B1" s="2"/>
      <c r="C1" s="2"/>
      <c r="D1" s="2"/>
      <c r="AA1" s="5" t="str">
        <f>"V"&amp;X5</f>
        <v>V1</v>
      </c>
      <c r="XFD1" t="s">
        <v>182</v>
      </c>
    </row>
    <row r="2" spans="1:47 16384:16384" x14ac:dyDescent="0.25">
      <c r="A2" s="287"/>
      <c r="B2" s="288"/>
      <c r="C2" s="288"/>
      <c r="D2" s="288"/>
    </row>
    <row r="3" spans="1:47 16384:16384" x14ac:dyDescent="0.25">
      <c r="A3" s="288"/>
      <c r="B3" s="288"/>
      <c r="C3" s="288"/>
      <c r="D3" s="288"/>
      <c r="F3" s="275">
        <v>44592</v>
      </c>
      <c r="G3" s="240"/>
      <c r="H3" s="240"/>
      <c r="I3" s="241">
        <f ca="1">TODAY()-F3</f>
        <v>1</v>
      </c>
      <c r="J3" s="241"/>
      <c r="K3" s="240"/>
      <c r="L3" s="242">
        <f>80+Y5</f>
        <v>80</v>
      </c>
    </row>
    <row r="4" spans="1:47 16384:16384" x14ac:dyDescent="0.25">
      <c r="A4" s="288"/>
      <c r="B4" s="288"/>
      <c r="C4" s="288"/>
      <c r="D4" s="288"/>
    </row>
    <row r="5" spans="1:47 16384:16384" x14ac:dyDescent="0.25">
      <c r="A5" s="288"/>
      <c r="B5" s="288"/>
      <c r="C5" s="288"/>
      <c r="D5" s="288"/>
      <c r="E5" s="217" t="s">
        <v>157</v>
      </c>
      <c r="F5" s="217" t="s">
        <v>158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189" t="s">
        <v>0</v>
      </c>
      <c r="X5" s="190">
        <v>1</v>
      </c>
      <c r="Y5" s="284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</row>
    <row r="6" spans="1:47 16384:1638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 16384:1638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 16384:1638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 16384:1638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 16384:1638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 16384:1638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 16384:1638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 16384:1638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 16384:1638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 16384:1638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 16384:1638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</sheetData>
  <mergeCells count="1">
    <mergeCell ref="A2:D5"/>
  </mergeCells>
  <dataValidations count="1">
    <dataValidation type="list" allowBlank="1" showInputMessage="1" showErrorMessage="1" sqref="X5" xr:uid="{00000000-0002-0000-0000-000000000000}">
      <formula1>"1,2"</formula1>
    </dataValidation>
  </dataValidations>
  <hyperlinks>
    <hyperlink ref="F5" location="INICIO!A66" display="Dash 2" xr:uid="{00000000-0004-0000-0000-000000000000}"/>
    <hyperlink ref="E5" location="INICIO!A6" display="INICIO!A6" xr:uid="{00000000-0004-0000-0000-000001000000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>
                  <from>
                    <xdr:col>14</xdr:col>
                    <xdr:colOff>95250</xdr:colOff>
                    <xdr:row>0</xdr:row>
                    <xdr:rowOff>76200</xdr:rowOff>
                  </from>
                  <to>
                    <xdr:col>15</xdr:col>
                    <xdr:colOff>352425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>
                  <from>
                    <xdr:col>15</xdr:col>
                    <xdr:colOff>485775</xdr:colOff>
                    <xdr:row>2</xdr:row>
                    <xdr:rowOff>28575</xdr:rowOff>
                  </from>
                  <to>
                    <xdr:col>18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>
                  <from>
                    <xdr:col>14</xdr:col>
                    <xdr:colOff>104775</xdr:colOff>
                    <xdr:row>2</xdr:row>
                    <xdr:rowOff>38100</xdr:rowOff>
                  </from>
                  <to>
                    <xdr:col>15</xdr:col>
                    <xdr:colOff>361950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I1:AB27"/>
  <sheetViews>
    <sheetView showGridLines="0" showRowColHeaders="0" zoomScale="110" zoomScaleNormal="110" workbookViewId="0"/>
  </sheetViews>
  <sheetFormatPr defaultRowHeight="15" x14ac:dyDescent="0.25"/>
  <sheetData>
    <row r="1" spans="27:28" x14ac:dyDescent="0.25">
      <c r="AA1" t="s">
        <v>172</v>
      </c>
      <c r="AB1">
        <v>1</v>
      </c>
    </row>
    <row r="2" spans="27:28" x14ac:dyDescent="0.25">
      <c r="AA2" t="s">
        <v>173</v>
      </c>
    </row>
    <row r="27" spans="9:9" x14ac:dyDescent="0.25">
      <c r="I27" s="16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>
                  <from>
                    <xdr:col>5</xdr:col>
                    <xdr:colOff>180975</xdr:colOff>
                    <xdr:row>0</xdr:row>
                    <xdr:rowOff>76200</xdr:rowOff>
                  </from>
                  <to>
                    <xdr:col>7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F2:K8"/>
  <sheetViews>
    <sheetView showGridLines="0" showRowColHeaders="0" zoomScale="115" zoomScaleNormal="115" workbookViewId="0">
      <selection activeCell="G8" sqref="G8"/>
    </sheetView>
  </sheetViews>
  <sheetFormatPr defaultRowHeight="15" x14ac:dyDescent="0.25"/>
  <cols>
    <col min="6" max="6" width="34.28515625" customWidth="1"/>
    <col min="7" max="7" width="9.5703125" customWidth="1"/>
    <col min="10" max="10" width="35.28515625" bestFit="1" customWidth="1"/>
    <col min="11" max="11" width="9.5703125" customWidth="1"/>
  </cols>
  <sheetData>
    <row r="2" spans="6:11" ht="35.25" customHeight="1" x14ac:dyDescent="0.55000000000000004">
      <c r="F2" s="289" t="s">
        <v>60</v>
      </c>
      <c r="G2" s="289"/>
      <c r="J2" s="289" t="s">
        <v>60</v>
      </c>
      <c r="K2" s="289"/>
    </row>
    <row r="3" spans="6:11" s="212" customFormat="1" ht="50.25" customHeight="1" x14ac:dyDescent="0.25">
      <c r="F3" s="210" t="s">
        <v>161</v>
      </c>
      <c r="G3" s="211">
        <f>COUNTA(LANÇAMENTOS_01!A:A)-1</f>
        <v>0</v>
      </c>
      <c r="J3" s="210" t="s">
        <v>161</v>
      </c>
      <c r="K3" s="211">
        <f>COUNTA(LANÇAMENTOS_02!A:A)-1</f>
        <v>0</v>
      </c>
    </row>
    <row r="4" spans="6:11" s="212" customFormat="1" ht="50.25" customHeight="1" x14ac:dyDescent="0.25">
      <c r="F4" s="213" t="s">
        <v>162</v>
      </c>
      <c r="G4" s="214">
        <f>COUNTA(LANÇAMENTOS_01!L:L)-1</f>
        <v>0</v>
      </c>
      <c r="J4" s="213" t="s">
        <v>162</v>
      </c>
      <c r="K4" s="214">
        <f>COUNTA(LANÇAMENTOS_02!L:L)-1</f>
        <v>0</v>
      </c>
    </row>
    <row r="5" spans="6:11" s="212" customFormat="1" ht="50.25" customHeight="1" x14ac:dyDescent="0.25">
      <c r="F5" s="215" t="s">
        <v>163</v>
      </c>
      <c r="G5" s="216">
        <f>G3-G4</f>
        <v>0</v>
      </c>
      <c r="J5" s="215" t="s">
        <v>163</v>
      </c>
      <c r="K5" s="216">
        <f>K3-K4</f>
        <v>0</v>
      </c>
    </row>
    <row r="7" spans="6:11" ht="28.5" x14ac:dyDescent="0.45">
      <c r="F7" s="207"/>
      <c r="G7" s="208"/>
      <c r="H7" s="209"/>
      <c r="I7" s="209"/>
      <c r="J7" s="207"/>
      <c r="K7" s="208"/>
    </row>
    <row r="8" spans="6:11" ht="28.5" x14ac:dyDescent="0.45">
      <c r="F8" s="207"/>
      <c r="G8" s="208"/>
      <c r="H8" s="209"/>
      <c r="I8" s="209"/>
      <c r="J8" s="207"/>
      <c r="K8" s="208"/>
    </row>
  </sheetData>
  <sortState xmlns:xlrd2="http://schemas.microsoft.com/office/spreadsheetml/2017/richdata2" ref="A2:C8">
    <sortCondition descending="1" ref="B2"/>
  </sortState>
  <mergeCells count="2">
    <mergeCell ref="F2:G2"/>
    <mergeCell ref="J2:K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0070C0"/>
  </sheetPr>
  <dimension ref="A1:D1"/>
  <sheetViews>
    <sheetView workbookViewId="0"/>
  </sheetViews>
  <sheetFormatPr defaultRowHeight="15" x14ac:dyDescent="0.25"/>
  <cols>
    <col min="2" max="2" width="35" bestFit="1" customWidth="1"/>
    <col min="3" max="3" width="26.28515625" bestFit="1" customWidth="1"/>
  </cols>
  <sheetData>
    <row r="1" spans="1:4" ht="69.75" customHeight="1" x14ac:dyDescent="0.25">
      <c r="A1" s="4" t="s">
        <v>1</v>
      </c>
      <c r="B1" s="4" t="s">
        <v>2</v>
      </c>
      <c r="C1" s="4" t="s">
        <v>3</v>
      </c>
      <c r="D1" s="5">
        <f>COUNTA(A:A)-1</f>
        <v>0</v>
      </c>
    </row>
  </sheetData>
  <autoFilter ref="A1:C1" xr:uid="{00000000-0009-0000-0000-000003000000}"/>
  <sortState xmlns:xlrd2="http://schemas.microsoft.com/office/spreadsheetml/2017/richdata2" ref="A2:C13">
    <sortCondition descending="1" ref="B2"/>
  </sortState>
  <phoneticPr fontId="45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0070C0"/>
  </sheetPr>
  <dimension ref="A1:D1"/>
  <sheetViews>
    <sheetView workbookViewId="0"/>
  </sheetViews>
  <sheetFormatPr defaultRowHeight="15" x14ac:dyDescent="0.25"/>
  <cols>
    <col min="2" max="2" width="37.85546875" customWidth="1"/>
    <col min="3" max="3" width="46.5703125" bestFit="1" customWidth="1"/>
  </cols>
  <sheetData>
    <row r="1" spans="1:4" ht="69.75" customHeight="1" x14ac:dyDescent="0.25">
      <c r="A1" s="4" t="s">
        <v>1</v>
      </c>
      <c r="B1" s="4" t="s">
        <v>2</v>
      </c>
      <c r="C1" s="4" t="s">
        <v>3</v>
      </c>
      <c r="D1" s="5">
        <f>COUNTA(A:A)-1</f>
        <v>0</v>
      </c>
    </row>
  </sheetData>
  <autoFilter ref="A1:C1" xr:uid="{00000000-0009-0000-0000-000004000000}"/>
  <phoneticPr fontId="45" type="noConversion"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0070C0"/>
  </sheetPr>
  <dimension ref="A1:C1"/>
  <sheetViews>
    <sheetView workbookViewId="0"/>
  </sheetViews>
  <sheetFormatPr defaultRowHeight="15" x14ac:dyDescent="0.25"/>
  <cols>
    <col min="2" max="2" width="53.140625" customWidth="1"/>
  </cols>
  <sheetData>
    <row r="1" spans="1:3" ht="69.75" customHeight="1" x14ac:dyDescent="0.25">
      <c r="A1" s="4" t="s">
        <v>1</v>
      </c>
      <c r="B1" s="4" t="s">
        <v>4</v>
      </c>
      <c r="C1" s="5">
        <f>COUNTA(A:A)-1</f>
        <v>0</v>
      </c>
    </row>
  </sheetData>
  <autoFilter ref="A1:B1" xr:uid="{00000000-0009-0000-0000-000005000000}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0070C0"/>
  </sheetPr>
  <dimension ref="A1:E1"/>
  <sheetViews>
    <sheetView workbookViewId="0"/>
  </sheetViews>
  <sheetFormatPr defaultRowHeight="15" x14ac:dyDescent="0.25"/>
  <cols>
    <col min="2" max="2" width="22.85546875" customWidth="1"/>
    <col min="3" max="3" width="30.140625" customWidth="1"/>
    <col min="4" max="4" width="15.28515625" customWidth="1"/>
  </cols>
  <sheetData>
    <row r="1" spans="1:5" ht="69.75" customHeight="1" x14ac:dyDescent="0.25">
      <c r="A1" s="4" t="s">
        <v>1</v>
      </c>
      <c r="B1" s="4" t="s">
        <v>5</v>
      </c>
      <c r="C1" s="4" t="s">
        <v>6</v>
      </c>
      <c r="E1" s="6">
        <f>COUNTA(A:A)-1</f>
        <v>0</v>
      </c>
    </row>
  </sheetData>
  <autoFilter ref="A1:C1" xr:uid="{00000000-0009-0000-0000-000006000000}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tabColor rgb="FF0070C0"/>
  </sheetPr>
  <dimension ref="A1:H2"/>
  <sheetViews>
    <sheetView workbookViewId="0">
      <selection activeCell="G1" sqref="G1"/>
    </sheetView>
  </sheetViews>
  <sheetFormatPr defaultRowHeight="15" x14ac:dyDescent="0.25"/>
  <cols>
    <col min="2" max="2" width="31.28515625" customWidth="1"/>
    <col min="3" max="3" width="11.28515625" style="162" customWidth="1"/>
    <col min="4" max="4" width="19.7109375" style="162" customWidth="1"/>
    <col min="5" max="5" width="23.5703125" style="145" customWidth="1"/>
    <col min="6" max="6" width="30" style="145" customWidth="1"/>
    <col min="7" max="7" width="25.5703125" style="145" customWidth="1"/>
    <col min="12" max="12" width="11.42578125" bestFit="1" customWidth="1"/>
  </cols>
  <sheetData>
    <row r="1" spans="1:8" ht="69.75" customHeight="1" x14ac:dyDescent="0.25">
      <c r="A1" s="4" t="s">
        <v>1</v>
      </c>
      <c r="B1" s="4" t="s">
        <v>7</v>
      </c>
      <c r="C1" s="163" t="s">
        <v>123</v>
      </c>
      <c r="D1" s="163" t="s">
        <v>122</v>
      </c>
      <c r="E1" s="161" t="s">
        <v>124</v>
      </c>
      <c r="F1" s="161" t="s">
        <v>126</v>
      </c>
      <c r="G1" s="161" t="s">
        <v>125</v>
      </c>
      <c r="H1" s="5">
        <f>COUNTA(A:A)-1</f>
        <v>1</v>
      </c>
    </row>
    <row r="2" spans="1:8" x14ac:dyDescent="0.25">
      <c r="A2" s="26">
        <v>1</v>
      </c>
      <c r="B2" t="s">
        <v>181</v>
      </c>
      <c r="C2" s="285">
        <v>1</v>
      </c>
      <c r="D2" s="285">
        <v>0</v>
      </c>
      <c r="E2" s="286">
        <v>0</v>
      </c>
      <c r="F2" s="286">
        <v>0</v>
      </c>
      <c r="G2" s="286">
        <v>0</v>
      </c>
    </row>
  </sheetData>
  <autoFilter ref="A1:G1" xr:uid="{00000000-0009-0000-0000-000007000000}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0070C0"/>
  </sheetPr>
  <dimension ref="A1:M1"/>
  <sheetViews>
    <sheetView workbookViewId="0"/>
  </sheetViews>
  <sheetFormatPr defaultRowHeight="15" x14ac:dyDescent="0.25"/>
  <cols>
    <col min="2" max="2" width="28.42578125" bestFit="1" customWidth="1"/>
    <col min="3" max="3" width="14.5703125" bestFit="1" customWidth="1"/>
    <col min="4" max="4" width="15" bestFit="1" customWidth="1"/>
    <col min="5" max="5" width="16.28515625" bestFit="1" customWidth="1"/>
    <col min="6" max="6" width="20.7109375" bestFit="1" customWidth="1"/>
    <col min="7" max="7" width="14.5703125" bestFit="1" customWidth="1"/>
    <col min="8" max="8" width="20.85546875" bestFit="1" customWidth="1"/>
    <col min="9" max="9" width="14.5703125" bestFit="1" customWidth="1"/>
  </cols>
  <sheetData>
    <row r="1" spans="1:13" ht="69.75" customHeight="1" x14ac:dyDescent="0.25">
      <c r="A1" s="3" t="s">
        <v>1</v>
      </c>
      <c r="B1" s="3" t="s">
        <v>17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16</v>
      </c>
      <c r="L1" s="3" t="s">
        <v>16</v>
      </c>
      <c r="M1" s="5">
        <f>COUNTA(A:A)-1</f>
        <v>0</v>
      </c>
    </row>
  </sheetData>
  <autoFilter ref="A1:L1" xr:uid="{00000000-0009-0000-0000-000008000000}"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tabColor rgb="FF0070C0"/>
  </sheetPr>
  <dimension ref="A1:M1"/>
  <sheetViews>
    <sheetView workbookViewId="0"/>
  </sheetViews>
  <sheetFormatPr defaultRowHeight="15" x14ac:dyDescent="0.25"/>
  <cols>
    <col min="2" max="2" width="24.28515625" bestFit="1" customWidth="1"/>
    <col min="3" max="3" width="20.85546875" customWidth="1"/>
    <col min="4" max="5" width="16" customWidth="1"/>
    <col min="6" max="6" width="21.28515625" customWidth="1"/>
    <col min="7" max="7" width="24" customWidth="1"/>
    <col min="8" max="8" width="13.28515625" customWidth="1"/>
    <col min="9" max="9" width="18" customWidth="1"/>
    <col min="10" max="10" width="11.85546875" customWidth="1"/>
    <col min="11" max="11" width="11.7109375" customWidth="1"/>
  </cols>
  <sheetData>
    <row r="1" spans="1:13" ht="69.75" customHeight="1" x14ac:dyDescent="0.25">
      <c r="A1" s="3" t="s">
        <v>1</v>
      </c>
      <c r="B1" s="3" t="s">
        <v>18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16</v>
      </c>
      <c r="L1" s="3" t="s">
        <v>16</v>
      </c>
      <c r="M1" s="5">
        <f>COUNTA(A:A)-1</f>
        <v>0</v>
      </c>
    </row>
  </sheetData>
  <autoFilter ref="A1:L1" xr:uid="{00000000-0009-0000-0000-000009000000}"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rgb="FF0070C0"/>
  </sheetPr>
  <dimension ref="A1:C1"/>
  <sheetViews>
    <sheetView showGridLines="0" workbookViewId="0">
      <selection activeCell="F25" sqref="F25"/>
    </sheetView>
  </sheetViews>
  <sheetFormatPr defaultRowHeight="15" x14ac:dyDescent="0.25"/>
  <sheetData>
    <row r="1" spans="1:3" ht="50.25" customHeight="1" x14ac:dyDescent="0.25">
      <c r="A1" s="4"/>
      <c r="B1" s="4"/>
      <c r="C1" s="4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>
    <tabColor rgb="FF0070C0"/>
  </sheetPr>
  <dimension ref="A1:C1"/>
  <sheetViews>
    <sheetView showGridLines="0" workbookViewId="0">
      <selection activeCell="F25" sqref="F25"/>
    </sheetView>
  </sheetViews>
  <sheetFormatPr defaultRowHeight="15" x14ac:dyDescent="0.25"/>
  <sheetData>
    <row r="1" spans="1:3" ht="50.25" customHeight="1" x14ac:dyDescent="0.25">
      <c r="A1" s="4"/>
      <c r="B1" s="4"/>
      <c r="C1" s="4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>
    <tabColor rgb="FF0070C0"/>
  </sheetPr>
  <dimension ref="A1:C1"/>
  <sheetViews>
    <sheetView showGridLines="0" workbookViewId="0">
      <selection activeCell="F25" sqref="F25"/>
    </sheetView>
  </sheetViews>
  <sheetFormatPr defaultRowHeight="15" x14ac:dyDescent="0.25"/>
  <sheetData>
    <row r="1" spans="1:3" ht="50.25" customHeight="1" x14ac:dyDescent="0.25">
      <c r="A1" s="4"/>
      <c r="B1" s="4"/>
      <c r="C1" s="4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>
    <tabColor rgb="FF00B050"/>
  </sheetPr>
  <dimension ref="A1:M1"/>
  <sheetViews>
    <sheetView zoomScale="92" zoomScaleNormal="92" workbookViewId="0">
      <pane ySplit="1" topLeftCell="A2" activePane="bottomLeft" state="frozen"/>
      <selection activeCell="K1" activeCellId="1" sqref="B1 K1:L1"/>
      <selection pane="bottomLeft" activeCell="F1" sqref="F1"/>
    </sheetView>
  </sheetViews>
  <sheetFormatPr defaultRowHeight="15" x14ac:dyDescent="0.25"/>
  <cols>
    <col min="1" max="1" width="7.28515625" style="154" bestFit="1" customWidth="1"/>
    <col min="2" max="2" width="13.42578125" style="205" customWidth="1"/>
    <col min="3" max="3" width="17.7109375" style="154" customWidth="1"/>
    <col min="4" max="4" width="16.7109375" style="154" customWidth="1"/>
    <col min="5" max="5" width="23.85546875" style="154" customWidth="1"/>
    <col min="6" max="6" width="18.85546875" style="154" customWidth="1"/>
    <col min="7" max="7" width="17.7109375" style="154" customWidth="1"/>
    <col min="8" max="8" width="18.28515625" style="154" customWidth="1"/>
    <col min="9" max="9" width="23.85546875" style="154" customWidth="1"/>
    <col min="10" max="10" width="14.5703125" style="155" customWidth="1"/>
    <col min="11" max="11" width="11.85546875" style="206" customWidth="1"/>
    <col min="12" max="12" width="10.85546875" style="206" customWidth="1"/>
    <col min="13" max="13" width="12.140625" style="154" customWidth="1"/>
  </cols>
  <sheetData>
    <row r="1" spans="1:13" ht="75.75" customHeight="1" x14ac:dyDescent="0.25">
      <c r="A1" s="233" t="s">
        <v>8</v>
      </c>
      <c r="B1" s="277" t="s">
        <v>19</v>
      </c>
      <c r="C1" s="233" t="s">
        <v>20</v>
      </c>
      <c r="D1" s="233" t="s">
        <v>3</v>
      </c>
      <c r="E1" s="233" t="s">
        <v>15</v>
      </c>
      <c r="F1" s="233" t="s">
        <v>21</v>
      </c>
      <c r="G1" s="233" t="s">
        <v>5</v>
      </c>
      <c r="H1" s="233" t="s">
        <v>4</v>
      </c>
      <c r="I1" s="233" t="s">
        <v>22</v>
      </c>
      <c r="J1" s="278" t="s">
        <v>23</v>
      </c>
      <c r="K1" s="234" t="s">
        <v>24</v>
      </c>
      <c r="L1" s="234" t="s">
        <v>25</v>
      </c>
      <c r="M1" s="233" t="s">
        <v>121</v>
      </c>
    </row>
  </sheetData>
  <autoFilter ref="A1:M1" xr:uid="{00000000-0009-0000-0000-00000D000000}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>
    <tabColor rgb="FF00B050"/>
  </sheetPr>
  <dimension ref="A1:M26"/>
  <sheetViews>
    <sheetView zoomScale="92" zoomScaleNormal="92" workbookViewId="0">
      <pane ySplit="1" topLeftCell="A2" activePane="bottomLeft" state="frozen"/>
      <selection activeCell="L2" sqref="L2"/>
      <selection pane="bottomLeft"/>
    </sheetView>
  </sheetViews>
  <sheetFormatPr defaultRowHeight="15" x14ac:dyDescent="0.25"/>
  <cols>
    <col min="1" max="1" width="5.42578125" style="154" customWidth="1"/>
    <col min="2" max="2" width="12" style="206" customWidth="1"/>
    <col min="3" max="3" width="17.7109375" style="154" customWidth="1"/>
    <col min="4" max="4" width="16.7109375" style="154" customWidth="1"/>
    <col min="5" max="5" width="23.85546875" style="154" customWidth="1"/>
    <col min="6" max="6" width="18.85546875" style="154" customWidth="1"/>
    <col min="7" max="7" width="17.7109375" style="154" customWidth="1"/>
    <col min="8" max="8" width="18.28515625" style="154" customWidth="1"/>
    <col min="9" max="9" width="23.85546875" style="154" customWidth="1"/>
    <col min="10" max="10" width="14.5703125" style="154" customWidth="1"/>
    <col min="11" max="11" width="11.85546875" style="206" customWidth="1"/>
    <col min="12" max="12" width="10.85546875" style="206" customWidth="1"/>
    <col min="13" max="13" width="12.140625" style="154" customWidth="1"/>
  </cols>
  <sheetData>
    <row r="1" spans="1:13" ht="75.75" customHeight="1" x14ac:dyDescent="0.25">
      <c r="A1" s="233" t="s">
        <v>8</v>
      </c>
      <c r="B1" s="234" t="s">
        <v>19</v>
      </c>
      <c r="C1" s="233" t="s">
        <v>20</v>
      </c>
      <c r="D1" s="233" t="s">
        <v>3</v>
      </c>
      <c r="E1" s="233" t="s">
        <v>15</v>
      </c>
      <c r="F1" s="233" t="s">
        <v>21</v>
      </c>
      <c r="G1" s="233" t="s">
        <v>5</v>
      </c>
      <c r="H1" s="233" t="s">
        <v>4</v>
      </c>
      <c r="I1" s="233" t="s">
        <v>22</v>
      </c>
      <c r="J1" s="233" t="s">
        <v>23</v>
      </c>
      <c r="K1" s="234" t="s">
        <v>24</v>
      </c>
      <c r="L1" s="234" t="s">
        <v>25</v>
      </c>
      <c r="M1" s="233" t="s">
        <v>121</v>
      </c>
    </row>
    <row r="2" spans="1:13" x14ac:dyDescent="0.25">
      <c r="B2" s="205"/>
      <c r="K2" s="205"/>
    </row>
    <row r="3" spans="1:13" x14ac:dyDescent="0.25">
      <c r="B3" s="205"/>
      <c r="K3" s="205"/>
    </row>
    <row r="4" spans="1:13" x14ac:dyDescent="0.25">
      <c r="B4" s="205"/>
      <c r="K4" s="205"/>
    </row>
    <row r="5" spans="1:13" x14ac:dyDescent="0.25">
      <c r="B5" s="205"/>
      <c r="K5" s="205"/>
    </row>
    <row r="6" spans="1:13" x14ac:dyDescent="0.25">
      <c r="B6" s="205"/>
      <c r="K6" s="205"/>
    </row>
    <row r="7" spans="1:13" x14ac:dyDescent="0.25">
      <c r="B7" s="205"/>
      <c r="K7" s="205"/>
    </row>
    <row r="8" spans="1:13" x14ac:dyDescent="0.25">
      <c r="B8" s="205"/>
      <c r="K8" s="205"/>
    </row>
    <row r="9" spans="1:13" x14ac:dyDescent="0.25">
      <c r="B9" s="205"/>
      <c r="K9" s="205"/>
    </row>
    <row r="10" spans="1:13" x14ac:dyDescent="0.25">
      <c r="B10" s="205"/>
      <c r="K10" s="205"/>
    </row>
    <row r="11" spans="1:13" x14ac:dyDescent="0.25">
      <c r="B11" s="205"/>
      <c r="K11" s="205"/>
    </row>
    <row r="12" spans="1:13" x14ac:dyDescent="0.25">
      <c r="B12" s="205"/>
      <c r="K12" s="205"/>
    </row>
    <row r="13" spans="1:13" x14ac:dyDescent="0.25">
      <c r="B13" s="205"/>
      <c r="K13" s="205"/>
    </row>
    <row r="14" spans="1:13" x14ac:dyDescent="0.25">
      <c r="B14" s="205"/>
      <c r="K14" s="205"/>
    </row>
    <row r="15" spans="1:13" x14ac:dyDescent="0.25">
      <c r="B15" s="205"/>
      <c r="K15" s="205"/>
    </row>
    <row r="16" spans="1:13" x14ac:dyDescent="0.25">
      <c r="B16" s="205"/>
      <c r="K16" s="205"/>
    </row>
    <row r="17" spans="2:11" x14ac:dyDescent="0.25">
      <c r="B17" s="205"/>
      <c r="K17" s="205"/>
    </row>
    <row r="18" spans="2:11" x14ac:dyDescent="0.25">
      <c r="B18" s="205"/>
      <c r="K18" s="205"/>
    </row>
    <row r="19" spans="2:11" x14ac:dyDescent="0.25">
      <c r="B19" s="205"/>
      <c r="K19" s="205"/>
    </row>
    <row r="20" spans="2:11" x14ac:dyDescent="0.25">
      <c r="B20" s="205"/>
      <c r="K20" s="205"/>
    </row>
    <row r="21" spans="2:11" x14ac:dyDescent="0.25">
      <c r="B21" s="205"/>
      <c r="K21" s="205"/>
    </row>
    <row r="22" spans="2:11" x14ac:dyDescent="0.25">
      <c r="B22" s="205"/>
      <c r="K22" s="205"/>
    </row>
    <row r="23" spans="2:11" x14ac:dyDescent="0.25">
      <c r="B23" s="205"/>
      <c r="K23" s="205"/>
    </row>
    <row r="24" spans="2:11" x14ac:dyDescent="0.25">
      <c r="B24" s="205"/>
      <c r="K24" s="205"/>
    </row>
    <row r="25" spans="2:11" x14ac:dyDescent="0.25">
      <c r="B25" s="205"/>
      <c r="K25" s="205"/>
    </row>
    <row r="26" spans="2:11" x14ac:dyDescent="0.25">
      <c r="B26" s="205"/>
      <c r="K26" s="205"/>
    </row>
  </sheetData>
  <autoFilter ref="A1:M1" xr:uid="{00000000-0009-0000-0000-00000E000000}"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tabColor rgb="FF00B050"/>
  </sheetPr>
  <dimension ref="A1:M11"/>
  <sheetViews>
    <sheetView workbookViewId="0">
      <pane ySplit="1" topLeftCell="A2" activePane="bottomLeft" state="frozen"/>
      <selection activeCell="D22" sqref="D22"/>
      <selection pane="bottomLeft"/>
    </sheetView>
  </sheetViews>
  <sheetFormatPr defaultRowHeight="15" x14ac:dyDescent="0.25"/>
  <cols>
    <col min="1" max="1" width="5.140625" style="154" bestFit="1" customWidth="1"/>
    <col min="2" max="2" width="11.140625" style="206" customWidth="1"/>
    <col min="3" max="3" width="24.7109375" style="154" bestFit="1" customWidth="1"/>
    <col min="4" max="4" width="17" style="154" bestFit="1" customWidth="1"/>
    <col min="5" max="5" width="12.28515625" style="154" bestFit="1" customWidth="1"/>
    <col min="6" max="6" width="20.5703125" style="154" bestFit="1" customWidth="1"/>
    <col min="7" max="7" width="14.28515625" style="154" bestFit="1" customWidth="1"/>
    <col min="8" max="9" width="1.28515625" style="154" hidden="1" customWidth="1"/>
    <col min="10" max="10" width="13.28515625" style="154" customWidth="1"/>
    <col min="11" max="11" width="16.42578125" style="206" customWidth="1"/>
    <col min="12" max="12" width="16" style="206" bestFit="1" customWidth="1"/>
    <col min="13" max="13" width="9.140625" style="154"/>
  </cols>
  <sheetData>
    <row r="1" spans="1:13" ht="75.75" customHeight="1" x14ac:dyDescent="0.25">
      <c r="A1" s="233" t="s">
        <v>8</v>
      </c>
      <c r="B1" s="234" t="s">
        <v>19</v>
      </c>
      <c r="C1" s="233" t="s">
        <v>170</v>
      </c>
      <c r="D1" s="233" t="s">
        <v>171</v>
      </c>
      <c r="E1" s="233" t="s">
        <v>15</v>
      </c>
      <c r="F1" s="233" t="s">
        <v>169</v>
      </c>
      <c r="G1" s="233" t="s">
        <v>5</v>
      </c>
      <c r="H1" s="233"/>
      <c r="I1" s="233"/>
      <c r="J1" s="233" t="s">
        <v>23</v>
      </c>
      <c r="K1" s="235" t="s">
        <v>24</v>
      </c>
      <c r="L1" s="235" t="s">
        <v>25</v>
      </c>
      <c r="M1" s="4"/>
    </row>
    <row r="2" spans="1:13" x14ac:dyDescent="0.25">
      <c r="B2" s="205"/>
      <c r="K2" s="205"/>
      <c r="L2" s="205"/>
    </row>
    <row r="3" spans="1:13" x14ac:dyDescent="0.25">
      <c r="B3" s="205"/>
      <c r="K3" s="205"/>
      <c r="L3" s="205"/>
    </row>
    <row r="4" spans="1:13" x14ac:dyDescent="0.25">
      <c r="B4" s="205"/>
      <c r="K4" s="205"/>
      <c r="L4" s="205"/>
    </row>
    <row r="5" spans="1:13" x14ac:dyDescent="0.25">
      <c r="B5" s="205"/>
      <c r="K5" s="205"/>
      <c r="L5" s="205"/>
    </row>
    <row r="6" spans="1:13" x14ac:dyDescent="0.25">
      <c r="B6" s="205"/>
      <c r="K6" s="205"/>
      <c r="L6" s="205"/>
    </row>
    <row r="7" spans="1:13" x14ac:dyDescent="0.25">
      <c r="B7" s="205"/>
      <c r="K7" s="205"/>
      <c r="L7" s="205"/>
    </row>
    <row r="8" spans="1:13" x14ac:dyDescent="0.25">
      <c r="B8" s="205"/>
      <c r="K8" s="205"/>
      <c r="L8" s="205"/>
    </row>
    <row r="9" spans="1:13" x14ac:dyDescent="0.25">
      <c r="B9" s="205"/>
      <c r="K9" s="205"/>
      <c r="L9" s="205"/>
    </row>
    <row r="10" spans="1:13" x14ac:dyDescent="0.25">
      <c r="B10" s="205"/>
      <c r="K10" s="205"/>
      <c r="L10" s="205"/>
    </row>
    <row r="11" spans="1:13" x14ac:dyDescent="0.25">
      <c r="B11" s="205"/>
      <c r="K11" s="205"/>
      <c r="L11" s="205"/>
    </row>
  </sheetData>
  <autoFilter ref="A1:M1" xr:uid="{00000000-0009-0000-0000-00000F000000}"/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>
    <tabColor rgb="FF00B050"/>
  </sheetPr>
  <dimension ref="A1:M1"/>
  <sheetViews>
    <sheetView workbookViewId="0"/>
  </sheetViews>
  <sheetFormatPr defaultRowHeight="15" x14ac:dyDescent="0.25"/>
  <sheetData>
    <row r="1" spans="1:13" ht="75.7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8">
    <tabColor rgb="FFFFC000"/>
    <pageSetUpPr fitToPage="1"/>
  </sheetPr>
  <dimension ref="C1:BF17"/>
  <sheetViews>
    <sheetView showGridLines="0" showRowColHeaders="0" zoomScale="90" zoomScaleNormal="90" workbookViewId="0"/>
  </sheetViews>
  <sheetFormatPr defaultRowHeight="15" x14ac:dyDescent="0.25"/>
  <cols>
    <col min="1" max="1" width="29" customWidth="1"/>
    <col min="2" max="2" width="2.5703125" customWidth="1"/>
    <col min="3" max="3" width="9.28515625" customWidth="1"/>
    <col min="4" max="5" width="16.140625" customWidth="1"/>
    <col min="6" max="6" width="14.42578125" customWidth="1"/>
    <col min="7" max="7" width="1.42578125" style="244" customWidth="1"/>
    <col min="8" max="9" width="16.140625" customWidth="1"/>
    <col min="10" max="10" width="14.42578125" customWidth="1"/>
    <col min="11" max="11" width="1.5703125" style="244" customWidth="1"/>
    <col min="12" max="12" width="16.140625" customWidth="1"/>
    <col min="13" max="13" width="10" customWidth="1"/>
    <col min="14" max="14" width="16.140625" customWidth="1"/>
    <col min="15" max="15" width="14.42578125" customWidth="1"/>
    <col min="16" max="16" width="1.28515625" style="244" customWidth="1"/>
    <col min="17" max="17" width="14.42578125" customWidth="1"/>
    <col min="20" max="21" width="11.85546875" hidden="1" customWidth="1"/>
    <col min="55" max="55" width="12.85546875" bestFit="1" customWidth="1"/>
  </cols>
  <sheetData>
    <row r="1" spans="3:58" x14ac:dyDescent="0.25">
      <c r="BA1" t="s">
        <v>133</v>
      </c>
      <c r="BB1" t="s">
        <v>176</v>
      </c>
      <c r="BC1">
        <v>2</v>
      </c>
      <c r="BD1" t="s">
        <v>136</v>
      </c>
      <c r="BF1">
        <v>0</v>
      </c>
    </row>
    <row r="2" spans="3:58" ht="31.5" customHeight="1" thickBot="1" x14ac:dyDescent="0.3">
      <c r="F2" s="16" t="s">
        <v>45</v>
      </c>
      <c r="G2" s="251"/>
      <c r="I2" s="18" t="s">
        <v>46</v>
      </c>
      <c r="BC2" t="s">
        <v>134</v>
      </c>
      <c r="BD2" t="s">
        <v>135</v>
      </c>
    </row>
    <row r="3" spans="3:58" ht="16.5" thickBot="1" x14ac:dyDescent="0.3">
      <c r="C3" s="7"/>
      <c r="D3" s="292" t="s">
        <v>26</v>
      </c>
      <c r="E3" s="293"/>
      <c r="F3" s="294"/>
      <c r="G3" s="245"/>
      <c r="H3" s="292" t="s">
        <v>27</v>
      </c>
      <c r="I3" s="293"/>
      <c r="J3" s="294"/>
      <c r="K3" s="245">
        <f>SUBTOTAL(9,K5:K10000)</f>
        <v>0</v>
      </c>
      <c r="L3" s="299" t="s">
        <v>174</v>
      </c>
      <c r="M3" s="300"/>
      <c r="N3" s="300"/>
      <c r="O3" s="301"/>
      <c r="P3" s="250"/>
      <c r="Q3" s="290" t="s">
        <v>175</v>
      </c>
      <c r="R3" s="8"/>
      <c r="S3" s="8"/>
      <c r="T3" s="8"/>
      <c r="U3" s="9"/>
    </row>
    <row r="4" spans="3:58" ht="15.75" x14ac:dyDescent="0.25">
      <c r="C4" s="10">
        <v>1</v>
      </c>
      <c r="D4" s="268" t="s">
        <v>30</v>
      </c>
      <c r="E4" s="248" t="s">
        <v>31</v>
      </c>
      <c r="F4" s="269" t="s">
        <v>29</v>
      </c>
      <c r="G4" s="246"/>
      <c r="H4" s="268" t="s">
        <v>30</v>
      </c>
      <c r="I4" s="248" t="s">
        <v>31</v>
      </c>
      <c r="J4" s="269" t="s">
        <v>29</v>
      </c>
      <c r="K4" s="246"/>
      <c r="L4" s="295" t="s">
        <v>30</v>
      </c>
      <c r="M4" s="296"/>
      <c r="N4" s="297" t="s">
        <v>31</v>
      </c>
      <c r="O4" s="298"/>
      <c r="P4" s="245"/>
      <c r="Q4" s="291"/>
      <c r="R4" s="11"/>
      <c r="S4" s="11"/>
      <c r="T4" s="11"/>
      <c r="U4" s="11"/>
    </row>
    <row r="5" spans="3:58" ht="29.25" customHeight="1" x14ac:dyDescent="0.25">
      <c r="C5" s="273" t="s">
        <v>33</v>
      </c>
      <c r="D5" s="261">
        <f>SUMIFS(LANÇAMENTOS_01!J:J,LANÇAMENTOS_01!K:K,"&gt;="&amp;T5,LANÇAMENTOS_01!K:K,"&lt;="&amp;U5)</f>
        <v>0</v>
      </c>
      <c r="E5" s="12">
        <f>SUMIFS(LANÇAMENTOS_02!J:J,LANÇAMENTOS_02!K:K,"&gt;="&amp;T5,LANÇAMENTOS_02!K:K,"&lt;="&amp;U5)</f>
        <v>0</v>
      </c>
      <c r="F5" s="270">
        <f t="shared" ref="F5" si="0">D5-E5</f>
        <v>0</v>
      </c>
      <c r="G5" s="247"/>
      <c r="H5" s="261">
        <f>SUMIFS(LANÇAMENTOS_01!J:J,LANÇAMENTOS_01!L:L,"&gt;="&amp;T5,LANÇAMENTOS_01!L:L,"&lt;="&amp;U5)</f>
        <v>0</v>
      </c>
      <c r="I5" s="12">
        <f>SUMIFS(LANÇAMENTOS_02!J:J,LANÇAMENTOS_02!L:L,"&gt;="&amp;T5,LANÇAMENTOS_02!L:L,"&lt;="&amp;U5)</f>
        <v>0</v>
      </c>
      <c r="J5" s="270">
        <f t="shared" ref="J5:J16" si="1">H5-I5</f>
        <v>0</v>
      </c>
      <c r="K5" s="247"/>
      <c r="L5" s="261">
        <f t="shared" ref="L5:L16" si="2">D5-H5</f>
        <v>0</v>
      </c>
      <c r="M5" s="262">
        <f>IF(ISERROR(H5/D5),0,(H5/D5))</f>
        <v>0</v>
      </c>
      <c r="N5" s="261">
        <f t="shared" ref="N5:N16" si="3">E5-I5</f>
        <v>0</v>
      </c>
      <c r="O5" s="265">
        <f>IF(ISERROR(I5/E5),0,(I5/E5))</f>
        <v>0</v>
      </c>
      <c r="P5" s="249"/>
      <c r="Q5" s="266">
        <f t="shared" ref="Q5:Q16" si="4">L5-N5</f>
        <v>0</v>
      </c>
      <c r="R5" s="11"/>
      <c r="S5" s="11"/>
      <c r="T5" s="13" t="str">
        <f>"01/01/"&amp;$C$17</f>
        <v>01/01/2021</v>
      </c>
      <c r="U5" s="14">
        <f t="shared" ref="U5:U16" si="5">T6-1</f>
        <v>44227</v>
      </c>
    </row>
    <row r="6" spans="3:58" ht="29.25" customHeight="1" x14ac:dyDescent="0.25">
      <c r="C6" s="273" t="s">
        <v>34</v>
      </c>
      <c r="D6" s="261">
        <f>SUMIFS(LANÇAMENTOS_01!J:J,LANÇAMENTOS_01!K:K,"&gt;="&amp;T6,LANÇAMENTOS_01!K:K,"&lt;="&amp;U6)</f>
        <v>0</v>
      </c>
      <c r="E6" s="12">
        <f>SUMIFS(LANÇAMENTOS_02!J:J,LANÇAMENTOS_02!K:K,"&gt;="&amp;T6,LANÇAMENTOS_02!K:K,"&lt;="&amp;U6)</f>
        <v>0</v>
      </c>
      <c r="F6" s="270">
        <f t="shared" ref="F6:F16" si="6">D6-E6</f>
        <v>0</v>
      </c>
      <c r="G6" s="247"/>
      <c r="H6" s="261">
        <f>SUMIFS(LANÇAMENTOS_01!J:J,LANÇAMENTOS_01!L:L,"&gt;="&amp;T6,LANÇAMENTOS_01!L:L,"&lt;="&amp;U6)</f>
        <v>0</v>
      </c>
      <c r="I6" s="12">
        <f>SUMIFS(LANÇAMENTOS_02!J:J,LANÇAMENTOS_02!L:L,"&gt;="&amp;T6,LANÇAMENTOS_02!L:L,"&lt;="&amp;U6)</f>
        <v>0</v>
      </c>
      <c r="J6" s="270">
        <f t="shared" si="1"/>
        <v>0</v>
      </c>
      <c r="K6" s="247"/>
      <c r="L6" s="261">
        <f t="shared" si="2"/>
        <v>0</v>
      </c>
      <c r="M6" s="262">
        <f t="shared" ref="M6:M16" si="7">IF(ISERROR(H6/D6),0,(H6/D6))</f>
        <v>0</v>
      </c>
      <c r="N6" s="261">
        <f t="shared" si="3"/>
        <v>0</v>
      </c>
      <c r="O6" s="265">
        <f t="shared" ref="O6:O16" si="8">IF(ISERROR(I6/E6),0,(I6/E6))</f>
        <v>0</v>
      </c>
      <c r="P6" s="249"/>
      <c r="Q6" s="266">
        <f t="shared" si="4"/>
        <v>0</v>
      </c>
      <c r="R6" s="11"/>
      <c r="S6" s="11"/>
      <c r="T6" s="13" t="str">
        <f>"01/02/"&amp;$C$17</f>
        <v>01/02/2021</v>
      </c>
      <c r="U6" s="14">
        <f t="shared" si="5"/>
        <v>44255</v>
      </c>
    </row>
    <row r="7" spans="3:58" ht="29.25" customHeight="1" x14ac:dyDescent="0.25">
      <c r="C7" s="273" t="s">
        <v>35</v>
      </c>
      <c r="D7" s="261">
        <f>SUMIFS(LANÇAMENTOS_01!J:J,LANÇAMENTOS_01!K:K,"&gt;="&amp;T7,LANÇAMENTOS_01!K:K,"&lt;="&amp;U7)</f>
        <v>0</v>
      </c>
      <c r="E7" s="12">
        <f>SUMIFS(LANÇAMENTOS_02!J:J,LANÇAMENTOS_02!K:K,"&gt;="&amp;T7,LANÇAMENTOS_02!K:K,"&lt;="&amp;U7)</f>
        <v>0</v>
      </c>
      <c r="F7" s="270">
        <f t="shared" si="6"/>
        <v>0</v>
      </c>
      <c r="G7" s="247"/>
      <c r="H7" s="261">
        <f>SUMIFS(LANÇAMENTOS_01!J:J,LANÇAMENTOS_01!L:L,"&gt;="&amp;T7,LANÇAMENTOS_01!L:L,"&lt;="&amp;U7)</f>
        <v>0</v>
      </c>
      <c r="I7" s="12">
        <f>SUMIFS(LANÇAMENTOS_02!J:J,LANÇAMENTOS_02!L:L,"&gt;="&amp;T7,LANÇAMENTOS_02!L:L,"&lt;="&amp;U7)</f>
        <v>0</v>
      </c>
      <c r="J7" s="270">
        <f t="shared" si="1"/>
        <v>0</v>
      </c>
      <c r="K7" s="247"/>
      <c r="L7" s="261">
        <f t="shared" si="2"/>
        <v>0</v>
      </c>
      <c r="M7" s="262">
        <f t="shared" si="7"/>
        <v>0</v>
      </c>
      <c r="N7" s="261">
        <f t="shared" si="3"/>
        <v>0</v>
      </c>
      <c r="O7" s="265">
        <f t="shared" si="8"/>
        <v>0</v>
      </c>
      <c r="P7" s="249"/>
      <c r="Q7" s="266">
        <f t="shared" si="4"/>
        <v>0</v>
      </c>
      <c r="R7" s="11"/>
      <c r="S7" s="11"/>
      <c r="T7" s="13" t="str">
        <f>"01/03/"&amp;$C$17</f>
        <v>01/03/2021</v>
      </c>
      <c r="U7" s="14">
        <f t="shared" si="5"/>
        <v>44286</v>
      </c>
    </row>
    <row r="8" spans="3:58" ht="29.25" customHeight="1" x14ac:dyDescent="0.25">
      <c r="C8" s="273" t="s">
        <v>36</v>
      </c>
      <c r="D8" s="261">
        <f>SUMIFS(LANÇAMENTOS_01!J:J,LANÇAMENTOS_01!K:K,"&gt;="&amp;T8,LANÇAMENTOS_01!K:K,"&lt;="&amp;U8)</f>
        <v>0</v>
      </c>
      <c r="E8" s="12">
        <f>SUMIFS(LANÇAMENTOS_02!J:J,LANÇAMENTOS_02!K:K,"&gt;="&amp;T8,LANÇAMENTOS_02!K:K,"&lt;="&amp;U8)</f>
        <v>0</v>
      </c>
      <c r="F8" s="270">
        <f t="shared" si="6"/>
        <v>0</v>
      </c>
      <c r="G8" s="247"/>
      <c r="H8" s="261">
        <f>SUMIFS(LANÇAMENTOS_01!J:J,LANÇAMENTOS_01!L:L,"&gt;="&amp;T8,LANÇAMENTOS_01!L:L,"&lt;="&amp;U8)</f>
        <v>0</v>
      </c>
      <c r="I8" s="12">
        <f>SUMIFS(LANÇAMENTOS_02!J:J,LANÇAMENTOS_02!L:L,"&gt;="&amp;T8,LANÇAMENTOS_02!L:L,"&lt;="&amp;U8)</f>
        <v>0</v>
      </c>
      <c r="J8" s="270">
        <f t="shared" si="1"/>
        <v>0</v>
      </c>
      <c r="K8" s="247"/>
      <c r="L8" s="261">
        <f t="shared" si="2"/>
        <v>0</v>
      </c>
      <c r="M8" s="262">
        <f t="shared" si="7"/>
        <v>0</v>
      </c>
      <c r="N8" s="261">
        <f t="shared" si="3"/>
        <v>0</v>
      </c>
      <c r="O8" s="265">
        <f t="shared" si="8"/>
        <v>0</v>
      </c>
      <c r="P8" s="249"/>
      <c r="Q8" s="266">
        <f t="shared" si="4"/>
        <v>0</v>
      </c>
      <c r="R8" s="11"/>
      <c r="S8" s="11"/>
      <c r="T8" s="13" t="str">
        <f>"01/04/"&amp;$C$17</f>
        <v>01/04/2021</v>
      </c>
      <c r="U8" s="14">
        <f t="shared" si="5"/>
        <v>44316</v>
      </c>
    </row>
    <row r="9" spans="3:58" ht="29.25" customHeight="1" x14ac:dyDescent="0.25">
      <c r="C9" s="273" t="s">
        <v>37</v>
      </c>
      <c r="D9" s="261">
        <f>SUMIFS(LANÇAMENTOS_01!J:J,LANÇAMENTOS_01!K:K,"&gt;="&amp;T9,LANÇAMENTOS_01!K:K,"&lt;="&amp;U9)</f>
        <v>0</v>
      </c>
      <c r="E9" s="12">
        <f>SUMIFS(LANÇAMENTOS_02!J:J,LANÇAMENTOS_02!K:K,"&gt;="&amp;T9,LANÇAMENTOS_02!K:K,"&lt;="&amp;U9)</f>
        <v>0</v>
      </c>
      <c r="F9" s="270">
        <f t="shared" si="6"/>
        <v>0</v>
      </c>
      <c r="G9" s="247"/>
      <c r="H9" s="261">
        <f>SUMIFS(LANÇAMENTOS_01!J:J,LANÇAMENTOS_01!L:L,"&gt;="&amp;T9,LANÇAMENTOS_01!L:L,"&lt;="&amp;U9)</f>
        <v>0</v>
      </c>
      <c r="I9" s="12">
        <f>SUMIFS(LANÇAMENTOS_02!J:J,LANÇAMENTOS_02!L:L,"&gt;="&amp;T9,LANÇAMENTOS_02!L:L,"&lt;="&amp;U9)</f>
        <v>0</v>
      </c>
      <c r="J9" s="270">
        <f t="shared" si="1"/>
        <v>0</v>
      </c>
      <c r="K9" s="247"/>
      <c r="L9" s="261">
        <f t="shared" si="2"/>
        <v>0</v>
      </c>
      <c r="M9" s="262">
        <f t="shared" si="7"/>
        <v>0</v>
      </c>
      <c r="N9" s="261">
        <f t="shared" si="3"/>
        <v>0</v>
      </c>
      <c r="O9" s="265">
        <f t="shared" si="8"/>
        <v>0</v>
      </c>
      <c r="P9" s="249"/>
      <c r="Q9" s="266">
        <f t="shared" si="4"/>
        <v>0</v>
      </c>
      <c r="R9" s="11"/>
      <c r="S9" s="11"/>
      <c r="T9" s="13" t="str">
        <f>"01/05/"&amp;$C$17</f>
        <v>01/05/2021</v>
      </c>
      <c r="U9" s="14">
        <f t="shared" si="5"/>
        <v>44347</v>
      </c>
    </row>
    <row r="10" spans="3:58" ht="29.25" customHeight="1" x14ac:dyDescent="0.25">
      <c r="C10" s="273" t="s">
        <v>38</v>
      </c>
      <c r="D10" s="261">
        <f>SUMIFS(LANÇAMENTOS_01!J:J,LANÇAMENTOS_01!K:K,"&gt;="&amp;T10,LANÇAMENTOS_01!K:K,"&lt;="&amp;U10)</f>
        <v>0</v>
      </c>
      <c r="E10" s="12">
        <f>SUMIFS(LANÇAMENTOS_02!J:J,LANÇAMENTOS_02!K:K,"&gt;="&amp;T10,LANÇAMENTOS_02!K:K,"&lt;="&amp;U10)</f>
        <v>0</v>
      </c>
      <c r="F10" s="270">
        <f t="shared" si="6"/>
        <v>0</v>
      </c>
      <c r="G10" s="247"/>
      <c r="H10" s="261">
        <f>SUMIFS(LANÇAMENTOS_01!J:J,LANÇAMENTOS_01!L:L,"&gt;="&amp;T10,LANÇAMENTOS_01!L:L,"&lt;="&amp;U10)</f>
        <v>0</v>
      </c>
      <c r="I10" s="12">
        <f>SUMIFS(LANÇAMENTOS_02!J:J,LANÇAMENTOS_02!L:L,"&gt;="&amp;T10,LANÇAMENTOS_02!L:L,"&lt;="&amp;U10)</f>
        <v>0</v>
      </c>
      <c r="J10" s="270">
        <f t="shared" si="1"/>
        <v>0</v>
      </c>
      <c r="K10" s="247"/>
      <c r="L10" s="261">
        <f t="shared" si="2"/>
        <v>0</v>
      </c>
      <c r="M10" s="262">
        <f t="shared" si="7"/>
        <v>0</v>
      </c>
      <c r="N10" s="261">
        <f t="shared" si="3"/>
        <v>0</v>
      </c>
      <c r="O10" s="265">
        <f t="shared" si="8"/>
        <v>0</v>
      </c>
      <c r="P10" s="249"/>
      <c r="Q10" s="266">
        <f t="shared" si="4"/>
        <v>0</v>
      </c>
      <c r="R10" s="11"/>
      <c r="S10" s="11"/>
      <c r="T10" s="13" t="str">
        <f>"01/06/"&amp;$C$17</f>
        <v>01/06/2021</v>
      </c>
      <c r="U10" s="14">
        <f t="shared" si="5"/>
        <v>44377</v>
      </c>
    </row>
    <row r="11" spans="3:58" ht="29.25" customHeight="1" x14ac:dyDescent="0.25">
      <c r="C11" s="273" t="s">
        <v>39</v>
      </c>
      <c r="D11" s="261">
        <f>SUMIFS(LANÇAMENTOS_01!J:J,LANÇAMENTOS_01!K:K,"&gt;="&amp;T11,LANÇAMENTOS_01!K:K,"&lt;="&amp;U11)</f>
        <v>0</v>
      </c>
      <c r="E11" s="12">
        <f>SUMIFS(LANÇAMENTOS_02!J:J,LANÇAMENTOS_02!K:K,"&gt;="&amp;T11,LANÇAMENTOS_02!K:K,"&lt;="&amp;U11)</f>
        <v>0</v>
      </c>
      <c r="F11" s="270">
        <f t="shared" si="6"/>
        <v>0</v>
      </c>
      <c r="G11" s="247"/>
      <c r="H11" s="261">
        <f>SUMIFS(LANÇAMENTOS_01!J:J,LANÇAMENTOS_01!L:L,"&gt;="&amp;T11,LANÇAMENTOS_01!L:L,"&lt;="&amp;U11)</f>
        <v>0</v>
      </c>
      <c r="I11" s="12">
        <f>SUMIFS(LANÇAMENTOS_02!J:J,LANÇAMENTOS_02!L:L,"&gt;="&amp;T11,LANÇAMENTOS_02!L:L,"&lt;="&amp;U11)</f>
        <v>0</v>
      </c>
      <c r="J11" s="270">
        <f t="shared" si="1"/>
        <v>0</v>
      </c>
      <c r="K11" s="247"/>
      <c r="L11" s="261">
        <f t="shared" si="2"/>
        <v>0</v>
      </c>
      <c r="M11" s="262">
        <f t="shared" si="7"/>
        <v>0</v>
      </c>
      <c r="N11" s="261">
        <f t="shared" si="3"/>
        <v>0</v>
      </c>
      <c r="O11" s="265">
        <f t="shared" si="8"/>
        <v>0</v>
      </c>
      <c r="P11" s="249"/>
      <c r="Q11" s="266">
        <f t="shared" si="4"/>
        <v>0</v>
      </c>
      <c r="R11" s="11"/>
      <c r="S11" s="11"/>
      <c r="T11" s="13" t="str">
        <f>"01/07/"&amp;$C$17</f>
        <v>01/07/2021</v>
      </c>
      <c r="U11" s="14">
        <f t="shared" si="5"/>
        <v>44408</v>
      </c>
    </row>
    <row r="12" spans="3:58" ht="29.25" customHeight="1" x14ac:dyDescent="0.25">
      <c r="C12" s="273" t="s">
        <v>40</v>
      </c>
      <c r="D12" s="261">
        <f>SUMIFS(LANÇAMENTOS_01!J:J,LANÇAMENTOS_01!K:K,"&gt;="&amp;T12,LANÇAMENTOS_01!K:K,"&lt;="&amp;U12)</f>
        <v>0</v>
      </c>
      <c r="E12" s="12">
        <f>SUMIFS(LANÇAMENTOS_02!J:J,LANÇAMENTOS_02!K:K,"&gt;="&amp;T12,LANÇAMENTOS_02!K:K,"&lt;="&amp;U12)</f>
        <v>0</v>
      </c>
      <c r="F12" s="270">
        <f t="shared" si="6"/>
        <v>0</v>
      </c>
      <c r="G12" s="247"/>
      <c r="H12" s="261">
        <f>SUMIFS(LANÇAMENTOS_01!J:J,LANÇAMENTOS_01!L:L,"&gt;="&amp;T12,LANÇAMENTOS_01!L:L,"&lt;="&amp;U12)</f>
        <v>0</v>
      </c>
      <c r="I12" s="12">
        <f>SUMIFS(LANÇAMENTOS_02!J:J,LANÇAMENTOS_02!L:L,"&gt;="&amp;T12,LANÇAMENTOS_02!L:L,"&lt;="&amp;U12)</f>
        <v>0</v>
      </c>
      <c r="J12" s="270">
        <f t="shared" si="1"/>
        <v>0</v>
      </c>
      <c r="K12" s="247"/>
      <c r="L12" s="261">
        <f t="shared" si="2"/>
        <v>0</v>
      </c>
      <c r="M12" s="262">
        <f t="shared" si="7"/>
        <v>0</v>
      </c>
      <c r="N12" s="261">
        <f t="shared" si="3"/>
        <v>0</v>
      </c>
      <c r="O12" s="265">
        <f t="shared" si="8"/>
        <v>0</v>
      </c>
      <c r="P12" s="249"/>
      <c r="Q12" s="266">
        <f t="shared" si="4"/>
        <v>0</v>
      </c>
      <c r="R12" s="11"/>
      <c r="S12" s="11"/>
      <c r="T12" s="13" t="str">
        <f>"01/08/"&amp;$C$17</f>
        <v>01/08/2021</v>
      </c>
      <c r="U12" s="14">
        <f t="shared" si="5"/>
        <v>44439</v>
      </c>
    </row>
    <row r="13" spans="3:58" ht="29.25" customHeight="1" x14ac:dyDescent="0.25">
      <c r="C13" s="273" t="s">
        <v>41</v>
      </c>
      <c r="D13" s="261">
        <f>SUMIFS(LANÇAMENTOS_01!J:J,LANÇAMENTOS_01!K:K,"&gt;="&amp;T13,LANÇAMENTOS_01!K:K,"&lt;="&amp;U13)</f>
        <v>0</v>
      </c>
      <c r="E13" s="12">
        <f>SUMIFS(LANÇAMENTOS_02!J:J,LANÇAMENTOS_02!K:K,"&gt;="&amp;T13,LANÇAMENTOS_02!K:K,"&lt;="&amp;U13)</f>
        <v>0</v>
      </c>
      <c r="F13" s="270">
        <f t="shared" si="6"/>
        <v>0</v>
      </c>
      <c r="G13" s="247"/>
      <c r="H13" s="261">
        <f>SUMIFS(LANÇAMENTOS_01!J:J,LANÇAMENTOS_01!L:L,"&gt;="&amp;T13,LANÇAMENTOS_01!L:L,"&lt;="&amp;U13)</f>
        <v>0</v>
      </c>
      <c r="I13" s="12">
        <f>SUMIFS(LANÇAMENTOS_02!J:J,LANÇAMENTOS_02!L:L,"&gt;="&amp;T13,LANÇAMENTOS_02!L:L,"&lt;="&amp;U13)</f>
        <v>0</v>
      </c>
      <c r="J13" s="270">
        <f t="shared" si="1"/>
        <v>0</v>
      </c>
      <c r="K13" s="247"/>
      <c r="L13" s="261">
        <f t="shared" si="2"/>
        <v>0</v>
      </c>
      <c r="M13" s="262">
        <f t="shared" si="7"/>
        <v>0</v>
      </c>
      <c r="N13" s="261">
        <f t="shared" si="3"/>
        <v>0</v>
      </c>
      <c r="O13" s="265">
        <f t="shared" si="8"/>
        <v>0</v>
      </c>
      <c r="P13" s="249"/>
      <c r="Q13" s="266">
        <f t="shared" si="4"/>
        <v>0</v>
      </c>
      <c r="R13" s="11"/>
      <c r="S13" s="11"/>
      <c r="T13" s="13" t="str">
        <f>"01/09/"&amp;$C$17</f>
        <v>01/09/2021</v>
      </c>
      <c r="U13" s="14">
        <f t="shared" si="5"/>
        <v>44469</v>
      </c>
    </row>
    <row r="14" spans="3:58" ht="29.25" customHeight="1" x14ac:dyDescent="0.25">
      <c r="C14" s="273" t="s">
        <v>42</v>
      </c>
      <c r="D14" s="261">
        <f>SUMIFS(LANÇAMENTOS_01!J:J,LANÇAMENTOS_01!K:K,"&gt;="&amp;T14,LANÇAMENTOS_01!K:K,"&lt;="&amp;U14)</f>
        <v>0</v>
      </c>
      <c r="E14" s="12">
        <f>SUMIFS(LANÇAMENTOS_02!J:J,LANÇAMENTOS_02!K:K,"&gt;="&amp;T14,LANÇAMENTOS_02!K:K,"&lt;="&amp;U14)</f>
        <v>0</v>
      </c>
      <c r="F14" s="270">
        <f t="shared" si="6"/>
        <v>0</v>
      </c>
      <c r="G14" s="247"/>
      <c r="H14" s="261">
        <f>SUMIFS(LANÇAMENTOS_01!J:J,LANÇAMENTOS_01!L:L,"&gt;="&amp;T14,LANÇAMENTOS_01!L:L,"&lt;="&amp;U14)</f>
        <v>0</v>
      </c>
      <c r="I14" s="12">
        <f>SUMIFS(LANÇAMENTOS_02!J:J,LANÇAMENTOS_02!L:L,"&gt;="&amp;T14,LANÇAMENTOS_02!L:L,"&lt;="&amp;U14)</f>
        <v>0</v>
      </c>
      <c r="J14" s="270">
        <f t="shared" si="1"/>
        <v>0</v>
      </c>
      <c r="K14" s="247"/>
      <c r="L14" s="261">
        <f t="shared" si="2"/>
        <v>0</v>
      </c>
      <c r="M14" s="262">
        <f t="shared" si="7"/>
        <v>0</v>
      </c>
      <c r="N14" s="261">
        <f t="shared" si="3"/>
        <v>0</v>
      </c>
      <c r="O14" s="265">
        <f t="shared" si="8"/>
        <v>0</v>
      </c>
      <c r="P14" s="249"/>
      <c r="Q14" s="266">
        <f t="shared" si="4"/>
        <v>0</v>
      </c>
      <c r="R14" s="11"/>
      <c r="S14" s="11"/>
      <c r="T14" s="13" t="str">
        <f>"01/10/"&amp;$C$17</f>
        <v>01/10/2021</v>
      </c>
      <c r="U14" s="14">
        <f t="shared" si="5"/>
        <v>44500</v>
      </c>
    </row>
    <row r="15" spans="3:58" ht="29.25" customHeight="1" x14ac:dyDescent="0.25">
      <c r="C15" s="273" t="s">
        <v>43</v>
      </c>
      <c r="D15" s="261">
        <f>SUMIFS(LANÇAMENTOS_01!J:J,LANÇAMENTOS_01!K:K,"&gt;="&amp;T15,LANÇAMENTOS_01!K:K,"&lt;="&amp;U15)</f>
        <v>0</v>
      </c>
      <c r="E15" s="12">
        <f>SUMIFS(LANÇAMENTOS_02!J:J,LANÇAMENTOS_02!K:K,"&gt;="&amp;T15,LANÇAMENTOS_02!K:K,"&lt;="&amp;U15)</f>
        <v>0</v>
      </c>
      <c r="F15" s="270">
        <f t="shared" si="6"/>
        <v>0</v>
      </c>
      <c r="G15" s="247"/>
      <c r="H15" s="261">
        <f>SUMIFS(LANÇAMENTOS_01!J:J,LANÇAMENTOS_01!L:L,"&gt;="&amp;T15,LANÇAMENTOS_01!L:L,"&lt;="&amp;U15)</f>
        <v>0</v>
      </c>
      <c r="I15" s="12">
        <f>SUMIFS(LANÇAMENTOS_02!J:J,LANÇAMENTOS_02!L:L,"&gt;="&amp;T15,LANÇAMENTOS_02!L:L,"&lt;="&amp;U15)</f>
        <v>0</v>
      </c>
      <c r="J15" s="270">
        <f t="shared" si="1"/>
        <v>0</v>
      </c>
      <c r="K15" s="247"/>
      <c r="L15" s="261">
        <f t="shared" si="2"/>
        <v>0</v>
      </c>
      <c r="M15" s="262">
        <f t="shared" si="7"/>
        <v>0</v>
      </c>
      <c r="N15" s="261">
        <f t="shared" si="3"/>
        <v>0</v>
      </c>
      <c r="O15" s="265">
        <f t="shared" si="8"/>
        <v>0</v>
      </c>
      <c r="P15" s="249"/>
      <c r="Q15" s="266">
        <f t="shared" si="4"/>
        <v>0</v>
      </c>
      <c r="R15" s="11"/>
      <c r="S15" s="11"/>
      <c r="T15" s="13" t="str">
        <f>"01/11/"&amp;$C$17</f>
        <v>01/11/2021</v>
      </c>
      <c r="U15" s="14">
        <f t="shared" si="5"/>
        <v>44530</v>
      </c>
    </row>
    <row r="16" spans="3:58" ht="29.25" customHeight="1" x14ac:dyDescent="0.25">
      <c r="C16" s="273" t="s">
        <v>44</v>
      </c>
      <c r="D16" s="261">
        <f>SUMIFS(LANÇAMENTOS_01!J:J,LANÇAMENTOS_01!K:K,"&gt;="&amp;T16,LANÇAMENTOS_01!K:K,"&lt;="&amp;U16)</f>
        <v>0</v>
      </c>
      <c r="E16" s="12">
        <f>SUMIFS(LANÇAMENTOS_02!J:J,LANÇAMENTOS_02!K:K,"&gt;="&amp;T16,LANÇAMENTOS_02!K:K,"&lt;="&amp;U16)</f>
        <v>0</v>
      </c>
      <c r="F16" s="270">
        <f t="shared" si="6"/>
        <v>0</v>
      </c>
      <c r="G16" s="247"/>
      <c r="H16" s="261">
        <f>SUMIFS(LANÇAMENTOS_01!J:J,LANÇAMENTOS_01!L:L,"&gt;="&amp;T16,LANÇAMENTOS_01!L:L,"&lt;="&amp;U16)</f>
        <v>0</v>
      </c>
      <c r="I16" s="12">
        <f>SUMIFS(LANÇAMENTOS_02!J:J,LANÇAMENTOS_02!L:L,"&gt;="&amp;T16,LANÇAMENTOS_02!L:L,"&lt;="&amp;U16)</f>
        <v>0</v>
      </c>
      <c r="J16" s="270">
        <f t="shared" si="1"/>
        <v>0</v>
      </c>
      <c r="K16" s="247"/>
      <c r="L16" s="261">
        <f t="shared" si="2"/>
        <v>0</v>
      </c>
      <c r="M16" s="262">
        <f t="shared" si="7"/>
        <v>0</v>
      </c>
      <c r="N16" s="261">
        <f t="shared" si="3"/>
        <v>0</v>
      </c>
      <c r="O16" s="265">
        <f t="shared" si="8"/>
        <v>0</v>
      </c>
      <c r="P16" s="249"/>
      <c r="Q16" s="266">
        <f t="shared" si="4"/>
        <v>0</v>
      </c>
      <c r="R16" s="11"/>
      <c r="S16" s="11"/>
      <c r="T16" s="13" t="str">
        <f>"01/12/"&amp;$C$17</f>
        <v>01/12/2021</v>
      </c>
      <c r="U16" s="14">
        <f t="shared" si="5"/>
        <v>44561</v>
      </c>
    </row>
    <row r="17" spans="3:21" ht="29.25" customHeight="1" thickBot="1" x14ac:dyDescent="0.3">
      <c r="C17" s="15">
        <f>VLOOKUP(C4,CADASTRO_AUX!O1:P13,2,0)</f>
        <v>2021</v>
      </c>
      <c r="D17" s="263">
        <f>SUM(D5:D16)</f>
        <v>0</v>
      </c>
      <c r="E17" s="271">
        <f t="shared" ref="E17:Q17" si="9">SUM(E5:E16)</f>
        <v>0</v>
      </c>
      <c r="F17" s="272">
        <f t="shared" si="9"/>
        <v>0</v>
      </c>
      <c r="G17" s="247"/>
      <c r="H17" s="263">
        <f t="shared" si="9"/>
        <v>0</v>
      </c>
      <c r="I17" s="271">
        <f t="shared" si="9"/>
        <v>0</v>
      </c>
      <c r="J17" s="272">
        <f t="shared" si="9"/>
        <v>0</v>
      </c>
      <c r="K17" s="247"/>
      <c r="L17" s="263">
        <f t="shared" si="9"/>
        <v>0</v>
      </c>
      <c r="M17" s="264" t="e">
        <f>H17/D17</f>
        <v>#DIV/0!</v>
      </c>
      <c r="N17" s="263">
        <f t="shared" si="9"/>
        <v>0</v>
      </c>
      <c r="O17" s="264" t="e">
        <f t="shared" ref="O17" si="10">J17/F17</f>
        <v>#DIV/0!</v>
      </c>
      <c r="P17" s="247"/>
      <c r="Q17" s="267">
        <f t="shared" si="9"/>
        <v>0</v>
      </c>
      <c r="R17" s="11"/>
      <c r="S17" s="11"/>
      <c r="T17" s="16" t="str">
        <f>"01/01/"&amp;C17+1</f>
        <v>01/01/2022</v>
      </c>
      <c r="U17" s="16"/>
    </row>
  </sheetData>
  <mergeCells count="6">
    <mergeCell ref="Q3:Q4"/>
    <mergeCell ref="D3:F3"/>
    <mergeCell ref="H3:J3"/>
    <mergeCell ref="L4:M4"/>
    <mergeCell ref="N4:O4"/>
    <mergeCell ref="L3:O3"/>
  </mergeCells>
  <pageMargins left="0.25" right="0.25" top="0.75" bottom="0.75" header="0.3" footer="0.3"/>
  <pageSetup paperSize="9" scale="78" fitToHeight="0" orientation="landscape" r:id="rId1"/>
  <headerFooter>
    <oddHeader>&amp;R24/03/20 02:02</oddHeader>
    <oddFooter>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Drop Down 2">
              <controlPr defaultSize="0" autoLine="0" autoPict="0">
                <anchor>
                  <from>
                    <xdr:col>8</xdr:col>
                    <xdr:colOff>990600</xdr:colOff>
                    <xdr:row>0</xdr:row>
                    <xdr:rowOff>114300</xdr:rowOff>
                  </from>
                  <to>
                    <xdr:col>11</xdr:col>
                    <xdr:colOff>190500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>
    <tabColor rgb="FFFFC000"/>
    <pageSetUpPr fitToPage="1"/>
  </sheetPr>
  <dimension ref="B1:BF37"/>
  <sheetViews>
    <sheetView showGridLines="0" showRowColHeaders="0" zoomScale="90" zoomScaleNormal="90" workbookViewId="0"/>
  </sheetViews>
  <sheetFormatPr defaultRowHeight="15" x14ac:dyDescent="0.25"/>
  <cols>
    <col min="1" max="1" width="28.42578125" customWidth="1"/>
    <col min="2" max="2" width="5.7109375" bestFit="1" customWidth="1"/>
    <col min="3" max="4" width="15.85546875" customWidth="1"/>
    <col min="5" max="5" width="14.28515625" customWidth="1"/>
    <col min="6" max="6" width="4" style="244" customWidth="1"/>
    <col min="7" max="8" width="15.85546875" customWidth="1"/>
    <col min="9" max="9" width="14.28515625" customWidth="1"/>
    <col min="10" max="10" width="3.42578125" style="244" customWidth="1"/>
    <col min="11" max="12" width="15.85546875" customWidth="1"/>
    <col min="13" max="13" width="14.28515625" customWidth="1"/>
    <col min="17" max="18" width="0" hidden="1" customWidth="1"/>
  </cols>
  <sheetData>
    <row r="1" spans="2:58" ht="25.5" customHeight="1" x14ac:dyDescent="0.25">
      <c r="BA1" t="s">
        <v>137</v>
      </c>
      <c r="BB1" t="s">
        <v>139</v>
      </c>
      <c r="BC1">
        <v>1</v>
      </c>
      <c r="BD1" t="s">
        <v>138</v>
      </c>
      <c r="BF1">
        <v>0</v>
      </c>
    </row>
    <row r="2" spans="2:58" ht="29.25" customHeight="1" x14ac:dyDescent="0.25">
      <c r="E2" s="46" t="s">
        <v>56</v>
      </c>
      <c r="F2" s="253"/>
      <c r="G2" s="18" t="s">
        <v>46</v>
      </c>
      <c r="I2" s="11"/>
      <c r="J2" s="257"/>
      <c r="K2" s="258" t="s">
        <v>57</v>
      </c>
    </row>
    <row r="3" spans="2:58" ht="15.75" x14ac:dyDescent="0.25">
      <c r="B3" s="8"/>
      <c r="C3" s="302" t="s">
        <v>26</v>
      </c>
      <c r="D3" s="302"/>
      <c r="E3" s="302"/>
      <c r="F3" s="245"/>
      <c r="G3" s="302" t="s">
        <v>27</v>
      </c>
      <c r="H3" s="302"/>
      <c r="I3" s="302"/>
      <c r="J3" s="245"/>
      <c r="K3" s="302" t="s">
        <v>174</v>
      </c>
      <c r="L3" s="302"/>
      <c r="M3" s="302"/>
      <c r="N3" s="8"/>
      <c r="O3" s="8"/>
      <c r="P3" s="8"/>
      <c r="Q3" s="9"/>
      <c r="R3" s="34"/>
    </row>
    <row r="4" spans="2:58" ht="15.75" x14ac:dyDescent="0.25">
      <c r="B4" s="35">
        <v>1</v>
      </c>
      <c r="C4" s="36" t="s">
        <v>30</v>
      </c>
      <c r="D4" s="37" t="s">
        <v>31</v>
      </c>
      <c r="E4" s="38" t="s">
        <v>29</v>
      </c>
      <c r="F4" s="254"/>
      <c r="G4" s="36" t="s">
        <v>30</v>
      </c>
      <c r="H4" s="37" t="s">
        <v>31</v>
      </c>
      <c r="I4" s="38" t="s">
        <v>29</v>
      </c>
      <c r="J4" s="254"/>
      <c r="K4" s="36" t="s">
        <v>30</v>
      </c>
      <c r="L4" s="37" t="s">
        <v>31</v>
      </c>
      <c r="M4" s="38" t="s">
        <v>32</v>
      </c>
      <c r="N4" s="39">
        <v>5</v>
      </c>
      <c r="O4" s="11"/>
      <c r="P4" s="11"/>
      <c r="Q4" s="11"/>
      <c r="R4" s="40"/>
    </row>
    <row r="5" spans="2:58" ht="15.75" x14ac:dyDescent="0.25">
      <c r="B5" s="41">
        <f>IF(Q5=$N$4,R5,"    ")</f>
        <v>44317</v>
      </c>
      <c r="C5" s="42">
        <f>SUMIFS(LANÇAMENTOS_01!J:J,LANÇAMENTOS_01!K:K,B5)</f>
        <v>0</v>
      </c>
      <c r="D5" s="42">
        <f>SUMIFS(LANÇAMENTOS_02!J:J,LANÇAMENTOS_02!K:K,B5)</f>
        <v>0</v>
      </c>
      <c r="E5" s="259">
        <f t="shared" ref="E5" si="0">C5-D5</f>
        <v>0</v>
      </c>
      <c r="F5" s="255"/>
      <c r="G5" s="252">
        <f>SUMIFS(LANÇAMENTOS_01!J:J,LANÇAMENTOS_01!L:L,B5)</f>
        <v>0</v>
      </c>
      <c r="H5" s="42">
        <f>SUMIFS(LANÇAMENTOS_02!J:J,LANÇAMENTOS_02!L:L,B5)</f>
        <v>0</v>
      </c>
      <c r="I5" s="259">
        <f t="shared" ref="I5:I35" si="1">G5-H5</f>
        <v>0</v>
      </c>
      <c r="J5" s="255"/>
      <c r="K5" s="252">
        <f t="shared" ref="K5:K35" si="2">C5-G5</f>
        <v>0</v>
      </c>
      <c r="L5" s="42">
        <f t="shared" ref="L5:L35" si="3">D5-H5</f>
        <v>0</v>
      </c>
      <c r="M5" s="43">
        <f t="shared" ref="M5:M35" si="4">K5-L5</f>
        <v>0</v>
      </c>
      <c r="N5" s="11"/>
      <c r="O5" s="11"/>
      <c r="P5" s="11"/>
      <c r="Q5" s="11">
        <f t="shared" ref="Q5:Q35" si="5">MONTH(R5)</f>
        <v>5</v>
      </c>
      <c r="R5" s="44">
        <f>Q37*1</f>
        <v>44317</v>
      </c>
    </row>
    <row r="6" spans="2:58" ht="15.75" x14ac:dyDescent="0.25">
      <c r="B6" s="41">
        <f t="shared" ref="B6:B35" si="6">IF(Q6=$N$4,R6,"    ")</f>
        <v>44318</v>
      </c>
      <c r="C6" s="42">
        <f>SUMIFS(LANÇAMENTOS_01!J:J,LANÇAMENTOS_01!K:K,B6)</f>
        <v>0</v>
      </c>
      <c r="D6" s="42">
        <f>SUMIFS(LANÇAMENTOS_02!J:J,LANÇAMENTOS_02!K:K,B6)</f>
        <v>0</v>
      </c>
      <c r="E6" s="259">
        <f t="shared" ref="E6:E35" si="7">C6-D6</f>
        <v>0</v>
      </c>
      <c r="F6" s="255"/>
      <c r="G6" s="252">
        <f>SUMIFS(LANÇAMENTOS_01!J:J,LANÇAMENTOS_01!L:L,B6)</f>
        <v>0</v>
      </c>
      <c r="H6" s="42">
        <f>SUMIFS(LANÇAMENTOS_02!J:J,LANÇAMENTOS_02!L:L,B6)</f>
        <v>0</v>
      </c>
      <c r="I6" s="259">
        <f t="shared" si="1"/>
        <v>0</v>
      </c>
      <c r="J6" s="255"/>
      <c r="K6" s="252">
        <f t="shared" si="2"/>
        <v>0</v>
      </c>
      <c r="L6" s="42">
        <f t="shared" si="3"/>
        <v>0</v>
      </c>
      <c r="M6" s="43">
        <f t="shared" si="4"/>
        <v>0</v>
      </c>
      <c r="N6" s="11"/>
      <c r="O6" s="11"/>
      <c r="P6" s="11"/>
      <c r="Q6" s="11">
        <f t="shared" si="5"/>
        <v>5</v>
      </c>
      <c r="R6" s="44">
        <f t="shared" ref="R6:R35" si="8">R5+1</f>
        <v>44318</v>
      </c>
    </row>
    <row r="7" spans="2:58" ht="15.75" x14ac:dyDescent="0.25">
      <c r="B7" s="41">
        <f t="shared" si="6"/>
        <v>44319</v>
      </c>
      <c r="C7" s="42">
        <f>SUMIFS(LANÇAMENTOS_01!J:J,LANÇAMENTOS_01!K:K,B7)</f>
        <v>0</v>
      </c>
      <c r="D7" s="42">
        <f>SUMIFS(LANÇAMENTOS_02!J:J,LANÇAMENTOS_02!K:K,B7)</f>
        <v>0</v>
      </c>
      <c r="E7" s="259">
        <f t="shared" si="7"/>
        <v>0</v>
      </c>
      <c r="F7" s="255"/>
      <c r="G7" s="252">
        <f>SUMIFS(LANÇAMENTOS_01!J:J,LANÇAMENTOS_01!L:L,B7)</f>
        <v>0</v>
      </c>
      <c r="H7" s="42">
        <f>SUMIFS(LANÇAMENTOS_02!J:J,LANÇAMENTOS_02!L:L,B7)</f>
        <v>0</v>
      </c>
      <c r="I7" s="259">
        <f t="shared" si="1"/>
        <v>0</v>
      </c>
      <c r="J7" s="255"/>
      <c r="K7" s="252">
        <f t="shared" si="2"/>
        <v>0</v>
      </c>
      <c r="L7" s="42">
        <f t="shared" si="3"/>
        <v>0</v>
      </c>
      <c r="M7" s="43">
        <f t="shared" si="4"/>
        <v>0</v>
      </c>
      <c r="N7" s="11"/>
      <c r="O7" s="11"/>
      <c r="P7" s="11"/>
      <c r="Q7" s="11">
        <f t="shared" si="5"/>
        <v>5</v>
      </c>
      <c r="R7" s="44">
        <f t="shared" si="8"/>
        <v>44319</v>
      </c>
    </row>
    <row r="8" spans="2:58" ht="15.75" x14ac:dyDescent="0.25">
      <c r="B8" s="41">
        <f t="shared" si="6"/>
        <v>44320</v>
      </c>
      <c r="C8" s="42">
        <f>SUMIFS(LANÇAMENTOS_01!J:J,LANÇAMENTOS_01!K:K,B8)</f>
        <v>0</v>
      </c>
      <c r="D8" s="42">
        <f>SUMIFS(LANÇAMENTOS_02!J:J,LANÇAMENTOS_02!K:K,B8)</f>
        <v>0</v>
      </c>
      <c r="E8" s="259">
        <f t="shared" si="7"/>
        <v>0</v>
      </c>
      <c r="F8" s="255"/>
      <c r="G8" s="252">
        <f>SUMIFS(LANÇAMENTOS_01!J:J,LANÇAMENTOS_01!L:L,B8)</f>
        <v>0</v>
      </c>
      <c r="H8" s="42">
        <f>SUMIFS(LANÇAMENTOS_02!J:J,LANÇAMENTOS_02!L:L,B8)</f>
        <v>0</v>
      </c>
      <c r="I8" s="259">
        <f t="shared" si="1"/>
        <v>0</v>
      </c>
      <c r="J8" s="255"/>
      <c r="K8" s="252">
        <f t="shared" si="2"/>
        <v>0</v>
      </c>
      <c r="L8" s="42">
        <f t="shared" si="3"/>
        <v>0</v>
      </c>
      <c r="M8" s="43">
        <f t="shared" si="4"/>
        <v>0</v>
      </c>
      <c r="N8" s="11"/>
      <c r="O8" s="11"/>
      <c r="P8" s="11"/>
      <c r="Q8" s="11">
        <f t="shared" si="5"/>
        <v>5</v>
      </c>
      <c r="R8" s="44">
        <f t="shared" si="8"/>
        <v>44320</v>
      </c>
    </row>
    <row r="9" spans="2:58" ht="15.75" x14ac:dyDescent="0.25">
      <c r="B9" s="41">
        <f t="shared" si="6"/>
        <v>44321</v>
      </c>
      <c r="C9" s="42">
        <f>SUMIFS(LANÇAMENTOS_01!J:J,LANÇAMENTOS_01!K:K,B9)</f>
        <v>0</v>
      </c>
      <c r="D9" s="42">
        <f>SUMIFS(LANÇAMENTOS_02!J:J,LANÇAMENTOS_02!K:K,B9)</f>
        <v>0</v>
      </c>
      <c r="E9" s="259">
        <f t="shared" si="7"/>
        <v>0</v>
      </c>
      <c r="F9" s="255"/>
      <c r="G9" s="252">
        <f>SUMIFS(LANÇAMENTOS_01!J:J,LANÇAMENTOS_01!L:L,B9)</f>
        <v>0</v>
      </c>
      <c r="H9" s="42">
        <f>SUMIFS(LANÇAMENTOS_02!J:J,LANÇAMENTOS_02!L:L,B9)</f>
        <v>0</v>
      </c>
      <c r="I9" s="259">
        <f t="shared" si="1"/>
        <v>0</v>
      </c>
      <c r="J9" s="255"/>
      <c r="K9" s="252">
        <f t="shared" si="2"/>
        <v>0</v>
      </c>
      <c r="L9" s="42">
        <f t="shared" si="3"/>
        <v>0</v>
      </c>
      <c r="M9" s="43">
        <f t="shared" si="4"/>
        <v>0</v>
      </c>
      <c r="N9" s="11"/>
      <c r="O9" s="11"/>
      <c r="P9" s="11"/>
      <c r="Q9" s="11">
        <f t="shared" si="5"/>
        <v>5</v>
      </c>
      <c r="R9" s="44">
        <f t="shared" si="8"/>
        <v>44321</v>
      </c>
    </row>
    <row r="10" spans="2:58" ht="15.75" x14ac:dyDescent="0.25">
      <c r="B10" s="41">
        <f t="shared" si="6"/>
        <v>44322</v>
      </c>
      <c r="C10" s="42">
        <f>SUMIFS(LANÇAMENTOS_01!J:J,LANÇAMENTOS_01!K:K,B10)</f>
        <v>0</v>
      </c>
      <c r="D10" s="42">
        <f>SUMIFS(LANÇAMENTOS_02!J:J,LANÇAMENTOS_02!K:K,B10)</f>
        <v>0</v>
      </c>
      <c r="E10" s="259">
        <f t="shared" si="7"/>
        <v>0</v>
      </c>
      <c r="F10" s="255"/>
      <c r="G10" s="252">
        <f>SUMIFS(LANÇAMENTOS_01!J:J,LANÇAMENTOS_01!L:L,B10)</f>
        <v>0</v>
      </c>
      <c r="H10" s="42">
        <f>SUMIFS(LANÇAMENTOS_02!J:J,LANÇAMENTOS_02!L:L,B10)</f>
        <v>0</v>
      </c>
      <c r="I10" s="259">
        <f t="shared" si="1"/>
        <v>0</v>
      </c>
      <c r="J10" s="255"/>
      <c r="K10" s="252">
        <f t="shared" si="2"/>
        <v>0</v>
      </c>
      <c r="L10" s="42">
        <f t="shared" si="3"/>
        <v>0</v>
      </c>
      <c r="M10" s="43">
        <f t="shared" si="4"/>
        <v>0</v>
      </c>
      <c r="N10" s="11"/>
      <c r="O10" s="11"/>
      <c r="P10" s="11"/>
      <c r="Q10" s="11">
        <f t="shared" si="5"/>
        <v>5</v>
      </c>
      <c r="R10" s="44">
        <f t="shared" si="8"/>
        <v>44322</v>
      </c>
    </row>
    <row r="11" spans="2:58" ht="15.75" x14ac:dyDescent="0.25">
      <c r="B11" s="41">
        <f t="shared" si="6"/>
        <v>44323</v>
      </c>
      <c r="C11" s="42">
        <f>SUMIFS(LANÇAMENTOS_01!J:J,LANÇAMENTOS_01!K:K,B11)</f>
        <v>0</v>
      </c>
      <c r="D11" s="42">
        <f>SUMIFS(LANÇAMENTOS_02!J:J,LANÇAMENTOS_02!K:K,B11)</f>
        <v>0</v>
      </c>
      <c r="E11" s="259">
        <f t="shared" si="7"/>
        <v>0</v>
      </c>
      <c r="F11" s="255"/>
      <c r="G11" s="252">
        <f>SUMIFS(LANÇAMENTOS_01!J:J,LANÇAMENTOS_01!L:L,B11)</f>
        <v>0</v>
      </c>
      <c r="H11" s="42">
        <f>SUMIFS(LANÇAMENTOS_02!J:J,LANÇAMENTOS_02!L:L,B11)</f>
        <v>0</v>
      </c>
      <c r="I11" s="259">
        <f t="shared" si="1"/>
        <v>0</v>
      </c>
      <c r="J11" s="255"/>
      <c r="K11" s="252">
        <f t="shared" si="2"/>
        <v>0</v>
      </c>
      <c r="L11" s="42">
        <f t="shared" si="3"/>
        <v>0</v>
      </c>
      <c r="M11" s="43">
        <f t="shared" si="4"/>
        <v>0</v>
      </c>
      <c r="N11" s="11"/>
      <c r="O11" s="11"/>
      <c r="P11" s="11"/>
      <c r="Q11" s="11">
        <f t="shared" si="5"/>
        <v>5</v>
      </c>
      <c r="R11" s="44">
        <f t="shared" si="8"/>
        <v>44323</v>
      </c>
    </row>
    <row r="12" spans="2:58" ht="15.75" x14ac:dyDescent="0.25">
      <c r="B12" s="41">
        <f t="shared" si="6"/>
        <v>44324</v>
      </c>
      <c r="C12" s="42">
        <f>SUMIFS(LANÇAMENTOS_01!J:J,LANÇAMENTOS_01!K:K,B12)</f>
        <v>0</v>
      </c>
      <c r="D12" s="42">
        <f>SUMIFS(LANÇAMENTOS_02!J:J,LANÇAMENTOS_02!K:K,B12)</f>
        <v>0</v>
      </c>
      <c r="E12" s="259">
        <f t="shared" si="7"/>
        <v>0</v>
      </c>
      <c r="F12" s="255"/>
      <c r="G12" s="252">
        <f>SUMIFS(LANÇAMENTOS_01!J:J,LANÇAMENTOS_01!L:L,B12)</f>
        <v>0</v>
      </c>
      <c r="H12" s="42">
        <f>SUMIFS(LANÇAMENTOS_02!J:J,LANÇAMENTOS_02!L:L,B12)</f>
        <v>0</v>
      </c>
      <c r="I12" s="259">
        <f t="shared" si="1"/>
        <v>0</v>
      </c>
      <c r="J12" s="255"/>
      <c r="K12" s="252">
        <f t="shared" si="2"/>
        <v>0</v>
      </c>
      <c r="L12" s="42">
        <f t="shared" si="3"/>
        <v>0</v>
      </c>
      <c r="M12" s="43">
        <f t="shared" si="4"/>
        <v>0</v>
      </c>
      <c r="N12" s="11"/>
      <c r="O12" s="11"/>
      <c r="P12" s="11"/>
      <c r="Q12" s="11">
        <f t="shared" si="5"/>
        <v>5</v>
      </c>
      <c r="R12" s="44">
        <f t="shared" si="8"/>
        <v>44324</v>
      </c>
    </row>
    <row r="13" spans="2:58" ht="15.75" x14ac:dyDescent="0.25">
      <c r="B13" s="41">
        <f t="shared" si="6"/>
        <v>44325</v>
      </c>
      <c r="C13" s="42">
        <f>SUMIFS(LANÇAMENTOS_01!J:J,LANÇAMENTOS_01!K:K,B13)</f>
        <v>0</v>
      </c>
      <c r="D13" s="42">
        <f>SUMIFS(LANÇAMENTOS_02!J:J,LANÇAMENTOS_02!K:K,B13)</f>
        <v>0</v>
      </c>
      <c r="E13" s="259">
        <f t="shared" si="7"/>
        <v>0</v>
      </c>
      <c r="F13" s="255"/>
      <c r="G13" s="252">
        <f>SUMIFS(LANÇAMENTOS_01!J:J,LANÇAMENTOS_01!L:L,B13)</f>
        <v>0</v>
      </c>
      <c r="H13" s="42">
        <f>SUMIFS(LANÇAMENTOS_02!J:J,LANÇAMENTOS_02!L:L,B13)</f>
        <v>0</v>
      </c>
      <c r="I13" s="259">
        <f t="shared" si="1"/>
        <v>0</v>
      </c>
      <c r="J13" s="255"/>
      <c r="K13" s="252">
        <f t="shared" si="2"/>
        <v>0</v>
      </c>
      <c r="L13" s="42">
        <f t="shared" si="3"/>
        <v>0</v>
      </c>
      <c r="M13" s="43">
        <f t="shared" si="4"/>
        <v>0</v>
      </c>
      <c r="N13" s="11"/>
      <c r="O13" s="11"/>
      <c r="P13" s="11"/>
      <c r="Q13" s="11">
        <f t="shared" si="5"/>
        <v>5</v>
      </c>
      <c r="R13" s="44">
        <f t="shared" si="8"/>
        <v>44325</v>
      </c>
    </row>
    <row r="14" spans="2:58" ht="15.75" x14ac:dyDescent="0.25">
      <c r="B14" s="41">
        <f t="shared" si="6"/>
        <v>44326</v>
      </c>
      <c r="C14" s="42">
        <f>SUMIFS(LANÇAMENTOS_01!J:J,LANÇAMENTOS_01!K:K,B14)</f>
        <v>0</v>
      </c>
      <c r="D14" s="42">
        <f>SUMIFS(LANÇAMENTOS_02!J:J,LANÇAMENTOS_02!K:K,B14)</f>
        <v>0</v>
      </c>
      <c r="E14" s="259">
        <f t="shared" si="7"/>
        <v>0</v>
      </c>
      <c r="F14" s="255"/>
      <c r="G14" s="252">
        <f>SUMIFS(LANÇAMENTOS_01!J:J,LANÇAMENTOS_01!L:L,B14)</f>
        <v>0</v>
      </c>
      <c r="H14" s="42">
        <f>SUMIFS(LANÇAMENTOS_02!J:J,LANÇAMENTOS_02!L:L,B14)</f>
        <v>0</v>
      </c>
      <c r="I14" s="259">
        <f t="shared" si="1"/>
        <v>0</v>
      </c>
      <c r="J14" s="255"/>
      <c r="K14" s="252">
        <f t="shared" si="2"/>
        <v>0</v>
      </c>
      <c r="L14" s="42">
        <f t="shared" si="3"/>
        <v>0</v>
      </c>
      <c r="M14" s="43">
        <f t="shared" si="4"/>
        <v>0</v>
      </c>
      <c r="N14" s="11"/>
      <c r="O14" s="11"/>
      <c r="P14" s="11"/>
      <c r="Q14" s="11">
        <f t="shared" si="5"/>
        <v>5</v>
      </c>
      <c r="R14" s="44">
        <f t="shared" si="8"/>
        <v>44326</v>
      </c>
    </row>
    <row r="15" spans="2:58" ht="15.75" x14ac:dyDescent="0.25">
      <c r="B15" s="41">
        <f t="shared" si="6"/>
        <v>44327</v>
      </c>
      <c r="C15" s="42">
        <f>SUMIFS(LANÇAMENTOS_01!J:J,LANÇAMENTOS_01!K:K,B15)</f>
        <v>0</v>
      </c>
      <c r="D15" s="42">
        <f>SUMIFS(LANÇAMENTOS_02!J:J,LANÇAMENTOS_02!K:K,B15)</f>
        <v>0</v>
      </c>
      <c r="E15" s="259">
        <f t="shared" si="7"/>
        <v>0</v>
      </c>
      <c r="F15" s="255"/>
      <c r="G15" s="252">
        <f>SUMIFS(LANÇAMENTOS_01!J:J,LANÇAMENTOS_01!L:L,B15)</f>
        <v>0</v>
      </c>
      <c r="H15" s="42">
        <f>SUMIFS(LANÇAMENTOS_02!J:J,LANÇAMENTOS_02!L:L,B15)</f>
        <v>0</v>
      </c>
      <c r="I15" s="259">
        <f t="shared" si="1"/>
        <v>0</v>
      </c>
      <c r="J15" s="255"/>
      <c r="K15" s="252">
        <f t="shared" si="2"/>
        <v>0</v>
      </c>
      <c r="L15" s="42">
        <f t="shared" si="3"/>
        <v>0</v>
      </c>
      <c r="M15" s="43">
        <f t="shared" si="4"/>
        <v>0</v>
      </c>
      <c r="N15" s="11"/>
      <c r="O15" s="11"/>
      <c r="P15" s="11"/>
      <c r="Q15" s="11">
        <f t="shared" si="5"/>
        <v>5</v>
      </c>
      <c r="R15" s="44">
        <f t="shared" si="8"/>
        <v>44327</v>
      </c>
    </row>
    <row r="16" spans="2:58" ht="15.75" x14ac:dyDescent="0.25">
      <c r="B16" s="41">
        <f t="shared" si="6"/>
        <v>44328</v>
      </c>
      <c r="C16" s="42">
        <f>SUMIFS(LANÇAMENTOS_01!J:J,LANÇAMENTOS_01!K:K,B16)</f>
        <v>0</v>
      </c>
      <c r="D16" s="42">
        <f>SUMIFS(LANÇAMENTOS_02!J:J,LANÇAMENTOS_02!K:K,B16)</f>
        <v>0</v>
      </c>
      <c r="E16" s="259">
        <f t="shared" si="7"/>
        <v>0</v>
      </c>
      <c r="F16" s="255"/>
      <c r="G16" s="252">
        <f>SUMIFS(LANÇAMENTOS_01!J:J,LANÇAMENTOS_01!L:L,B16)</f>
        <v>0</v>
      </c>
      <c r="H16" s="42">
        <f>SUMIFS(LANÇAMENTOS_02!J:J,LANÇAMENTOS_02!L:L,B16)</f>
        <v>0</v>
      </c>
      <c r="I16" s="259">
        <f t="shared" si="1"/>
        <v>0</v>
      </c>
      <c r="J16" s="255"/>
      <c r="K16" s="252">
        <f t="shared" si="2"/>
        <v>0</v>
      </c>
      <c r="L16" s="42">
        <f t="shared" si="3"/>
        <v>0</v>
      </c>
      <c r="M16" s="43">
        <f t="shared" si="4"/>
        <v>0</v>
      </c>
      <c r="N16" s="11"/>
      <c r="O16" s="11"/>
      <c r="P16" s="11"/>
      <c r="Q16" s="11">
        <f t="shared" si="5"/>
        <v>5</v>
      </c>
      <c r="R16" s="44">
        <f t="shared" si="8"/>
        <v>44328</v>
      </c>
    </row>
    <row r="17" spans="2:18" ht="15.75" x14ac:dyDescent="0.25">
      <c r="B17" s="41">
        <f t="shared" si="6"/>
        <v>44329</v>
      </c>
      <c r="C17" s="42">
        <f>SUMIFS(LANÇAMENTOS_01!J:J,LANÇAMENTOS_01!K:K,B17)</f>
        <v>0</v>
      </c>
      <c r="D17" s="42">
        <f>SUMIFS(LANÇAMENTOS_02!J:J,LANÇAMENTOS_02!K:K,B17)</f>
        <v>0</v>
      </c>
      <c r="E17" s="259">
        <f t="shared" si="7"/>
        <v>0</v>
      </c>
      <c r="F17" s="255"/>
      <c r="G17" s="252">
        <f>SUMIFS(LANÇAMENTOS_01!J:J,LANÇAMENTOS_01!L:L,B17)</f>
        <v>0</v>
      </c>
      <c r="H17" s="42">
        <f>SUMIFS(LANÇAMENTOS_02!J:J,LANÇAMENTOS_02!L:L,B17)</f>
        <v>0</v>
      </c>
      <c r="I17" s="259">
        <f t="shared" si="1"/>
        <v>0</v>
      </c>
      <c r="J17" s="255"/>
      <c r="K17" s="252">
        <f t="shared" si="2"/>
        <v>0</v>
      </c>
      <c r="L17" s="42">
        <f t="shared" si="3"/>
        <v>0</v>
      </c>
      <c r="M17" s="43">
        <f t="shared" si="4"/>
        <v>0</v>
      </c>
      <c r="N17" s="11"/>
      <c r="O17" s="11"/>
      <c r="P17" s="11"/>
      <c r="Q17" s="11">
        <f t="shared" si="5"/>
        <v>5</v>
      </c>
      <c r="R17" s="44">
        <f t="shared" si="8"/>
        <v>44329</v>
      </c>
    </row>
    <row r="18" spans="2:18" ht="15.75" x14ac:dyDescent="0.25">
      <c r="B18" s="41">
        <f t="shared" si="6"/>
        <v>44330</v>
      </c>
      <c r="C18" s="42">
        <f>SUMIFS(LANÇAMENTOS_01!J:J,LANÇAMENTOS_01!K:K,B18)</f>
        <v>0</v>
      </c>
      <c r="D18" s="42">
        <f>SUMIFS(LANÇAMENTOS_02!J:J,LANÇAMENTOS_02!K:K,B18)</f>
        <v>0</v>
      </c>
      <c r="E18" s="259">
        <f t="shared" si="7"/>
        <v>0</v>
      </c>
      <c r="F18" s="255"/>
      <c r="G18" s="252">
        <f>SUMIFS(LANÇAMENTOS_01!J:J,LANÇAMENTOS_01!L:L,B18)</f>
        <v>0</v>
      </c>
      <c r="H18" s="42">
        <f>SUMIFS(LANÇAMENTOS_02!J:J,LANÇAMENTOS_02!L:L,B18)</f>
        <v>0</v>
      </c>
      <c r="I18" s="259">
        <f t="shared" si="1"/>
        <v>0</v>
      </c>
      <c r="J18" s="255"/>
      <c r="K18" s="252">
        <f t="shared" si="2"/>
        <v>0</v>
      </c>
      <c r="L18" s="42">
        <f t="shared" si="3"/>
        <v>0</v>
      </c>
      <c r="M18" s="43">
        <f t="shared" si="4"/>
        <v>0</v>
      </c>
      <c r="N18" s="11"/>
      <c r="O18" s="11"/>
      <c r="P18" s="11"/>
      <c r="Q18" s="11">
        <f t="shared" si="5"/>
        <v>5</v>
      </c>
      <c r="R18" s="44">
        <f t="shared" si="8"/>
        <v>44330</v>
      </c>
    </row>
    <row r="19" spans="2:18" ht="15.75" x14ac:dyDescent="0.25">
      <c r="B19" s="41">
        <f t="shared" si="6"/>
        <v>44331</v>
      </c>
      <c r="C19" s="42">
        <f>SUMIFS(LANÇAMENTOS_01!J:J,LANÇAMENTOS_01!K:K,B19)</f>
        <v>0</v>
      </c>
      <c r="D19" s="42">
        <f>SUMIFS(LANÇAMENTOS_02!J:J,LANÇAMENTOS_02!K:K,B19)</f>
        <v>0</v>
      </c>
      <c r="E19" s="259">
        <f t="shared" si="7"/>
        <v>0</v>
      </c>
      <c r="F19" s="255"/>
      <c r="G19" s="252">
        <f>SUMIFS(LANÇAMENTOS_01!J:J,LANÇAMENTOS_01!L:L,B19)</f>
        <v>0</v>
      </c>
      <c r="H19" s="42">
        <f>SUMIFS(LANÇAMENTOS_02!J:J,LANÇAMENTOS_02!L:L,B19)</f>
        <v>0</v>
      </c>
      <c r="I19" s="259">
        <f t="shared" si="1"/>
        <v>0</v>
      </c>
      <c r="J19" s="255"/>
      <c r="K19" s="252">
        <f t="shared" si="2"/>
        <v>0</v>
      </c>
      <c r="L19" s="42">
        <f t="shared" si="3"/>
        <v>0</v>
      </c>
      <c r="M19" s="43">
        <f t="shared" si="4"/>
        <v>0</v>
      </c>
      <c r="N19" s="11"/>
      <c r="O19" s="11"/>
      <c r="P19" s="11"/>
      <c r="Q19" s="11">
        <f t="shared" si="5"/>
        <v>5</v>
      </c>
      <c r="R19" s="44">
        <f t="shared" si="8"/>
        <v>44331</v>
      </c>
    </row>
    <row r="20" spans="2:18" ht="15.75" x14ac:dyDescent="0.25">
      <c r="B20" s="41">
        <f t="shared" si="6"/>
        <v>44332</v>
      </c>
      <c r="C20" s="42">
        <f>SUMIFS(LANÇAMENTOS_01!J:J,LANÇAMENTOS_01!K:K,B20)</f>
        <v>0</v>
      </c>
      <c r="D20" s="42">
        <f>SUMIFS(LANÇAMENTOS_02!J:J,LANÇAMENTOS_02!K:K,B20)</f>
        <v>0</v>
      </c>
      <c r="E20" s="259">
        <f t="shared" si="7"/>
        <v>0</v>
      </c>
      <c r="F20" s="255"/>
      <c r="G20" s="252">
        <f>SUMIFS(LANÇAMENTOS_01!J:J,LANÇAMENTOS_01!L:L,B20)</f>
        <v>0</v>
      </c>
      <c r="H20" s="42">
        <f>SUMIFS(LANÇAMENTOS_02!J:J,LANÇAMENTOS_02!L:L,B20)</f>
        <v>0</v>
      </c>
      <c r="I20" s="259">
        <f t="shared" si="1"/>
        <v>0</v>
      </c>
      <c r="J20" s="255"/>
      <c r="K20" s="252">
        <f t="shared" si="2"/>
        <v>0</v>
      </c>
      <c r="L20" s="42">
        <f t="shared" si="3"/>
        <v>0</v>
      </c>
      <c r="M20" s="43">
        <f t="shared" si="4"/>
        <v>0</v>
      </c>
      <c r="N20" s="11"/>
      <c r="O20" s="11"/>
      <c r="P20" s="11"/>
      <c r="Q20" s="11">
        <f t="shared" si="5"/>
        <v>5</v>
      </c>
      <c r="R20" s="44">
        <f t="shared" si="8"/>
        <v>44332</v>
      </c>
    </row>
    <row r="21" spans="2:18" ht="15.75" x14ac:dyDescent="0.25">
      <c r="B21" s="41">
        <f t="shared" si="6"/>
        <v>44333</v>
      </c>
      <c r="C21" s="42">
        <f>SUMIFS(LANÇAMENTOS_01!J:J,LANÇAMENTOS_01!K:K,B21)</f>
        <v>0</v>
      </c>
      <c r="D21" s="42">
        <f>SUMIFS(LANÇAMENTOS_02!J:J,LANÇAMENTOS_02!K:K,B21)</f>
        <v>0</v>
      </c>
      <c r="E21" s="259">
        <f t="shared" si="7"/>
        <v>0</v>
      </c>
      <c r="F21" s="255"/>
      <c r="G21" s="252">
        <f>SUMIFS(LANÇAMENTOS_01!J:J,LANÇAMENTOS_01!L:L,B21)</f>
        <v>0</v>
      </c>
      <c r="H21" s="42">
        <f>SUMIFS(LANÇAMENTOS_02!J:J,LANÇAMENTOS_02!L:L,B21)</f>
        <v>0</v>
      </c>
      <c r="I21" s="259">
        <f t="shared" si="1"/>
        <v>0</v>
      </c>
      <c r="J21" s="255"/>
      <c r="K21" s="252">
        <f t="shared" si="2"/>
        <v>0</v>
      </c>
      <c r="L21" s="42">
        <f t="shared" si="3"/>
        <v>0</v>
      </c>
      <c r="M21" s="43">
        <f t="shared" si="4"/>
        <v>0</v>
      </c>
      <c r="N21" s="11"/>
      <c r="O21" s="11"/>
      <c r="P21" s="11"/>
      <c r="Q21" s="11">
        <f t="shared" si="5"/>
        <v>5</v>
      </c>
      <c r="R21" s="44">
        <f t="shared" si="8"/>
        <v>44333</v>
      </c>
    </row>
    <row r="22" spans="2:18" ht="15.75" x14ac:dyDescent="0.25">
      <c r="B22" s="41">
        <f t="shared" si="6"/>
        <v>44334</v>
      </c>
      <c r="C22" s="42">
        <f>SUMIFS(LANÇAMENTOS_01!J:J,LANÇAMENTOS_01!K:K,B22)</f>
        <v>0</v>
      </c>
      <c r="D22" s="42">
        <f>SUMIFS(LANÇAMENTOS_02!J:J,LANÇAMENTOS_02!K:K,B22)</f>
        <v>0</v>
      </c>
      <c r="E22" s="259">
        <f t="shared" si="7"/>
        <v>0</v>
      </c>
      <c r="F22" s="255"/>
      <c r="G22" s="252">
        <f>SUMIFS(LANÇAMENTOS_01!J:J,LANÇAMENTOS_01!L:L,B22)</f>
        <v>0</v>
      </c>
      <c r="H22" s="42">
        <f>SUMIFS(LANÇAMENTOS_02!J:J,LANÇAMENTOS_02!L:L,B22)</f>
        <v>0</v>
      </c>
      <c r="I22" s="259">
        <f t="shared" si="1"/>
        <v>0</v>
      </c>
      <c r="J22" s="255"/>
      <c r="K22" s="252">
        <f t="shared" si="2"/>
        <v>0</v>
      </c>
      <c r="L22" s="42">
        <f t="shared" si="3"/>
        <v>0</v>
      </c>
      <c r="M22" s="43">
        <f t="shared" si="4"/>
        <v>0</v>
      </c>
      <c r="N22" s="11"/>
      <c r="O22" s="11"/>
      <c r="P22" s="11"/>
      <c r="Q22" s="11">
        <f t="shared" si="5"/>
        <v>5</v>
      </c>
      <c r="R22" s="44">
        <f t="shared" si="8"/>
        <v>44334</v>
      </c>
    </row>
    <row r="23" spans="2:18" ht="15.75" x14ac:dyDescent="0.25">
      <c r="B23" s="41">
        <f t="shared" si="6"/>
        <v>44335</v>
      </c>
      <c r="C23" s="42">
        <f>SUMIFS(LANÇAMENTOS_01!J:J,LANÇAMENTOS_01!K:K,B23)</f>
        <v>0</v>
      </c>
      <c r="D23" s="42">
        <f>SUMIFS(LANÇAMENTOS_02!J:J,LANÇAMENTOS_02!K:K,B23)</f>
        <v>0</v>
      </c>
      <c r="E23" s="259">
        <f t="shared" si="7"/>
        <v>0</v>
      </c>
      <c r="F23" s="255"/>
      <c r="G23" s="252">
        <f>SUMIFS(LANÇAMENTOS_01!J:J,LANÇAMENTOS_01!L:L,B23)</f>
        <v>0</v>
      </c>
      <c r="H23" s="42">
        <f>SUMIFS(LANÇAMENTOS_02!J:J,LANÇAMENTOS_02!L:L,B23)</f>
        <v>0</v>
      </c>
      <c r="I23" s="259">
        <f t="shared" si="1"/>
        <v>0</v>
      </c>
      <c r="J23" s="255"/>
      <c r="K23" s="252">
        <f t="shared" si="2"/>
        <v>0</v>
      </c>
      <c r="L23" s="42">
        <f t="shared" si="3"/>
        <v>0</v>
      </c>
      <c r="M23" s="43">
        <f t="shared" si="4"/>
        <v>0</v>
      </c>
      <c r="N23" s="11"/>
      <c r="O23" s="11"/>
      <c r="P23" s="11"/>
      <c r="Q23" s="11">
        <f t="shared" si="5"/>
        <v>5</v>
      </c>
      <c r="R23" s="44">
        <f t="shared" si="8"/>
        <v>44335</v>
      </c>
    </row>
    <row r="24" spans="2:18" ht="15.75" x14ac:dyDescent="0.25">
      <c r="B24" s="41">
        <f t="shared" si="6"/>
        <v>44336</v>
      </c>
      <c r="C24" s="42">
        <f>SUMIFS(LANÇAMENTOS_01!J:J,LANÇAMENTOS_01!K:K,B24)</f>
        <v>0</v>
      </c>
      <c r="D24" s="42">
        <f>SUMIFS(LANÇAMENTOS_02!J:J,LANÇAMENTOS_02!K:K,B24)</f>
        <v>0</v>
      </c>
      <c r="E24" s="259">
        <f t="shared" si="7"/>
        <v>0</v>
      </c>
      <c r="F24" s="255"/>
      <c r="G24" s="252">
        <f>SUMIFS(LANÇAMENTOS_01!J:J,LANÇAMENTOS_01!L:L,B24)</f>
        <v>0</v>
      </c>
      <c r="H24" s="42">
        <f>SUMIFS(LANÇAMENTOS_02!J:J,LANÇAMENTOS_02!L:L,B24)</f>
        <v>0</v>
      </c>
      <c r="I24" s="259">
        <f t="shared" si="1"/>
        <v>0</v>
      </c>
      <c r="J24" s="255"/>
      <c r="K24" s="252">
        <f t="shared" si="2"/>
        <v>0</v>
      </c>
      <c r="L24" s="42">
        <f t="shared" si="3"/>
        <v>0</v>
      </c>
      <c r="M24" s="43">
        <f t="shared" si="4"/>
        <v>0</v>
      </c>
      <c r="N24" s="11"/>
      <c r="O24" s="11"/>
      <c r="P24" s="11"/>
      <c r="Q24" s="11">
        <f t="shared" si="5"/>
        <v>5</v>
      </c>
      <c r="R24" s="44">
        <f t="shared" si="8"/>
        <v>44336</v>
      </c>
    </row>
    <row r="25" spans="2:18" ht="15.75" x14ac:dyDescent="0.25">
      <c r="B25" s="41">
        <f t="shared" si="6"/>
        <v>44337</v>
      </c>
      <c r="C25" s="42">
        <f>SUMIFS(LANÇAMENTOS_01!J:J,LANÇAMENTOS_01!K:K,B25)</f>
        <v>0</v>
      </c>
      <c r="D25" s="42">
        <f>SUMIFS(LANÇAMENTOS_02!J:J,LANÇAMENTOS_02!K:K,B25)</f>
        <v>0</v>
      </c>
      <c r="E25" s="259">
        <f t="shared" si="7"/>
        <v>0</v>
      </c>
      <c r="F25" s="255"/>
      <c r="G25" s="252">
        <f>SUMIFS(LANÇAMENTOS_01!J:J,LANÇAMENTOS_01!L:L,B25)</f>
        <v>0</v>
      </c>
      <c r="H25" s="42">
        <f>SUMIFS(LANÇAMENTOS_02!J:J,LANÇAMENTOS_02!L:L,B25)</f>
        <v>0</v>
      </c>
      <c r="I25" s="259">
        <f t="shared" si="1"/>
        <v>0</v>
      </c>
      <c r="J25" s="255"/>
      <c r="K25" s="252">
        <f t="shared" si="2"/>
        <v>0</v>
      </c>
      <c r="L25" s="42">
        <f t="shared" si="3"/>
        <v>0</v>
      </c>
      <c r="M25" s="43">
        <f t="shared" si="4"/>
        <v>0</v>
      </c>
      <c r="N25" s="11"/>
      <c r="O25" s="11"/>
      <c r="P25" s="11"/>
      <c r="Q25" s="11">
        <f t="shared" si="5"/>
        <v>5</v>
      </c>
      <c r="R25" s="44">
        <f t="shared" si="8"/>
        <v>44337</v>
      </c>
    </row>
    <row r="26" spans="2:18" ht="15.75" x14ac:dyDescent="0.25">
      <c r="B26" s="41">
        <f t="shared" si="6"/>
        <v>44338</v>
      </c>
      <c r="C26" s="42">
        <f>SUMIFS(LANÇAMENTOS_01!J:J,LANÇAMENTOS_01!K:K,B26)</f>
        <v>0</v>
      </c>
      <c r="D26" s="42">
        <f>SUMIFS(LANÇAMENTOS_02!J:J,LANÇAMENTOS_02!K:K,B26)</f>
        <v>0</v>
      </c>
      <c r="E26" s="259">
        <f t="shared" si="7"/>
        <v>0</v>
      </c>
      <c r="F26" s="255"/>
      <c r="G26" s="252">
        <f>SUMIFS(LANÇAMENTOS_01!J:J,LANÇAMENTOS_01!L:L,B26)</f>
        <v>0</v>
      </c>
      <c r="H26" s="42">
        <f>SUMIFS(LANÇAMENTOS_02!J:J,LANÇAMENTOS_02!L:L,B26)</f>
        <v>0</v>
      </c>
      <c r="I26" s="259">
        <f t="shared" si="1"/>
        <v>0</v>
      </c>
      <c r="J26" s="255"/>
      <c r="K26" s="252">
        <f t="shared" si="2"/>
        <v>0</v>
      </c>
      <c r="L26" s="42">
        <f t="shared" si="3"/>
        <v>0</v>
      </c>
      <c r="M26" s="43">
        <f t="shared" si="4"/>
        <v>0</v>
      </c>
      <c r="N26" s="11"/>
      <c r="O26" s="11"/>
      <c r="P26" s="11"/>
      <c r="Q26" s="11">
        <f t="shared" si="5"/>
        <v>5</v>
      </c>
      <c r="R26" s="44">
        <f t="shared" si="8"/>
        <v>44338</v>
      </c>
    </row>
    <row r="27" spans="2:18" ht="15.75" x14ac:dyDescent="0.25">
      <c r="B27" s="41">
        <f t="shared" si="6"/>
        <v>44339</v>
      </c>
      <c r="C27" s="42">
        <f>SUMIFS(LANÇAMENTOS_01!J:J,LANÇAMENTOS_01!K:K,B27)</f>
        <v>0</v>
      </c>
      <c r="D27" s="42">
        <f>SUMIFS(LANÇAMENTOS_02!J:J,LANÇAMENTOS_02!K:K,B27)</f>
        <v>0</v>
      </c>
      <c r="E27" s="259">
        <f t="shared" si="7"/>
        <v>0</v>
      </c>
      <c r="F27" s="255"/>
      <c r="G27" s="252">
        <f>SUMIFS(LANÇAMENTOS_01!J:J,LANÇAMENTOS_01!L:L,B27)</f>
        <v>0</v>
      </c>
      <c r="H27" s="42">
        <f>SUMIFS(LANÇAMENTOS_02!J:J,LANÇAMENTOS_02!L:L,B27)</f>
        <v>0</v>
      </c>
      <c r="I27" s="259">
        <f t="shared" si="1"/>
        <v>0</v>
      </c>
      <c r="J27" s="255"/>
      <c r="K27" s="252">
        <f t="shared" si="2"/>
        <v>0</v>
      </c>
      <c r="L27" s="42">
        <f t="shared" si="3"/>
        <v>0</v>
      </c>
      <c r="M27" s="43">
        <f t="shared" si="4"/>
        <v>0</v>
      </c>
      <c r="N27" s="11"/>
      <c r="O27" s="11"/>
      <c r="P27" s="11"/>
      <c r="Q27" s="11">
        <f t="shared" si="5"/>
        <v>5</v>
      </c>
      <c r="R27" s="44">
        <f t="shared" si="8"/>
        <v>44339</v>
      </c>
    </row>
    <row r="28" spans="2:18" ht="15.75" x14ac:dyDescent="0.25">
      <c r="B28" s="41">
        <f t="shared" si="6"/>
        <v>44340</v>
      </c>
      <c r="C28" s="42">
        <f>SUMIFS(LANÇAMENTOS_01!J:J,LANÇAMENTOS_01!K:K,B28)</f>
        <v>0</v>
      </c>
      <c r="D28" s="42">
        <f>SUMIFS(LANÇAMENTOS_02!J:J,LANÇAMENTOS_02!K:K,B28)</f>
        <v>0</v>
      </c>
      <c r="E28" s="259">
        <f t="shared" si="7"/>
        <v>0</v>
      </c>
      <c r="F28" s="255"/>
      <c r="G28" s="252">
        <f>SUMIFS(LANÇAMENTOS_01!J:J,LANÇAMENTOS_01!L:L,B28)</f>
        <v>0</v>
      </c>
      <c r="H28" s="42">
        <f>SUMIFS(LANÇAMENTOS_02!J:J,LANÇAMENTOS_02!L:L,B28)</f>
        <v>0</v>
      </c>
      <c r="I28" s="259">
        <f t="shared" si="1"/>
        <v>0</v>
      </c>
      <c r="J28" s="255"/>
      <c r="K28" s="252">
        <f t="shared" si="2"/>
        <v>0</v>
      </c>
      <c r="L28" s="42">
        <f t="shared" si="3"/>
        <v>0</v>
      </c>
      <c r="M28" s="43">
        <f t="shared" si="4"/>
        <v>0</v>
      </c>
      <c r="N28" s="11"/>
      <c r="O28" s="11"/>
      <c r="P28" s="11"/>
      <c r="Q28" s="11">
        <f t="shared" si="5"/>
        <v>5</v>
      </c>
      <c r="R28" s="44">
        <f t="shared" si="8"/>
        <v>44340</v>
      </c>
    </row>
    <row r="29" spans="2:18" ht="15.75" x14ac:dyDescent="0.25">
      <c r="B29" s="41">
        <f t="shared" si="6"/>
        <v>44341</v>
      </c>
      <c r="C29" s="42">
        <f>SUMIFS(LANÇAMENTOS_01!J:J,LANÇAMENTOS_01!K:K,B29)</f>
        <v>0</v>
      </c>
      <c r="D29" s="42">
        <f>SUMIFS(LANÇAMENTOS_02!J:J,LANÇAMENTOS_02!K:K,B29)</f>
        <v>0</v>
      </c>
      <c r="E29" s="259">
        <f t="shared" si="7"/>
        <v>0</v>
      </c>
      <c r="F29" s="255"/>
      <c r="G29" s="252">
        <f>SUMIFS(LANÇAMENTOS_01!J:J,LANÇAMENTOS_01!L:L,B29)</f>
        <v>0</v>
      </c>
      <c r="H29" s="42">
        <f>SUMIFS(LANÇAMENTOS_02!J:J,LANÇAMENTOS_02!L:L,B29)</f>
        <v>0</v>
      </c>
      <c r="I29" s="259">
        <f t="shared" si="1"/>
        <v>0</v>
      </c>
      <c r="J29" s="255"/>
      <c r="K29" s="252">
        <f t="shared" si="2"/>
        <v>0</v>
      </c>
      <c r="L29" s="42">
        <f t="shared" si="3"/>
        <v>0</v>
      </c>
      <c r="M29" s="43">
        <f t="shared" si="4"/>
        <v>0</v>
      </c>
      <c r="N29" s="11"/>
      <c r="O29" s="11"/>
      <c r="P29" s="11"/>
      <c r="Q29" s="11">
        <f t="shared" si="5"/>
        <v>5</v>
      </c>
      <c r="R29" s="44">
        <f t="shared" si="8"/>
        <v>44341</v>
      </c>
    </row>
    <row r="30" spans="2:18" ht="15.75" x14ac:dyDescent="0.25">
      <c r="B30" s="41">
        <f t="shared" si="6"/>
        <v>44342</v>
      </c>
      <c r="C30" s="42">
        <f>SUMIFS(LANÇAMENTOS_01!J:J,LANÇAMENTOS_01!K:K,B30)</f>
        <v>0</v>
      </c>
      <c r="D30" s="42">
        <f>SUMIFS(LANÇAMENTOS_02!J:J,LANÇAMENTOS_02!K:K,B30)</f>
        <v>0</v>
      </c>
      <c r="E30" s="259">
        <f t="shared" si="7"/>
        <v>0</v>
      </c>
      <c r="F30" s="255"/>
      <c r="G30" s="252">
        <f>SUMIFS(LANÇAMENTOS_01!J:J,LANÇAMENTOS_01!L:L,B30)</f>
        <v>0</v>
      </c>
      <c r="H30" s="42">
        <f>SUMIFS(LANÇAMENTOS_02!J:J,LANÇAMENTOS_02!L:L,B30)</f>
        <v>0</v>
      </c>
      <c r="I30" s="259">
        <f t="shared" si="1"/>
        <v>0</v>
      </c>
      <c r="J30" s="255"/>
      <c r="K30" s="252">
        <f t="shared" si="2"/>
        <v>0</v>
      </c>
      <c r="L30" s="42">
        <f t="shared" si="3"/>
        <v>0</v>
      </c>
      <c r="M30" s="43">
        <f t="shared" si="4"/>
        <v>0</v>
      </c>
      <c r="N30" s="11"/>
      <c r="O30" s="11"/>
      <c r="P30" s="11"/>
      <c r="Q30" s="11">
        <f t="shared" si="5"/>
        <v>5</v>
      </c>
      <c r="R30" s="44">
        <f t="shared" si="8"/>
        <v>44342</v>
      </c>
    </row>
    <row r="31" spans="2:18" ht="15.75" x14ac:dyDescent="0.25">
      <c r="B31" s="41">
        <f t="shared" si="6"/>
        <v>44343</v>
      </c>
      <c r="C31" s="42">
        <f>SUMIFS(LANÇAMENTOS_01!J:J,LANÇAMENTOS_01!K:K,B31)</f>
        <v>0</v>
      </c>
      <c r="D31" s="42">
        <f>SUMIFS(LANÇAMENTOS_02!J:J,LANÇAMENTOS_02!K:K,B31)</f>
        <v>0</v>
      </c>
      <c r="E31" s="259">
        <f t="shared" si="7"/>
        <v>0</v>
      </c>
      <c r="F31" s="255"/>
      <c r="G31" s="252">
        <f>SUMIFS(LANÇAMENTOS_01!J:J,LANÇAMENTOS_01!L:L,B31)</f>
        <v>0</v>
      </c>
      <c r="H31" s="42">
        <f>SUMIFS(LANÇAMENTOS_02!J:J,LANÇAMENTOS_02!L:L,B31)</f>
        <v>0</v>
      </c>
      <c r="I31" s="259">
        <f t="shared" si="1"/>
        <v>0</v>
      </c>
      <c r="J31" s="255"/>
      <c r="K31" s="252">
        <f t="shared" si="2"/>
        <v>0</v>
      </c>
      <c r="L31" s="42">
        <f t="shared" si="3"/>
        <v>0</v>
      </c>
      <c r="M31" s="43">
        <f t="shared" si="4"/>
        <v>0</v>
      </c>
      <c r="N31" s="11"/>
      <c r="O31" s="11"/>
      <c r="P31" s="11"/>
      <c r="Q31" s="11">
        <f t="shared" si="5"/>
        <v>5</v>
      </c>
      <c r="R31" s="44">
        <f t="shared" si="8"/>
        <v>44343</v>
      </c>
    </row>
    <row r="32" spans="2:18" ht="15.75" x14ac:dyDescent="0.25">
      <c r="B32" s="41">
        <f t="shared" si="6"/>
        <v>44344</v>
      </c>
      <c r="C32" s="42">
        <f>SUMIFS(LANÇAMENTOS_01!J:J,LANÇAMENTOS_01!K:K,B32)</f>
        <v>0</v>
      </c>
      <c r="D32" s="42">
        <f>SUMIFS(LANÇAMENTOS_02!J:J,LANÇAMENTOS_02!K:K,B32)</f>
        <v>0</v>
      </c>
      <c r="E32" s="259">
        <f t="shared" si="7"/>
        <v>0</v>
      </c>
      <c r="F32" s="255"/>
      <c r="G32" s="252">
        <f>SUMIFS(LANÇAMENTOS_01!J:J,LANÇAMENTOS_01!L:L,B32)</f>
        <v>0</v>
      </c>
      <c r="H32" s="42">
        <f>SUMIFS(LANÇAMENTOS_02!J:J,LANÇAMENTOS_02!L:L,B32)</f>
        <v>0</v>
      </c>
      <c r="I32" s="259">
        <f t="shared" si="1"/>
        <v>0</v>
      </c>
      <c r="J32" s="255"/>
      <c r="K32" s="252">
        <f t="shared" si="2"/>
        <v>0</v>
      </c>
      <c r="L32" s="42">
        <f t="shared" si="3"/>
        <v>0</v>
      </c>
      <c r="M32" s="43">
        <f t="shared" si="4"/>
        <v>0</v>
      </c>
      <c r="N32" s="11"/>
      <c r="O32" s="11"/>
      <c r="P32" s="11"/>
      <c r="Q32" s="11">
        <f t="shared" si="5"/>
        <v>5</v>
      </c>
      <c r="R32" s="44">
        <f t="shared" si="8"/>
        <v>44344</v>
      </c>
    </row>
    <row r="33" spans="2:18" ht="15.75" x14ac:dyDescent="0.25">
      <c r="B33" s="41">
        <f t="shared" si="6"/>
        <v>44345</v>
      </c>
      <c r="C33" s="42">
        <f>SUMIFS(LANÇAMENTOS_01!J:J,LANÇAMENTOS_01!K:K,B33)</f>
        <v>0</v>
      </c>
      <c r="D33" s="42">
        <f>SUMIFS(LANÇAMENTOS_02!J:J,LANÇAMENTOS_02!K:K,B33)</f>
        <v>0</v>
      </c>
      <c r="E33" s="259">
        <f t="shared" si="7"/>
        <v>0</v>
      </c>
      <c r="F33" s="255"/>
      <c r="G33" s="252">
        <f>SUMIFS(LANÇAMENTOS_01!J:J,LANÇAMENTOS_01!L:L,B33)</f>
        <v>0</v>
      </c>
      <c r="H33" s="42">
        <f>SUMIFS(LANÇAMENTOS_02!J:J,LANÇAMENTOS_02!L:L,B33)</f>
        <v>0</v>
      </c>
      <c r="I33" s="259">
        <f t="shared" si="1"/>
        <v>0</v>
      </c>
      <c r="J33" s="255"/>
      <c r="K33" s="252">
        <f t="shared" si="2"/>
        <v>0</v>
      </c>
      <c r="L33" s="42">
        <f t="shared" si="3"/>
        <v>0</v>
      </c>
      <c r="M33" s="43">
        <f t="shared" si="4"/>
        <v>0</v>
      </c>
      <c r="N33" s="11"/>
      <c r="O33" s="11"/>
      <c r="P33" s="11"/>
      <c r="Q33" s="11">
        <f t="shared" si="5"/>
        <v>5</v>
      </c>
      <c r="R33" s="44">
        <f t="shared" si="8"/>
        <v>44345</v>
      </c>
    </row>
    <row r="34" spans="2:18" ht="15.75" x14ac:dyDescent="0.25">
      <c r="B34" s="41">
        <f t="shared" si="6"/>
        <v>44346</v>
      </c>
      <c r="C34" s="42">
        <f>SUMIFS(LANÇAMENTOS_01!J:J,LANÇAMENTOS_01!K:K,B34)</f>
        <v>0</v>
      </c>
      <c r="D34" s="42">
        <f>SUMIFS(LANÇAMENTOS_02!J:J,LANÇAMENTOS_02!K:K,B34)</f>
        <v>0</v>
      </c>
      <c r="E34" s="259">
        <f t="shared" si="7"/>
        <v>0</v>
      </c>
      <c r="F34" s="255"/>
      <c r="G34" s="252">
        <f>SUMIFS(LANÇAMENTOS_01!J:J,LANÇAMENTOS_01!L:L,B34)</f>
        <v>0</v>
      </c>
      <c r="H34" s="42">
        <f>SUMIFS(LANÇAMENTOS_02!J:J,LANÇAMENTOS_02!L:L,B34)</f>
        <v>0</v>
      </c>
      <c r="I34" s="259">
        <f t="shared" si="1"/>
        <v>0</v>
      </c>
      <c r="J34" s="255"/>
      <c r="K34" s="252">
        <f t="shared" si="2"/>
        <v>0</v>
      </c>
      <c r="L34" s="42">
        <f t="shared" si="3"/>
        <v>0</v>
      </c>
      <c r="M34" s="43">
        <f t="shared" si="4"/>
        <v>0</v>
      </c>
      <c r="N34" s="11"/>
      <c r="O34" s="11"/>
      <c r="P34" s="11"/>
      <c r="Q34" s="11">
        <f t="shared" si="5"/>
        <v>5</v>
      </c>
      <c r="R34" s="44">
        <f t="shared" si="8"/>
        <v>44346</v>
      </c>
    </row>
    <row r="35" spans="2:18" ht="15.75" x14ac:dyDescent="0.25">
      <c r="B35" s="41">
        <f t="shared" si="6"/>
        <v>44347</v>
      </c>
      <c r="C35" s="42">
        <f>SUMIFS(LANÇAMENTOS_01!J:J,LANÇAMENTOS_01!K:K,B35)</f>
        <v>0</v>
      </c>
      <c r="D35" s="42">
        <f>SUMIFS(LANÇAMENTOS_02!J:J,LANÇAMENTOS_02!K:K,B35)</f>
        <v>0</v>
      </c>
      <c r="E35" s="259">
        <f t="shared" si="7"/>
        <v>0</v>
      </c>
      <c r="F35" s="255"/>
      <c r="G35" s="252">
        <f>SUMIFS(LANÇAMENTOS_01!J:J,LANÇAMENTOS_01!L:L,B35)</f>
        <v>0</v>
      </c>
      <c r="H35" s="42">
        <f>SUMIFS(LANÇAMENTOS_02!J:J,LANÇAMENTOS_02!L:L,B35)</f>
        <v>0</v>
      </c>
      <c r="I35" s="259">
        <f t="shared" si="1"/>
        <v>0</v>
      </c>
      <c r="J35" s="255"/>
      <c r="K35" s="252">
        <f t="shared" si="2"/>
        <v>0</v>
      </c>
      <c r="L35" s="42">
        <f t="shared" si="3"/>
        <v>0</v>
      </c>
      <c r="M35" s="43">
        <f t="shared" si="4"/>
        <v>0</v>
      </c>
      <c r="N35" s="11"/>
      <c r="O35" s="11"/>
      <c r="P35" s="40"/>
      <c r="Q35" s="11">
        <f t="shared" si="5"/>
        <v>5</v>
      </c>
      <c r="R35" s="44">
        <f t="shared" si="8"/>
        <v>44347</v>
      </c>
    </row>
    <row r="36" spans="2:18" ht="15.75" x14ac:dyDescent="0.25">
      <c r="B36" s="260" t="s">
        <v>62</v>
      </c>
      <c r="C36" s="45">
        <f>SUM(C5:C35)</f>
        <v>0</v>
      </c>
      <c r="D36" s="45">
        <f t="shared" ref="D36:M36" si="9">SUM(D5:D35)</f>
        <v>0</v>
      </c>
      <c r="E36" s="45">
        <f t="shared" si="9"/>
        <v>0</v>
      </c>
      <c r="F36" s="256"/>
      <c r="G36" s="45">
        <f t="shared" si="9"/>
        <v>0</v>
      </c>
      <c r="H36" s="45">
        <f t="shared" si="9"/>
        <v>0</v>
      </c>
      <c r="I36" s="45">
        <f t="shared" si="9"/>
        <v>0</v>
      </c>
      <c r="J36" s="256"/>
      <c r="K36" s="45">
        <f t="shared" si="9"/>
        <v>0</v>
      </c>
      <c r="L36" s="45">
        <f t="shared" si="9"/>
        <v>0</v>
      </c>
      <c r="M36" s="45">
        <f t="shared" si="9"/>
        <v>0</v>
      </c>
      <c r="N36" s="40"/>
      <c r="O36" s="11"/>
      <c r="P36" s="40"/>
      <c r="Q36" s="11">
        <f>VLOOKUP(B4,CADASTRO_AUX!O1:P13,2,0)</f>
        <v>2021</v>
      </c>
      <c r="R36" s="40"/>
    </row>
    <row r="37" spans="2:18" ht="15.75" x14ac:dyDescent="0.25">
      <c r="C37" s="11"/>
      <c r="D37" s="11"/>
      <c r="E37" s="11"/>
      <c r="F37" s="257"/>
      <c r="G37" s="11"/>
      <c r="H37" s="11"/>
      <c r="I37" s="11"/>
      <c r="J37" s="257"/>
      <c r="K37" s="11"/>
      <c r="L37" s="11"/>
      <c r="M37" s="11"/>
      <c r="N37" s="11"/>
      <c r="O37" s="11"/>
      <c r="P37" s="11"/>
      <c r="Q37" s="11" t="str">
        <f>"01/"&amp;VLOOKUP(N4,CADASTRO_AUX!M1:N12,1,0)&amp;"/"&amp;Q36</f>
        <v>01/5/2021</v>
      </c>
      <c r="R37" s="40"/>
    </row>
  </sheetData>
  <mergeCells count="3">
    <mergeCell ref="C3:E3"/>
    <mergeCell ref="G3:I3"/>
    <mergeCell ref="K3:M3"/>
  </mergeCells>
  <conditionalFormatting sqref="C5:C35">
    <cfRule type="cellIs" dxfId="53" priority="6" operator="greaterThan">
      <formula>0</formula>
    </cfRule>
  </conditionalFormatting>
  <conditionalFormatting sqref="G5:G35">
    <cfRule type="cellIs" dxfId="52" priority="5" operator="greaterThan">
      <formula>0</formula>
    </cfRule>
  </conditionalFormatting>
  <conditionalFormatting sqref="K5:K35">
    <cfRule type="cellIs" dxfId="51" priority="4" operator="greaterThan">
      <formula>0</formula>
    </cfRule>
  </conditionalFormatting>
  <conditionalFormatting sqref="D5:D35">
    <cfRule type="cellIs" dxfId="50" priority="3" operator="greaterThan">
      <formula>0</formula>
    </cfRule>
  </conditionalFormatting>
  <conditionalFormatting sqref="H5:H35">
    <cfRule type="cellIs" dxfId="49" priority="2" operator="greaterThan">
      <formula>0</formula>
    </cfRule>
  </conditionalFormatting>
  <conditionalFormatting sqref="L5:L35">
    <cfRule type="cellIs" dxfId="48" priority="1" operator="greaterThan">
      <formula>0</formula>
    </cfRule>
  </conditionalFormatting>
  <pageMargins left="0.25" right="0.25" top="0.75" bottom="0.75" header="0.3" footer="0.3"/>
  <pageSetup paperSize="9" fitToHeight="0" orientation="portrait" r:id="rId1"/>
  <headerFooter>
    <oddHeader>&amp;R24/03/20 02:03</oddHeader>
    <oddFooter>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Drop Down 1">
              <controlPr locked="0" defaultSize="0" autoLine="0" autoPict="0">
                <anchor>
                  <from>
                    <xdr:col>6</xdr:col>
                    <xdr:colOff>685800</xdr:colOff>
                    <xdr:row>0</xdr:row>
                    <xdr:rowOff>295275</xdr:rowOff>
                  </from>
                  <to>
                    <xdr:col>7</xdr:col>
                    <xdr:colOff>781050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Drop-down 1">
              <controlPr defaultSize="0" autoLine="0" autoPict="0">
                <anchor>
                  <from>
                    <xdr:col>10</xdr:col>
                    <xdr:colOff>361950</xdr:colOff>
                    <xdr:row>0</xdr:row>
                    <xdr:rowOff>295275</xdr:rowOff>
                  </from>
                  <to>
                    <xdr:col>11</xdr:col>
                    <xdr:colOff>466725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0">
    <tabColor rgb="FFFFC000"/>
    <pageSetUpPr fitToPage="1"/>
  </sheetPr>
  <dimension ref="C1:BF15"/>
  <sheetViews>
    <sheetView showGridLines="0" showRowColHeaders="0" zoomScaleNormal="100" workbookViewId="0"/>
  </sheetViews>
  <sheetFormatPr defaultRowHeight="15" x14ac:dyDescent="0.25"/>
  <cols>
    <col min="1" max="1" width="25.5703125" customWidth="1"/>
    <col min="2" max="2" width="3.7109375" customWidth="1"/>
    <col min="3" max="3" width="14.42578125" customWidth="1"/>
    <col min="4" max="4" width="26.7109375" customWidth="1"/>
    <col min="5" max="6" width="23.7109375" customWidth="1"/>
    <col min="7" max="7" width="22.28515625" customWidth="1"/>
    <col min="8" max="8" width="21.28515625" customWidth="1"/>
    <col min="9" max="9" width="24.7109375" customWidth="1"/>
    <col min="11" max="11" width="9.140625" style="87"/>
    <col min="12" max="14" width="9.140625" style="5" customWidth="1"/>
    <col min="15" max="16" width="11.85546875" style="5" customWidth="1"/>
    <col min="17" max="17" width="9.140625" style="87" customWidth="1"/>
    <col min="18" max="19" width="9.140625" style="5" customWidth="1"/>
    <col min="20" max="20" width="9.140625" style="87" customWidth="1"/>
    <col min="21" max="25" width="9.140625" style="87" hidden="1" customWidth="1"/>
    <col min="26" max="26" width="0" hidden="1" customWidth="1"/>
  </cols>
  <sheetData>
    <row r="1" spans="3:58" ht="48" customHeight="1" x14ac:dyDescent="0.25">
      <c r="C1" s="40"/>
      <c r="D1" s="47" t="s">
        <v>58</v>
      </c>
      <c r="E1" s="48" t="s">
        <v>46</v>
      </c>
      <c r="F1" s="49" t="s">
        <v>59</v>
      </c>
      <c r="H1" s="188" t="s">
        <v>155</v>
      </c>
      <c r="I1" s="17"/>
      <c r="J1" s="11"/>
      <c r="K1" s="152"/>
      <c r="L1" s="222">
        <v>1</v>
      </c>
      <c r="M1" s="223">
        <f>RELATORIO_04!$R$1</f>
        <v>1</v>
      </c>
      <c r="N1" s="51" t="str">
        <f>VLOOKUP(M1,CADASTRO_AUX!R:S,2,0)</f>
        <v>Todos</v>
      </c>
      <c r="O1" s="51">
        <v>1</v>
      </c>
      <c r="P1" s="51"/>
      <c r="BA1" t="s">
        <v>131</v>
      </c>
      <c r="BB1" t="s">
        <v>132</v>
      </c>
      <c r="BC1">
        <v>2</v>
      </c>
      <c r="BD1" t="s">
        <v>140</v>
      </c>
      <c r="BF1">
        <v>0</v>
      </c>
    </row>
    <row r="2" spans="3:58" ht="27.75" customHeight="1" x14ac:dyDescent="0.25">
      <c r="C2" s="51">
        <f>L1</f>
        <v>1</v>
      </c>
      <c r="D2" s="52" t="s">
        <v>52</v>
      </c>
      <c r="E2" s="218" t="s">
        <v>60</v>
      </c>
      <c r="F2" s="219" t="s">
        <v>61</v>
      </c>
      <c r="G2" s="52" t="s">
        <v>62</v>
      </c>
      <c r="H2" s="52" t="s">
        <v>63</v>
      </c>
      <c r="I2" s="52" t="s">
        <v>64</v>
      </c>
      <c r="J2" s="11"/>
      <c r="K2" s="85"/>
      <c r="L2" s="15"/>
      <c r="M2" s="15"/>
      <c r="N2" s="51">
        <f>VLOOKUP(C2,CADASTRO_AUX!O1:P46,2,0)</f>
        <v>2021</v>
      </c>
      <c r="O2" s="224"/>
      <c r="P2" s="51"/>
    </row>
    <row r="3" spans="3:58" ht="23.25" customHeight="1" x14ac:dyDescent="0.25">
      <c r="C3" s="53" t="s">
        <v>33</v>
      </c>
      <c r="D3" s="54">
        <f>X3</f>
        <v>0</v>
      </c>
      <c r="E3" s="12">
        <f>IF($O$1=1,(IF($N$1="Todos",SUMIFS(LANÇAMENTOS_01!J:J,LANÇAMENTOS_01!L:L,"&gt;="&amp;O3,LANÇAMENTOS_01!L:L,"&lt;="&amp;P3),SUMIFS(LANÇAMENTOS_01!J:J,LANÇAMENTOS_01!L:L,"&gt;="&amp;O3,LANÇAMENTOS_01!L:L,"&lt;="&amp;P3,LANÇAMENTOS_01!H:H,$N$1))),IF($N$1="Todos",SUMIFS(LANÇAMENTOS_01!J:J,LANÇAMENTOS_01!K:K,"&gt;="&amp;O3,LANÇAMENTOS_01!K:K,"&lt;="&amp;P3),SUMIFS(LANÇAMENTOS_01!J:J,LANÇAMENTOS_01!K:K,"&gt;="&amp;O3,LANÇAMENTOS_01!K:K,"&lt;="&amp;P3,LANÇAMENTOS_01!H:H,$N$1)))</f>
        <v>0</v>
      </c>
      <c r="F3" s="12">
        <f>IF($O$1=1,(IF($N$1="Todos",SUMIFS(LANÇAMENTOS_02!J:J,LANÇAMENTOS_02!L:L,"&gt;="&amp;O3,LANÇAMENTOS_02!L:L,"&lt;="&amp;P3),SUMIFS(LANÇAMENTOS_02!J:J,LANÇAMENTOS_02!L:L,"&gt;="&amp;O3,LANÇAMENTOS_02!L:L,"&lt;="&amp;P3,LANÇAMENTOS_02!H:H,$N$1))),IF($N$1="Todos",SUMIFS(LANÇAMENTOS_02!J:J,LANÇAMENTOS_02!K:K,"&gt;="&amp;O3,LANÇAMENTOS_02!K:K,"&lt;="&amp;P3),SUMIFS(LANÇAMENTOS_02!J:J,LANÇAMENTOS_02!K:K,"&gt;="&amp;O3,LANÇAMENTOS_02!K:K,"&lt;="&amp;P3,LANÇAMENTOS_02!H:H,$N$1)))</f>
        <v>0</v>
      </c>
      <c r="G3" s="12">
        <f t="shared" ref="G3:G15" si="0">H3+D3</f>
        <v>0</v>
      </c>
      <c r="H3" s="55">
        <f t="shared" ref="H3:H15" si="1">E3-F3</f>
        <v>0</v>
      </c>
      <c r="I3" s="56">
        <f>IF(ISERROR(H3/E3),0,(H3/E3))</f>
        <v>0</v>
      </c>
      <c r="J3" s="11"/>
      <c r="K3" s="85"/>
      <c r="L3" s="15"/>
      <c r="M3" s="15"/>
      <c r="N3" s="224">
        <v>0</v>
      </c>
      <c r="O3" s="51" t="str">
        <f>"01/01/"&amp;$N$2</f>
        <v>01/01/2021</v>
      </c>
      <c r="P3" s="225">
        <f t="shared" ref="P3:P14" si="2">O4-1</f>
        <v>44227</v>
      </c>
      <c r="R3" s="5">
        <f>IF($O$1=1,(IF($N$1="Todos",SUMIFS(LANÇAMENTOS_01!J:J,LANÇAMENTOS_01!K:K,"&gt;="&amp;O3,LANÇAMENTOS_01!K:K,"&lt;="&amp;P3,LANÇAMENTOS_01!L:L,"="&amp;""),SUMIFS(LANÇAMENTOS_01!J:J,LANÇAMENTOS_01!K:K,"&gt;="&amp;O3,LANÇAMENTOS_01!K:K,"&lt;="&amp;P3,LANÇAMENTOS_01!H:H,$N$1,LANÇAMENTOS_01!L:L,"="&amp;""))),IF($N$1="Todos",SUMIFS(LANÇAMENTOS_01!J:J,LANÇAMENTOS_01!K:K,"&gt;="&amp;O3,LANÇAMENTOS_01!K:K,"&lt;="&amp;P3),SUMIFS(LANÇAMENTOS_01!J:J,LANÇAMENTOS_01!K:K,"&gt;="&amp;O3,LANÇAMENTOS_01!K:K,"&lt;="&amp;P3,LANÇAMENTOS_01!H:H,$N$1)))</f>
        <v>0</v>
      </c>
      <c r="S3" s="5">
        <f>IF($O$1=1,(IF($N$1="Todos",SUMIFS(LANÇAMENTOS_02!J:J,LANÇAMENTOS_02!K:K,"&gt;="&amp;O3,LANÇAMENTOS_02!K:K,"&lt;="&amp;P3,LANÇAMENTOS_02!L:L,"="&amp;""),SUMIFS(LANÇAMENTOS_02!J:J,LANÇAMENTOS_02!K:K,"&gt;="&amp;O3,LANÇAMENTOS_02!K:K,"&lt;="&amp;P3,LANÇAMENTOS_02!H:H,$N$1,LANÇAMENTOS_02!L:L,"="&amp;""))),IF($N$1="Todos",SUMIFS(LANÇAMENTOS_02!J:J,LANÇAMENTOS_02!K:K,"&gt;="&amp;O3,LANÇAMENTOS_02!K:K,"&lt;="&amp;P3),SUMIFS(LANÇAMENTOS_02!J:J,LANÇAMENTOS_02!K:K,"&gt;="&amp;O3,LANÇAMENTOS_02!K:K,"&lt;="&amp;P3,LANÇAMENTOS_02!H:H,$N$1)))</f>
        <v>0</v>
      </c>
      <c r="U3" s="87">
        <f>SUM(CADASTRO_04!C:C)</f>
        <v>0</v>
      </c>
      <c r="V3" s="87">
        <f>IF(O1=1,SUMIFS(LANÇAMENTOS_01!J:J,LANÇAMENTOS_01!L:L,"&lt;"&amp;O3),SUMIFS(LANÇAMENTOS_01!J:J,LANÇAMENTOS_01!K:K,"&lt;"&amp;O3))</f>
        <v>0</v>
      </c>
      <c r="W3" s="87">
        <f>IF(O1=1,SUMIFS(LANÇAMENTOS_02!J:J,LANÇAMENTOS_02!L:L,"&lt;"&amp;O3),SUMIFS(LANÇAMENTOS_02!J:J,LANÇAMENTOS_02!K:K,"&lt;"&amp;O3))</f>
        <v>0</v>
      </c>
      <c r="X3" s="87">
        <f>IF(N2=INICIO!A1,SUM(CADASTRO_04!C:C),V3-W3+U3)</f>
        <v>0</v>
      </c>
      <c r="Z3" s="221">
        <f>SUMIF(CADASTRO_04!D:D,"&lt;="&amp;O3,CADASTRO_04!C:C)</f>
        <v>0</v>
      </c>
    </row>
    <row r="4" spans="3:58" ht="23.25" customHeight="1" x14ac:dyDescent="0.25">
      <c r="C4" s="53" t="s">
        <v>34</v>
      </c>
      <c r="D4" s="12">
        <f t="shared" ref="D4:D14" si="3">G3</f>
        <v>0</v>
      </c>
      <c r="E4" s="12">
        <f>IF($O$1=1,(IF($N$1="Todos",SUMIFS(LANÇAMENTOS_01!J:J,LANÇAMENTOS_01!L:L,"&gt;="&amp;O4,LANÇAMENTOS_01!L:L,"&lt;="&amp;P4),SUMIFS(LANÇAMENTOS_01!J:J,LANÇAMENTOS_01!L:L,"&gt;="&amp;O4,LANÇAMENTOS_01!L:L,"&lt;="&amp;P4,LANÇAMENTOS_01!H:H,$N$1))),IF($N$1="Todos",SUMIFS(LANÇAMENTOS_01!J:J,LANÇAMENTOS_01!K:K,"&gt;="&amp;O4,LANÇAMENTOS_01!K:K,"&lt;="&amp;P4),SUMIFS(LANÇAMENTOS_01!J:J,LANÇAMENTOS_01!K:K,"&gt;="&amp;O4,LANÇAMENTOS_01!K:K,"&lt;="&amp;P4,LANÇAMENTOS_01!H:H,$N$1)))</f>
        <v>0</v>
      </c>
      <c r="F4" s="12">
        <f>IF($O$1=1,(IF($N$1="Todos",SUMIFS(LANÇAMENTOS_02!J:J,LANÇAMENTOS_02!L:L,"&gt;="&amp;O4,LANÇAMENTOS_02!L:L,"&lt;="&amp;P4),SUMIFS(LANÇAMENTOS_02!J:J,LANÇAMENTOS_02!L:L,"&gt;="&amp;O4,LANÇAMENTOS_02!L:L,"&lt;="&amp;P4,LANÇAMENTOS_02!H:H,$N$1))),IF($N$1="Todos",SUMIFS(LANÇAMENTOS_02!J:J,LANÇAMENTOS_02!K:K,"&gt;="&amp;O4,LANÇAMENTOS_02!K:K,"&lt;="&amp;P4),SUMIFS(LANÇAMENTOS_02!J:J,LANÇAMENTOS_02!K:K,"&gt;="&amp;O4,LANÇAMENTOS_02!K:K,"&lt;="&amp;P4,LANÇAMENTOS_02!H:H,$N$1)))</f>
        <v>0</v>
      </c>
      <c r="G4" s="12">
        <f t="shared" si="0"/>
        <v>0</v>
      </c>
      <c r="H4" s="55">
        <f t="shared" si="1"/>
        <v>0</v>
      </c>
      <c r="I4" s="56">
        <f t="shared" ref="I4:I15" si="4">IF(ISERROR(H4/E4),0,(H4/E4))</f>
        <v>0</v>
      </c>
      <c r="J4" s="11"/>
      <c r="K4" s="85"/>
      <c r="L4" s="15"/>
      <c r="M4" s="15"/>
      <c r="N4" s="224">
        <v>0</v>
      </c>
      <c r="O4" s="51" t="str">
        <f>"01/02/"&amp;$N$2</f>
        <v>01/02/2021</v>
      </c>
      <c r="P4" s="225">
        <f t="shared" si="2"/>
        <v>44255</v>
      </c>
      <c r="R4" s="5">
        <f>IF($O$1=1,(IF($N$1="Todos",SUMIFS(LANÇAMENTOS_01!J:J,LANÇAMENTOS_01!K:K,"&gt;="&amp;O4,LANÇAMENTOS_01!K:K,"&lt;="&amp;P4,LANÇAMENTOS_01!L:L,"="&amp;""),SUMIFS(LANÇAMENTOS_01!J:J,LANÇAMENTOS_01!K:K,"&gt;="&amp;O4,LANÇAMENTOS_01!K:K,"&lt;="&amp;P4,LANÇAMENTOS_01!H:H,$N$1,LANÇAMENTOS_01!L:L,"="&amp;""))),IF($N$1="Todos",SUMIFS(LANÇAMENTOS_01!J:J,LANÇAMENTOS_01!K:K,"&gt;="&amp;O4,LANÇAMENTOS_01!K:K,"&lt;="&amp;P4),SUMIFS(LANÇAMENTOS_01!J:J,LANÇAMENTOS_01!K:K,"&gt;="&amp;O4,LANÇAMENTOS_01!K:K,"&lt;="&amp;P4,LANÇAMENTOS_01!H:H,$N$1)))</f>
        <v>0</v>
      </c>
      <c r="S4" s="5">
        <f>IF($O$1=1,(IF($N$1="Todos",SUMIFS(LANÇAMENTOS_02!J:J,LANÇAMENTOS_02!K:K,"&gt;="&amp;O4,LANÇAMENTOS_02!K:K,"&lt;="&amp;P4,LANÇAMENTOS_02!L:L,"="&amp;""),SUMIFS(LANÇAMENTOS_02!J:J,LANÇAMENTOS_02!K:K,"&gt;="&amp;O4,LANÇAMENTOS_02!K:K,"&lt;="&amp;P4,LANÇAMENTOS_02!H:H,$N$1,LANÇAMENTOS_02!L:L,"="&amp;""))),IF($N$1="Todos",SUMIFS(LANÇAMENTOS_02!J:J,LANÇAMENTOS_02!K:K,"&gt;="&amp;O4,LANÇAMENTOS_02!K:K,"&lt;="&amp;P4),SUMIFS(LANÇAMENTOS_02!J:J,LANÇAMENTOS_02!K:K,"&gt;="&amp;O4,LANÇAMENTOS_02!K:K,"&lt;="&amp;P4,LANÇAMENTOS_02!H:H,$N$1)))</f>
        <v>0</v>
      </c>
    </row>
    <row r="5" spans="3:58" ht="23.25" customHeight="1" x14ac:dyDescent="0.25">
      <c r="C5" s="53" t="s">
        <v>35</v>
      </c>
      <c r="D5" s="12">
        <f t="shared" si="3"/>
        <v>0</v>
      </c>
      <c r="E5" s="12">
        <f>IF($O$1=1,(IF($N$1="Todos",SUMIFS(LANÇAMENTOS_01!J:J,LANÇAMENTOS_01!L:L,"&gt;="&amp;O5,LANÇAMENTOS_01!L:L,"&lt;="&amp;P5),SUMIFS(LANÇAMENTOS_01!J:J,LANÇAMENTOS_01!L:L,"&gt;="&amp;O5,LANÇAMENTOS_01!L:L,"&lt;="&amp;P5,LANÇAMENTOS_01!H:H,$N$1))),IF($N$1="Todos",SUMIFS(LANÇAMENTOS_01!J:J,LANÇAMENTOS_01!K:K,"&gt;="&amp;O5,LANÇAMENTOS_01!K:K,"&lt;="&amp;P5),SUMIFS(LANÇAMENTOS_01!J:J,LANÇAMENTOS_01!K:K,"&gt;="&amp;O5,LANÇAMENTOS_01!K:K,"&lt;="&amp;P5,LANÇAMENTOS_01!H:H,$N$1)))</f>
        <v>0</v>
      </c>
      <c r="F5" s="12">
        <f>IF($O$1=1,(IF($N$1="Todos",SUMIFS(LANÇAMENTOS_02!J:J,LANÇAMENTOS_02!L:L,"&gt;="&amp;O5,LANÇAMENTOS_02!L:L,"&lt;="&amp;P5),SUMIFS(LANÇAMENTOS_02!J:J,LANÇAMENTOS_02!L:L,"&gt;="&amp;O5,LANÇAMENTOS_02!L:L,"&lt;="&amp;P5,LANÇAMENTOS_02!H:H,$N$1))),IF($N$1="Todos",SUMIFS(LANÇAMENTOS_02!J:J,LANÇAMENTOS_02!K:K,"&gt;="&amp;O5,LANÇAMENTOS_02!K:K,"&lt;="&amp;P5),SUMIFS(LANÇAMENTOS_02!J:J,LANÇAMENTOS_02!K:K,"&gt;="&amp;O5,LANÇAMENTOS_02!K:K,"&lt;="&amp;P5,LANÇAMENTOS_02!H:H,$N$1)))</f>
        <v>0</v>
      </c>
      <c r="G5" s="12">
        <f t="shared" si="0"/>
        <v>0</v>
      </c>
      <c r="H5" s="55">
        <f t="shared" si="1"/>
        <v>0</v>
      </c>
      <c r="I5" s="56">
        <f t="shared" si="4"/>
        <v>0</v>
      </c>
      <c r="J5" s="11"/>
      <c r="K5" s="85"/>
      <c r="L5" s="15"/>
      <c r="M5" s="15"/>
      <c r="N5" s="224">
        <v>0</v>
      </c>
      <c r="O5" s="51" t="str">
        <f>"01/03/"&amp;$N$2</f>
        <v>01/03/2021</v>
      </c>
      <c r="P5" s="225">
        <f t="shared" si="2"/>
        <v>44286</v>
      </c>
      <c r="R5" s="5">
        <f>IF($O$1=1,(IF($N$1="Todos",SUMIFS(LANÇAMENTOS_01!J:J,LANÇAMENTOS_01!K:K,"&gt;="&amp;O5,LANÇAMENTOS_01!K:K,"&lt;="&amp;P5,LANÇAMENTOS_01!L:L,"="&amp;""),SUMIFS(LANÇAMENTOS_01!J:J,LANÇAMENTOS_01!K:K,"&gt;="&amp;O5,LANÇAMENTOS_01!K:K,"&lt;="&amp;P5,LANÇAMENTOS_01!H:H,$N$1,LANÇAMENTOS_01!L:L,"="&amp;""))),IF($N$1="Todos",SUMIFS(LANÇAMENTOS_01!J:J,LANÇAMENTOS_01!K:K,"&gt;="&amp;O5,LANÇAMENTOS_01!K:K,"&lt;="&amp;P5),SUMIFS(LANÇAMENTOS_01!J:J,LANÇAMENTOS_01!K:K,"&gt;="&amp;O5,LANÇAMENTOS_01!K:K,"&lt;="&amp;P5,LANÇAMENTOS_01!H:H,$N$1)))</f>
        <v>0</v>
      </c>
      <c r="S5" s="5">
        <f>IF($O$1=1,(IF($N$1="Todos",SUMIFS(LANÇAMENTOS_02!J:J,LANÇAMENTOS_02!K:K,"&gt;="&amp;O5,LANÇAMENTOS_02!K:K,"&lt;="&amp;P5,LANÇAMENTOS_02!L:L,"="&amp;""),SUMIFS(LANÇAMENTOS_02!J:J,LANÇAMENTOS_02!K:K,"&gt;="&amp;O5,LANÇAMENTOS_02!K:K,"&lt;="&amp;P5,LANÇAMENTOS_02!H:H,$N$1,LANÇAMENTOS_02!L:L,"="&amp;""))),IF($N$1="Todos",SUMIFS(LANÇAMENTOS_02!J:J,LANÇAMENTOS_02!K:K,"&gt;="&amp;O5,LANÇAMENTOS_02!K:K,"&lt;="&amp;P5),SUMIFS(LANÇAMENTOS_02!J:J,LANÇAMENTOS_02!K:K,"&gt;="&amp;O5,LANÇAMENTOS_02!K:K,"&lt;="&amp;P5,LANÇAMENTOS_02!H:H,$N$1)))</f>
        <v>0</v>
      </c>
    </row>
    <row r="6" spans="3:58" ht="23.25" customHeight="1" x14ac:dyDescent="0.25">
      <c r="C6" s="53" t="s">
        <v>36</v>
      </c>
      <c r="D6" s="12">
        <f t="shared" si="3"/>
        <v>0</v>
      </c>
      <c r="E6" s="12">
        <f>IF($O$1=1,(IF($N$1="Todos",SUMIFS(LANÇAMENTOS_01!J:J,LANÇAMENTOS_01!L:L,"&gt;="&amp;O6,LANÇAMENTOS_01!L:L,"&lt;="&amp;P6),SUMIFS(LANÇAMENTOS_01!J:J,LANÇAMENTOS_01!L:L,"&gt;="&amp;O6,LANÇAMENTOS_01!L:L,"&lt;="&amp;P6,LANÇAMENTOS_01!H:H,$N$1))),IF($N$1="Todos",SUMIFS(LANÇAMENTOS_01!J:J,LANÇAMENTOS_01!K:K,"&gt;="&amp;O6,LANÇAMENTOS_01!K:K,"&lt;="&amp;P6),SUMIFS(LANÇAMENTOS_01!J:J,LANÇAMENTOS_01!K:K,"&gt;="&amp;O6,LANÇAMENTOS_01!K:K,"&lt;="&amp;P6,LANÇAMENTOS_01!H:H,$N$1)))</f>
        <v>0</v>
      </c>
      <c r="F6" s="12">
        <f>IF($O$1=1,(IF($N$1="Todos",SUMIFS(LANÇAMENTOS_02!J:J,LANÇAMENTOS_02!L:L,"&gt;="&amp;O6,LANÇAMENTOS_02!L:L,"&lt;="&amp;P6),SUMIFS(LANÇAMENTOS_02!J:J,LANÇAMENTOS_02!L:L,"&gt;="&amp;O6,LANÇAMENTOS_02!L:L,"&lt;="&amp;P6,LANÇAMENTOS_02!H:H,$N$1))),IF($N$1="Todos",SUMIFS(LANÇAMENTOS_02!J:J,LANÇAMENTOS_02!K:K,"&gt;="&amp;O6,LANÇAMENTOS_02!K:K,"&lt;="&amp;P6),SUMIFS(LANÇAMENTOS_02!J:J,LANÇAMENTOS_02!K:K,"&gt;="&amp;O6,LANÇAMENTOS_02!K:K,"&lt;="&amp;P6,LANÇAMENTOS_02!H:H,$N$1)))</f>
        <v>0</v>
      </c>
      <c r="G6" s="12">
        <f t="shared" si="0"/>
        <v>0</v>
      </c>
      <c r="H6" s="55">
        <f t="shared" si="1"/>
        <v>0</v>
      </c>
      <c r="I6" s="56">
        <f t="shared" si="4"/>
        <v>0</v>
      </c>
      <c r="J6" s="11"/>
      <c r="K6" s="85"/>
      <c r="L6" s="15"/>
      <c r="M6" s="15"/>
      <c r="N6" s="224">
        <v>0</v>
      </c>
      <c r="O6" s="51" t="str">
        <f>"01/04/"&amp;$N$2</f>
        <v>01/04/2021</v>
      </c>
      <c r="P6" s="225">
        <f t="shared" si="2"/>
        <v>44316</v>
      </c>
      <c r="R6" s="5">
        <f>IF($O$1=1,(IF($N$1="Todos",SUMIFS(LANÇAMENTOS_01!J:J,LANÇAMENTOS_01!K:K,"&gt;="&amp;O6,LANÇAMENTOS_01!K:K,"&lt;="&amp;P6,LANÇAMENTOS_01!L:L,"="&amp;""),SUMIFS(LANÇAMENTOS_01!J:J,LANÇAMENTOS_01!K:K,"&gt;="&amp;O6,LANÇAMENTOS_01!K:K,"&lt;="&amp;P6,LANÇAMENTOS_01!H:H,$N$1,LANÇAMENTOS_01!L:L,"="&amp;""))),IF($N$1="Todos",SUMIFS(LANÇAMENTOS_01!J:J,LANÇAMENTOS_01!K:K,"&gt;="&amp;O6,LANÇAMENTOS_01!K:K,"&lt;="&amp;P6),SUMIFS(LANÇAMENTOS_01!J:J,LANÇAMENTOS_01!K:K,"&gt;="&amp;O6,LANÇAMENTOS_01!K:K,"&lt;="&amp;P6,LANÇAMENTOS_01!H:H,$N$1)))</f>
        <v>0</v>
      </c>
      <c r="S6" s="5">
        <f>IF($O$1=1,(IF($N$1="Todos",SUMIFS(LANÇAMENTOS_02!J:J,LANÇAMENTOS_02!K:K,"&gt;="&amp;O6,LANÇAMENTOS_02!K:K,"&lt;="&amp;P6,LANÇAMENTOS_02!L:L,"="&amp;""),SUMIFS(LANÇAMENTOS_02!J:J,LANÇAMENTOS_02!K:K,"&gt;="&amp;O6,LANÇAMENTOS_02!K:K,"&lt;="&amp;P6,LANÇAMENTOS_02!H:H,$N$1,LANÇAMENTOS_02!L:L,"="&amp;""))),IF($N$1="Todos",SUMIFS(LANÇAMENTOS_02!J:J,LANÇAMENTOS_02!K:K,"&gt;="&amp;O6,LANÇAMENTOS_02!K:K,"&lt;="&amp;P6),SUMIFS(LANÇAMENTOS_02!J:J,LANÇAMENTOS_02!K:K,"&gt;="&amp;O6,LANÇAMENTOS_02!K:K,"&lt;="&amp;P6,LANÇAMENTOS_02!H:H,$N$1)))</f>
        <v>0</v>
      </c>
    </row>
    <row r="7" spans="3:58" ht="23.25" customHeight="1" x14ac:dyDescent="0.25">
      <c r="C7" s="53" t="s">
        <v>37</v>
      </c>
      <c r="D7" s="12">
        <f t="shared" si="3"/>
        <v>0</v>
      </c>
      <c r="E7" s="12">
        <f>IF($O$1=1,(IF($N$1="Todos",SUMIFS(LANÇAMENTOS_01!J:J,LANÇAMENTOS_01!L:L,"&gt;="&amp;O7,LANÇAMENTOS_01!L:L,"&lt;="&amp;P7),SUMIFS(LANÇAMENTOS_01!J:J,LANÇAMENTOS_01!L:L,"&gt;="&amp;O7,LANÇAMENTOS_01!L:L,"&lt;="&amp;P7,LANÇAMENTOS_01!H:H,$N$1))),IF($N$1="Todos",SUMIFS(LANÇAMENTOS_01!J:J,LANÇAMENTOS_01!K:K,"&gt;="&amp;O7,LANÇAMENTOS_01!K:K,"&lt;="&amp;P7),SUMIFS(LANÇAMENTOS_01!J:J,LANÇAMENTOS_01!K:K,"&gt;="&amp;O7,LANÇAMENTOS_01!K:K,"&lt;="&amp;P7,LANÇAMENTOS_01!H:H,$N$1)))</f>
        <v>0</v>
      </c>
      <c r="F7" s="12">
        <f>IF($O$1=1,(IF($N$1="Todos",SUMIFS(LANÇAMENTOS_02!J:J,LANÇAMENTOS_02!L:L,"&gt;="&amp;O7,LANÇAMENTOS_02!L:L,"&lt;="&amp;P7),SUMIFS(LANÇAMENTOS_02!J:J,LANÇAMENTOS_02!L:L,"&gt;="&amp;O7,LANÇAMENTOS_02!L:L,"&lt;="&amp;P7,LANÇAMENTOS_02!H:H,$N$1))),IF($N$1="Todos",SUMIFS(LANÇAMENTOS_02!J:J,LANÇAMENTOS_02!K:K,"&gt;="&amp;O7,LANÇAMENTOS_02!K:K,"&lt;="&amp;P7),SUMIFS(LANÇAMENTOS_02!J:J,LANÇAMENTOS_02!K:K,"&gt;="&amp;O7,LANÇAMENTOS_02!K:K,"&lt;="&amp;P7,LANÇAMENTOS_02!H:H,$N$1)))</f>
        <v>0</v>
      </c>
      <c r="G7" s="12">
        <f t="shared" si="0"/>
        <v>0</v>
      </c>
      <c r="H7" s="55">
        <f t="shared" si="1"/>
        <v>0</v>
      </c>
      <c r="I7" s="56">
        <f t="shared" si="4"/>
        <v>0</v>
      </c>
      <c r="J7" s="11"/>
      <c r="K7" s="85"/>
      <c r="L7" s="15"/>
      <c r="M7" s="15"/>
      <c r="N7" s="224">
        <v>0</v>
      </c>
      <c r="O7" s="51" t="str">
        <f>"01/05/"&amp;$N$2</f>
        <v>01/05/2021</v>
      </c>
      <c r="P7" s="225">
        <f t="shared" si="2"/>
        <v>44347</v>
      </c>
      <c r="R7" s="5">
        <f>IF($O$1=1,(IF($N$1="Todos",SUMIFS(LANÇAMENTOS_01!J:J,LANÇAMENTOS_01!K:K,"&gt;="&amp;O7,LANÇAMENTOS_01!K:K,"&lt;="&amp;P7,LANÇAMENTOS_01!L:L,"="&amp;""),SUMIFS(LANÇAMENTOS_01!J:J,LANÇAMENTOS_01!K:K,"&gt;="&amp;O7,LANÇAMENTOS_01!K:K,"&lt;="&amp;P7,LANÇAMENTOS_01!H:H,$N$1,LANÇAMENTOS_01!L:L,"="&amp;""))),IF($N$1="Todos",SUMIFS(LANÇAMENTOS_01!J:J,LANÇAMENTOS_01!K:K,"&gt;="&amp;O7,LANÇAMENTOS_01!K:K,"&lt;="&amp;P7),SUMIFS(LANÇAMENTOS_01!J:J,LANÇAMENTOS_01!K:K,"&gt;="&amp;O7,LANÇAMENTOS_01!K:K,"&lt;="&amp;P7,LANÇAMENTOS_01!H:H,$N$1)))</f>
        <v>0</v>
      </c>
      <c r="S7" s="5">
        <f>IF($O$1=1,(IF($N$1="Todos",SUMIFS(LANÇAMENTOS_02!J:J,LANÇAMENTOS_02!K:K,"&gt;="&amp;O7,LANÇAMENTOS_02!K:K,"&lt;="&amp;P7,LANÇAMENTOS_02!L:L,"="&amp;""),SUMIFS(LANÇAMENTOS_02!J:J,LANÇAMENTOS_02!K:K,"&gt;="&amp;O7,LANÇAMENTOS_02!K:K,"&lt;="&amp;P7,LANÇAMENTOS_02!H:H,$N$1,LANÇAMENTOS_02!L:L,"="&amp;""))),IF($N$1="Todos",SUMIFS(LANÇAMENTOS_02!J:J,LANÇAMENTOS_02!K:K,"&gt;="&amp;O7,LANÇAMENTOS_02!K:K,"&lt;="&amp;P7),SUMIFS(LANÇAMENTOS_02!J:J,LANÇAMENTOS_02!K:K,"&gt;="&amp;O7,LANÇAMENTOS_02!K:K,"&lt;="&amp;P7,LANÇAMENTOS_02!H:H,$N$1)))</f>
        <v>0</v>
      </c>
    </row>
    <row r="8" spans="3:58" ht="23.25" customHeight="1" x14ac:dyDescent="0.25">
      <c r="C8" s="53" t="s">
        <v>38</v>
      </c>
      <c r="D8" s="12">
        <f t="shared" si="3"/>
        <v>0</v>
      </c>
      <c r="E8" s="12">
        <f>IF($O$1=1,(IF($N$1="Todos",SUMIFS(LANÇAMENTOS_01!J:J,LANÇAMENTOS_01!L:L,"&gt;="&amp;O8,LANÇAMENTOS_01!L:L,"&lt;="&amp;P8),SUMIFS(LANÇAMENTOS_01!J:J,LANÇAMENTOS_01!L:L,"&gt;="&amp;O8,LANÇAMENTOS_01!L:L,"&lt;="&amp;P8,LANÇAMENTOS_01!H:H,$N$1))),IF($N$1="Todos",SUMIFS(LANÇAMENTOS_01!J:J,LANÇAMENTOS_01!K:K,"&gt;="&amp;O8,LANÇAMENTOS_01!K:K,"&lt;="&amp;P8),SUMIFS(LANÇAMENTOS_01!J:J,LANÇAMENTOS_01!K:K,"&gt;="&amp;O8,LANÇAMENTOS_01!K:K,"&lt;="&amp;P8,LANÇAMENTOS_01!H:H,$N$1)))</f>
        <v>0</v>
      </c>
      <c r="F8" s="12">
        <f>IF($O$1=1,(IF($N$1="Todos",SUMIFS(LANÇAMENTOS_02!J:J,LANÇAMENTOS_02!L:L,"&gt;="&amp;O8,LANÇAMENTOS_02!L:L,"&lt;="&amp;P8),SUMIFS(LANÇAMENTOS_02!J:J,LANÇAMENTOS_02!L:L,"&gt;="&amp;O8,LANÇAMENTOS_02!L:L,"&lt;="&amp;P8,LANÇAMENTOS_02!H:H,$N$1))),IF($N$1="Todos",SUMIFS(LANÇAMENTOS_02!J:J,LANÇAMENTOS_02!K:K,"&gt;="&amp;O8,LANÇAMENTOS_02!K:K,"&lt;="&amp;P8),SUMIFS(LANÇAMENTOS_02!J:J,LANÇAMENTOS_02!K:K,"&gt;="&amp;O8,LANÇAMENTOS_02!K:K,"&lt;="&amp;P8,LANÇAMENTOS_02!H:H,$N$1)))</f>
        <v>0</v>
      </c>
      <c r="G8" s="12">
        <f t="shared" si="0"/>
        <v>0</v>
      </c>
      <c r="H8" s="55">
        <f t="shared" si="1"/>
        <v>0</v>
      </c>
      <c r="I8" s="56">
        <f t="shared" si="4"/>
        <v>0</v>
      </c>
      <c r="J8" s="11"/>
      <c r="K8" s="85"/>
      <c r="L8" s="15"/>
      <c r="M8" s="15"/>
      <c r="N8" s="224">
        <v>0</v>
      </c>
      <c r="O8" s="51" t="str">
        <f>"01/06/"&amp;$N$2</f>
        <v>01/06/2021</v>
      </c>
      <c r="P8" s="225">
        <f t="shared" si="2"/>
        <v>44377</v>
      </c>
      <c r="R8" s="5">
        <f>IF($O$1=1,(IF($N$1="Todos",SUMIFS(LANÇAMENTOS_01!J:J,LANÇAMENTOS_01!K:K,"&gt;="&amp;O8,LANÇAMENTOS_01!K:K,"&lt;="&amp;P8,LANÇAMENTOS_01!L:L,"="&amp;""),SUMIFS(LANÇAMENTOS_01!J:J,LANÇAMENTOS_01!K:K,"&gt;="&amp;O8,LANÇAMENTOS_01!K:K,"&lt;="&amp;P8,LANÇAMENTOS_01!H:H,$N$1,LANÇAMENTOS_01!L:L,"="&amp;""))),IF($N$1="Todos",SUMIFS(LANÇAMENTOS_01!J:J,LANÇAMENTOS_01!K:K,"&gt;="&amp;O8,LANÇAMENTOS_01!K:K,"&lt;="&amp;P8),SUMIFS(LANÇAMENTOS_01!J:J,LANÇAMENTOS_01!K:K,"&gt;="&amp;O8,LANÇAMENTOS_01!K:K,"&lt;="&amp;P8,LANÇAMENTOS_01!H:H,$N$1)))</f>
        <v>0</v>
      </c>
      <c r="S8" s="5">
        <f>IF($O$1=1,(IF($N$1="Todos",SUMIFS(LANÇAMENTOS_02!J:J,LANÇAMENTOS_02!K:K,"&gt;="&amp;O8,LANÇAMENTOS_02!K:K,"&lt;="&amp;P8,LANÇAMENTOS_02!L:L,"="&amp;""),SUMIFS(LANÇAMENTOS_02!J:J,LANÇAMENTOS_02!K:K,"&gt;="&amp;O8,LANÇAMENTOS_02!K:K,"&lt;="&amp;P8,LANÇAMENTOS_02!H:H,$N$1,LANÇAMENTOS_02!L:L,"="&amp;""))),IF($N$1="Todos",SUMIFS(LANÇAMENTOS_02!J:J,LANÇAMENTOS_02!K:K,"&gt;="&amp;O8,LANÇAMENTOS_02!K:K,"&lt;="&amp;P8),SUMIFS(LANÇAMENTOS_02!J:J,LANÇAMENTOS_02!K:K,"&gt;="&amp;O8,LANÇAMENTOS_02!K:K,"&lt;="&amp;P8,LANÇAMENTOS_02!H:H,$N$1)))</f>
        <v>0</v>
      </c>
    </row>
    <row r="9" spans="3:58" ht="23.25" customHeight="1" x14ac:dyDescent="0.25">
      <c r="C9" s="53" t="s">
        <v>39</v>
      </c>
      <c r="D9" s="12">
        <f t="shared" si="3"/>
        <v>0</v>
      </c>
      <c r="E9" s="12">
        <f>IF($O$1=1,(IF($N$1="Todos",SUMIFS(LANÇAMENTOS_01!J:J,LANÇAMENTOS_01!L:L,"&gt;="&amp;O9,LANÇAMENTOS_01!L:L,"&lt;="&amp;P9),SUMIFS(LANÇAMENTOS_01!J:J,LANÇAMENTOS_01!L:L,"&gt;="&amp;O9,LANÇAMENTOS_01!L:L,"&lt;="&amp;P9,LANÇAMENTOS_01!H:H,$N$1))),IF($N$1="Todos",SUMIFS(LANÇAMENTOS_01!J:J,LANÇAMENTOS_01!K:K,"&gt;="&amp;O9,LANÇAMENTOS_01!K:K,"&lt;="&amp;P9),SUMIFS(LANÇAMENTOS_01!J:J,LANÇAMENTOS_01!K:K,"&gt;="&amp;O9,LANÇAMENTOS_01!K:K,"&lt;="&amp;P9,LANÇAMENTOS_01!H:H,$N$1)))</f>
        <v>0</v>
      </c>
      <c r="F9" s="12">
        <f>IF($O$1=1,(IF($N$1="Todos",SUMIFS(LANÇAMENTOS_02!J:J,LANÇAMENTOS_02!L:L,"&gt;="&amp;O9,LANÇAMENTOS_02!L:L,"&lt;="&amp;P9),SUMIFS(LANÇAMENTOS_02!J:J,LANÇAMENTOS_02!L:L,"&gt;="&amp;O9,LANÇAMENTOS_02!L:L,"&lt;="&amp;P9,LANÇAMENTOS_02!H:H,$N$1))),IF($N$1="Todos",SUMIFS(LANÇAMENTOS_02!J:J,LANÇAMENTOS_02!K:K,"&gt;="&amp;O9,LANÇAMENTOS_02!K:K,"&lt;="&amp;P9),SUMIFS(LANÇAMENTOS_02!J:J,LANÇAMENTOS_02!K:K,"&gt;="&amp;O9,LANÇAMENTOS_02!K:K,"&lt;="&amp;P9,LANÇAMENTOS_02!H:H,$N$1)))</f>
        <v>0</v>
      </c>
      <c r="G9" s="12">
        <f t="shared" si="0"/>
        <v>0</v>
      </c>
      <c r="H9" s="55">
        <f t="shared" si="1"/>
        <v>0</v>
      </c>
      <c r="I9" s="56">
        <f t="shared" si="4"/>
        <v>0</v>
      </c>
      <c r="J9" s="11"/>
      <c r="K9" s="85"/>
      <c r="L9" s="15"/>
      <c r="M9" s="15"/>
      <c r="N9" s="224">
        <v>0</v>
      </c>
      <c r="O9" s="51" t="str">
        <f>"01/07/"&amp;$N$2</f>
        <v>01/07/2021</v>
      </c>
      <c r="P9" s="225">
        <f t="shared" si="2"/>
        <v>44408</v>
      </c>
      <c r="R9" s="5">
        <f>IF($O$1=1,(IF($N$1="Todos",SUMIFS(LANÇAMENTOS_01!J:J,LANÇAMENTOS_01!K:K,"&gt;="&amp;O9,LANÇAMENTOS_01!K:K,"&lt;="&amp;P9,LANÇAMENTOS_01!L:L,"="&amp;""),SUMIFS(LANÇAMENTOS_01!J:J,LANÇAMENTOS_01!K:K,"&gt;="&amp;O9,LANÇAMENTOS_01!K:K,"&lt;="&amp;P9,LANÇAMENTOS_01!H:H,$N$1,LANÇAMENTOS_01!L:L,"="&amp;""))),IF($N$1="Todos",SUMIFS(LANÇAMENTOS_01!J:J,LANÇAMENTOS_01!K:K,"&gt;="&amp;O9,LANÇAMENTOS_01!K:K,"&lt;="&amp;P9),SUMIFS(LANÇAMENTOS_01!J:J,LANÇAMENTOS_01!K:K,"&gt;="&amp;O9,LANÇAMENTOS_01!K:K,"&lt;="&amp;P9,LANÇAMENTOS_01!H:H,$N$1)))</f>
        <v>0</v>
      </c>
      <c r="S9" s="5">
        <f>IF($O$1=1,(IF($N$1="Todos",SUMIFS(LANÇAMENTOS_02!J:J,LANÇAMENTOS_02!K:K,"&gt;="&amp;O9,LANÇAMENTOS_02!K:K,"&lt;="&amp;P9,LANÇAMENTOS_02!L:L,"="&amp;""),SUMIFS(LANÇAMENTOS_02!J:J,LANÇAMENTOS_02!K:K,"&gt;="&amp;O9,LANÇAMENTOS_02!K:K,"&lt;="&amp;P9,LANÇAMENTOS_02!H:H,$N$1,LANÇAMENTOS_02!L:L,"="&amp;""))),IF($N$1="Todos",SUMIFS(LANÇAMENTOS_02!J:J,LANÇAMENTOS_02!K:K,"&gt;="&amp;O9,LANÇAMENTOS_02!K:K,"&lt;="&amp;P9),SUMIFS(LANÇAMENTOS_02!J:J,LANÇAMENTOS_02!K:K,"&gt;="&amp;O9,LANÇAMENTOS_02!K:K,"&lt;="&amp;P9,LANÇAMENTOS_02!H:H,$N$1)))</f>
        <v>0</v>
      </c>
    </row>
    <row r="10" spans="3:58" ht="23.25" customHeight="1" x14ac:dyDescent="0.25">
      <c r="C10" s="53" t="s">
        <v>40</v>
      </c>
      <c r="D10" s="12">
        <f t="shared" si="3"/>
        <v>0</v>
      </c>
      <c r="E10" s="12">
        <f>IF($O$1=1,(IF($N$1="Todos",SUMIFS(LANÇAMENTOS_01!J:J,LANÇAMENTOS_01!L:L,"&gt;="&amp;O10,LANÇAMENTOS_01!L:L,"&lt;="&amp;P10),SUMIFS(LANÇAMENTOS_01!J:J,LANÇAMENTOS_01!L:L,"&gt;="&amp;O10,LANÇAMENTOS_01!L:L,"&lt;="&amp;P10,LANÇAMENTOS_01!H:H,$N$1))),IF($N$1="Todos",SUMIFS(LANÇAMENTOS_01!J:J,LANÇAMENTOS_01!K:K,"&gt;="&amp;O10,LANÇAMENTOS_01!K:K,"&lt;="&amp;P10),SUMIFS(LANÇAMENTOS_01!J:J,LANÇAMENTOS_01!K:K,"&gt;="&amp;O10,LANÇAMENTOS_01!K:K,"&lt;="&amp;P10,LANÇAMENTOS_01!H:H,$N$1)))</f>
        <v>0</v>
      </c>
      <c r="F10" s="12">
        <f>IF($O$1=1,(IF($N$1="Todos",SUMIFS(LANÇAMENTOS_02!J:J,LANÇAMENTOS_02!L:L,"&gt;="&amp;O10,LANÇAMENTOS_02!L:L,"&lt;="&amp;P10),SUMIFS(LANÇAMENTOS_02!J:J,LANÇAMENTOS_02!L:L,"&gt;="&amp;O10,LANÇAMENTOS_02!L:L,"&lt;="&amp;P10,LANÇAMENTOS_02!H:H,$N$1))),IF($N$1="Todos",SUMIFS(LANÇAMENTOS_02!J:J,LANÇAMENTOS_02!K:K,"&gt;="&amp;O10,LANÇAMENTOS_02!K:K,"&lt;="&amp;P10),SUMIFS(LANÇAMENTOS_02!J:J,LANÇAMENTOS_02!K:K,"&gt;="&amp;O10,LANÇAMENTOS_02!K:K,"&lt;="&amp;P10,LANÇAMENTOS_02!H:H,$N$1)))</f>
        <v>0</v>
      </c>
      <c r="G10" s="12">
        <f t="shared" si="0"/>
        <v>0</v>
      </c>
      <c r="H10" s="55">
        <f t="shared" si="1"/>
        <v>0</v>
      </c>
      <c r="I10" s="56">
        <f t="shared" si="4"/>
        <v>0</v>
      </c>
      <c r="J10" s="11"/>
      <c r="K10" s="85"/>
      <c r="L10" s="15"/>
      <c r="M10" s="15"/>
      <c r="N10" s="224">
        <v>0</v>
      </c>
      <c r="O10" s="51" t="str">
        <f>"01/08/"&amp;$N$2</f>
        <v>01/08/2021</v>
      </c>
      <c r="P10" s="225">
        <f t="shared" si="2"/>
        <v>44439</v>
      </c>
      <c r="R10" s="5">
        <f>IF($O$1=1,(IF($N$1="Todos",SUMIFS(LANÇAMENTOS_01!J:J,LANÇAMENTOS_01!K:K,"&gt;="&amp;O10,LANÇAMENTOS_01!K:K,"&lt;="&amp;P10,LANÇAMENTOS_01!L:L,"="&amp;""),SUMIFS(LANÇAMENTOS_01!J:J,LANÇAMENTOS_01!K:K,"&gt;="&amp;O10,LANÇAMENTOS_01!K:K,"&lt;="&amp;P10,LANÇAMENTOS_01!H:H,$N$1,LANÇAMENTOS_01!L:L,"="&amp;""))),IF($N$1="Todos",SUMIFS(LANÇAMENTOS_01!J:J,LANÇAMENTOS_01!K:K,"&gt;="&amp;O10,LANÇAMENTOS_01!K:K,"&lt;="&amp;P10),SUMIFS(LANÇAMENTOS_01!J:J,LANÇAMENTOS_01!K:K,"&gt;="&amp;O10,LANÇAMENTOS_01!K:K,"&lt;="&amp;P10,LANÇAMENTOS_01!H:H,$N$1)))</f>
        <v>0</v>
      </c>
      <c r="S10" s="5">
        <f>IF($O$1=1,(IF($N$1="Todos",SUMIFS(LANÇAMENTOS_02!J:J,LANÇAMENTOS_02!K:K,"&gt;="&amp;O10,LANÇAMENTOS_02!K:K,"&lt;="&amp;P10,LANÇAMENTOS_02!L:L,"="&amp;""),SUMIFS(LANÇAMENTOS_02!J:J,LANÇAMENTOS_02!K:K,"&gt;="&amp;O10,LANÇAMENTOS_02!K:K,"&lt;="&amp;P10,LANÇAMENTOS_02!H:H,$N$1,LANÇAMENTOS_02!L:L,"="&amp;""))),IF($N$1="Todos",SUMIFS(LANÇAMENTOS_02!J:J,LANÇAMENTOS_02!K:K,"&gt;="&amp;O10,LANÇAMENTOS_02!K:K,"&lt;="&amp;P10),SUMIFS(LANÇAMENTOS_02!J:J,LANÇAMENTOS_02!K:K,"&gt;="&amp;O10,LANÇAMENTOS_02!K:K,"&lt;="&amp;P10,LANÇAMENTOS_02!H:H,$N$1)))</f>
        <v>0</v>
      </c>
    </row>
    <row r="11" spans="3:58" ht="23.25" customHeight="1" x14ac:dyDescent="0.25">
      <c r="C11" s="53" t="s">
        <v>41</v>
      </c>
      <c r="D11" s="12">
        <f t="shared" si="3"/>
        <v>0</v>
      </c>
      <c r="E11" s="12">
        <f>IF($O$1=1,(IF($N$1="Todos",SUMIFS(LANÇAMENTOS_01!J:J,LANÇAMENTOS_01!L:L,"&gt;="&amp;O11,LANÇAMENTOS_01!L:L,"&lt;="&amp;P11),SUMIFS(LANÇAMENTOS_01!J:J,LANÇAMENTOS_01!L:L,"&gt;="&amp;O11,LANÇAMENTOS_01!L:L,"&lt;="&amp;P11,LANÇAMENTOS_01!H:H,$N$1))),IF($N$1="Todos",SUMIFS(LANÇAMENTOS_01!J:J,LANÇAMENTOS_01!K:K,"&gt;="&amp;O11,LANÇAMENTOS_01!K:K,"&lt;="&amp;P11),SUMIFS(LANÇAMENTOS_01!J:J,LANÇAMENTOS_01!K:K,"&gt;="&amp;O11,LANÇAMENTOS_01!K:K,"&lt;="&amp;P11,LANÇAMENTOS_01!H:H,$N$1)))</f>
        <v>0</v>
      </c>
      <c r="F11" s="12">
        <f>IF($O$1=1,(IF($N$1="Todos",SUMIFS(LANÇAMENTOS_02!J:J,LANÇAMENTOS_02!L:L,"&gt;="&amp;O11,LANÇAMENTOS_02!L:L,"&lt;="&amp;P11),SUMIFS(LANÇAMENTOS_02!J:J,LANÇAMENTOS_02!L:L,"&gt;="&amp;O11,LANÇAMENTOS_02!L:L,"&lt;="&amp;P11,LANÇAMENTOS_02!H:H,$N$1))),IF($N$1="Todos",SUMIFS(LANÇAMENTOS_02!J:J,LANÇAMENTOS_02!K:K,"&gt;="&amp;O11,LANÇAMENTOS_02!K:K,"&lt;="&amp;P11),SUMIFS(LANÇAMENTOS_02!J:J,LANÇAMENTOS_02!K:K,"&gt;="&amp;O11,LANÇAMENTOS_02!K:K,"&lt;="&amp;P11,LANÇAMENTOS_02!H:H,$N$1)))</f>
        <v>0</v>
      </c>
      <c r="G11" s="12">
        <f t="shared" si="0"/>
        <v>0</v>
      </c>
      <c r="H11" s="55">
        <f t="shared" si="1"/>
        <v>0</v>
      </c>
      <c r="I11" s="56">
        <f t="shared" si="4"/>
        <v>0</v>
      </c>
      <c r="J11" s="11"/>
      <c r="K11" s="85"/>
      <c r="L11" s="15"/>
      <c r="M11" s="15"/>
      <c r="N11" s="224">
        <v>0</v>
      </c>
      <c r="O11" s="51" t="str">
        <f>"01/09/"&amp;$N$2</f>
        <v>01/09/2021</v>
      </c>
      <c r="P11" s="225">
        <f t="shared" si="2"/>
        <v>44469</v>
      </c>
      <c r="R11" s="5">
        <f>IF($O$1=1,(IF($N$1="Todos",SUMIFS(LANÇAMENTOS_01!J:J,LANÇAMENTOS_01!K:K,"&gt;="&amp;O11,LANÇAMENTOS_01!K:K,"&lt;="&amp;P11,LANÇAMENTOS_01!L:L,"="&amp;""),SUMIFS(LANÇAMENTOS_01!J:J,LANÇAMENTOS_01!K:K,"&gt;="&amp;O11,LANÇAMENTOS_01!K:K,"&lt;="&amp;P11,LANÇAMENTOS_01!H:H,$N$1,LANÇAMENTOS_01!L:L,"="&amp;""))),IF($N$1="Todos",SUMIFS(LANÇAMENTOS_01!J:J,LANÇAMENTOS_01!K:K,"&gt;="&amp;O11,LANÇAMENTOS_01!K:K,"&lt;="&amp;P11),SUMIFS(LANÇAMENTOS_01!J:J,LANÇAMENTOS_01!K:K,"&gt;="&amp;O11,LANÇAMENTOS_01!K:K,"&lt;="&amp;P11,LANÇAMENTOS_01!H:H,$N$1)))</f>
        <v>0</v>
      </c>
      <c r="S11" s="5">
        <f>IF($O$1=1,(IF($N$1="Todos",SUMIFS(LANÇAMENTOS_02!J:J,LANÇAMENTOS_02!K:K,"&gt;="&amp;O11,LANÇAMENTOS_02!K:K,"&lt;="&amp;P11,LANÇAMENTOS_02!L:L,"="&amp;""),SUMIFS(LANÇAMENTOS_02!J:J,LANÇAMENTOS_02!K:K,"&gt;="&amp;O11,LANÇAMENTOS_02!K:K,"&lt;="&amp;P11,LANÇAMENTOS_02!H:H,$N$1,LANÇAMENTOS_02!L:L,"="&amp;""))),IF($N$1="Todos",SUMIFS(LANÇAMENTOS_02!J:J,LANÇAMENTOS_02!K:K,"&gt;="&amp;O11,LANÇAMENTOS_02!K:K,"&lt;="&amp;P11),SUMIFS(LANÇAMENTOS_02!J:J,LANÇAMENTOS_02!K:K,"&gt;="&amp;O11,LANÇAMENTOS_02!K:K,"&lt;="&amp;P11,LANÇAMENTOS_02!H:H,$N$1)))</f>
        <v>0</v>
      </c>
    </row>
    <row r="12" spans="3:58" ht="23.25" customHeight="1" x14ac:dyDescent="0.25">
      <c r="C12" s="53" t="s">
        <v>42</v>
      </c>
      <c r="D12" s="12">
        <f t="shared" si="3"/>
        <v>0</v>
      </c>
      <c r="E12" s="12">
        <f>IF($O$1=1,(IF($N$1="Todos",SUMIFS(LANÇAMENTOS_01!J:J,LANÇAMENTOS_01!L:L,"&gt;="&amp;O12,LANÇAMENTOS_01!L:L,"&lt;="&amp;P12),SUMIFS(LANÇAMENTOS_01!J:J,LANÇAMENTOS_01!L:L,"&gt;="&amp;O12,LANÇAMENTOS_01!L:L,"&lt;="&amp;P12,LANÇAMENTOS_01!H:H,$N$1))),IF($N$1="Todos",SUMIFS(LANÇAMENTOS_01!J:J,LANÇAMENTOS_01!K:K,"&gt;="&amp;O12,LANÇAMENTOS_01!K:K,"&lt;="&amp;P12),SUMIFS(LANÇAMENTOS_01!J:J,LANÇAMENTOS_01!K:K,"&gt;="&amp;O12,LANÇAMENTOS_01!K:K,"&lt;="&amp;P12,LANÇAMENTOS_01!H:H,$N$1)))</f>
        <v>0</v>
      </c>
      <c r="F12" s="12">
        <f>IF($O$1=1,(IF($N$1="Todos",SUMIFS(LANÇAMENTOS_02!J:J,LANÇAMENTOS_02!L:L,"&gt;="&amp;O12,LANÇAMENTOS_02!L:L,"&lt;="&amp;P12),SUMIFS(LANÇAMENTOS_02!J:J,LANÇAMENTOS_02!L:L,"&gt;="&amp;O12,LANÇAMENTOS_02!L:L,"&lt;="&amp;P12,LANÇAMENTOS_02!H:H,$N$1))),IF($N$1="Todos",SUMIFS(LANÇAMENTOS_02!J:J,LANÇAMENTOS_02!K:K,"&gt;="&amp;O12,LANÇAMENTOS_02!K:K,"&lt;="&amp;P12),SUMIFS(LANÇAMENTOS_02!J:J,LANÇAMENTOS_02!K:K,"&gt;="&amp;O12,LANÇAMENTOS_02!K:K,"&lt;="&amp;P12,LANÇAMENTOS_02!H:H,$N$1)))</f>
        <v>0</v>
      </c>
      <c r="G12" s="12">
        <f t="shared" si="0"/>
        <v>0</v>
      </c>
      <c r="H12" s="55">
        <f t="shared" si="1"/>
        <v>0</v>
      </c>
      <c r="I12" s="56">
        <f t="shared" si="4"/>
        <v>0</v>
      </c>
      <c r="J12" s="11"/>
      <c r="K12" s="85"/>
      <c r="L12" s="15"/>
      <c r="M12" s="15"/>
      <c r="N12" s="224">
        <v>0</v>
      </c>
      <c r="O12" s="51" t="str">
        <f>"01/10/"&amp;$N$2</f>
        <v>01/10/2021</v>
      </c>
      <c r="P12" s="225">
        <f t="shared" si="2"/>
        <v>44500</v>
      </c>
      <c r="R12" s="5">
        <f>IF($O$1=1,(IF($N$1="Todos",SUMIFS(LANÇAMENTOS_01!J:J,LANÇAMENTOS_01!K:K,"&gt;="&amp;O12,LANÇAMENTOS_01!K:K,"&lt;="&amp;P12,LANÇAMENTOS_01!L:L,"="&amp;""),SUMIFS(LANÇAMENTOS_01!J:J,LANÇAMENTOS_01!K:K,"&gt;="&amp;O12,LANÇAMENTOS_01!K:K,"&lt;="&amp;P12,LANÇAMENTOS_01!H:H,$N$1,LANÇAMENTOS_01!L:L,"="&amp;""))),IF($N$1="Todos",SUMIFS(LANÇAMENTOS_01!J:J,LANÇAMENTOS_01!K:K,"&gt;="&amp;O12,LANÇAMENTOS_01!K:K,"&lt;="&amp;P12),SUMIFS(LANÇAMENTOS_01!J:J,LANÇAMENTOS_01!K:K,"&gt;="&amp;O12,LANÇAMENTOS_01!K:K,"&lt;="&amp;P12,LANÇAMENTOS_01!H:H,$N$1)))</f>
        <v>0</v>
      </c>
      <c r="S12" s="5">
        <f>IF($O$1=1,(IF($N$1="Todos",SUMIFS(LANÇAMENTOS_02!J:J,LANÇAMENTOS_02!K:K,"&gt;="&amp;O12,LANÇAMENTOS_02!K:K,"&lt;="&amp;P12,LANÇAMENTOS_02!L:L,"="&amp;""),SUMIFS(LANÇAMENTOS_02!J:J,LANÇAMENTOS_02!K:K,"&gt;="&amp;O12,LANÇAMENTOS_02!K:K,"&lt;="&amp;P12,LANÇAMENTOS_02!H:H,$N$1,LANÇAMENTOS_02!L:L,"="&amp;""))),IF($N$1="Todos",SUMIFS(LANÇAMENTOS_02!J:J,LANÇAMENTOS_02!K:K,"&gt;="&amp;O12,LANÇAMENTOS_02!K:K,"&lt;="&amp;P12),SUMIFS(LANÇAMENTOS_02!J:J,LANÇAMENTOS_02!K:K,"&gt;="&amp;O12,LANÇAMENTOS_02!K:K,"&lt;="&amp;P12,LANÇAMENTOS_02!H:H,$N$1)))</f>
        <v>0</v>
      </c>
    </row>
    <row r="13" spans="3:58" ht="23.25" customHeight="1" x14ac:dyDescent="0.25">
      <c r="C13" s="53" t="s">
        <v>43</v>
      </c>
      <c r="D13" s="12">
        <f t="shared" si="3"/>
        <v>0</v>
      </c>
      <c r="E13" s="12">
        <f>IF($O$1=1,(IF($N$1="Todos",SUMIFS(LANÇAMENTOS_01!J:J,LANÇAMENTOS_01!L:L,"&gt;="&amp;O13,LANÇAMENTOS_01!L:L,"&lt;="&amp;P13),SUMIFS(LANÇAMENTOS_01!J:J,LANÇAMENTOS_01!L:L,"&gt;="&amp;O13,LANÇAMENTOS_01!L:L,"&lt;="&amp;P13,LANÇAMENTOS_01!H:H,$N$1))),IF($N$1="Todos",SUMIFS(LANÇAMENTOS_01!J:J,LANÇAMENTOS_01!K:K,"&gt;="&amp;O13,LANÇAMENTOS_01!K:K,"&lt;="&amp;P13),SUMIFS(LANÇAMENTOS_01!J:J,LANÇAMENTOS_01!K:K,"&gt;="&amp;O13,LANÇAMENTOS_01!K:K,"&lt;="&amp;P13,LANÇAMENTOS_01!H:H,$N$1)))</f>
        <v>0</v>
      </c>
      <c r="F13" s="12">
        <f>IF($O$1=1,(IF($N$1="Todos",SUMIFS(LANÇAMENTOS_02!J:J,LANÇAMENTOS_02!L:L,"&gt;="&amp;O13,LANÇAMENTOS_02!L:L,"&lt;="&amp;P13),SUMIFS(LANÇAMENTOS_02!J:J,LANÇAMENTOS_02!L:L,"&gt;="&amp;O13,LANÇAMENTOS_02!L:L,"&lt;="&amp;P13,LANÇAMENTOS_02!H:H,$N$1))),IF($N$1="Todos",SUMIFS(LANÇAMENTOS_02!J:J,LANÇAMENTOS_02!K:K,"&gt;="&amp;O13,LANÇAMENTOS_02!K:K,"&lt;="&amp;P13),SUMIFS(LANÇAMENTOS_02!J:J,LANÇAMENTOS_02!K:K,"&gt;="&amp;O13,LANÇAMENTOS_02!K:K,"&lt;="&amp;P13,LANÇAMENTOS_02!H:H,$N$1)))</f>
        <v>0</v>
      </c>
      <c r="G13" s="12">
        <f t="shared" si="0"/>
        <v>0</v>
      </c>
      <c r="H13" s="55">
        <f t="shared" si="1"/>
        <v>0</v>
      </c>
      <c r="I13" s="56">
        <f t="shared" si="4"/>
        <v>0</v>
      </c>
      <c r="J13" s="11"/>
      <c r="K13" s="85"/>
      <c r="L13" s="15"/>
      <c r="M13" s="15"/>
      <c r="N13" s="224">
        <v>0</v>
      </c>
      <c r="O13" s="51" t="str">
        <f>"01/11/"&amp;$N$2</f>
        <v>01/11/2021</v>
      </c>
      <c r="P13" s="225">
        <f t="shared" si="2"/>
        <v>44530</v>
      </c>
      <c r="R13" s="5">
        <f>IF($O$1=1,(IF($N$1="Todos",SUMIFS(LANÇAMENTOS_01!J:J,LANÇAMENTOS_01!K:K,"&gt;="&amp;O13,LANÇAMENTOS_01!K:K,"&lt;="&amp;P13,LANÇAMENTOS_01!L:L,"="&amp;""),SUMIFS(LANÇAMENTOS_01!J:J,LANÇAMENTOS_01!K:K,"&gt;="&amp;O13,LANÇAMENTOS_01!K:K,"&lt;="&amp;P13,LANÇAMENTOS_01!H:H,$N$1,LANÇAMENTOS_01!L:L,"="&amp;""))),IF($N$1="Todos",SUMIFS(LANÇAMENTOS_01!J:J,LANÇAMENTOS_01!K:K,"&gt;="&amp;O13,LANÇAMENTOS_01!K:K,"&lt;="&amp;P13),SUMIFS(LANÇAMENTOS_01!J:J,LANÇAMENTOS_01!K:K,"&gt;="&amp;O13,LANÇAMENTOS_01!K:K,"&lt;="&amp;P13,LANÇAMENTOS_01!H:H,$N$1)))</f>
        <v>0</v>
      </c>
      <c r="S13" s="5">
        <f>IF($O$1=1,(IF($N$1="Todos",SUMIFS(LANÇAMENTOS_02!J:J,LANÇAMENTOS_02!K:K,"&gt;="&amp;O13,LANÇAMENTOS_02!K:K,"&lt;="&amp;P13,LANÇAMENTOS_02!L:L,"="&amp;""),SUMIFS(LANÇAMENTOS_02!J:J,LANÇAMENTOS_02!K:K,"&gt;="&amp;O13,LANÇAMENTOS_02!K:K,"&lt;="&amp;P13,LANÇAMENTOS_02!H:H,$N$1,LANÇAMENTOS_02!L:L,"="&amp;""))),IF($N$1="Todos",SUMIFS(LANÇAMENTOS_02!J:J,LANÇAMENTOS_02!K:K,"&gt;="&amp;O13,LANÇAMENTOS_02!K:K,"&lt;="&amp;P13),SUMIFS(LANÇAMENTOS_02!J:J,LANÇAMENTOS_02!K:K,"&gt;="&amp;O13,LANÇAMENTOS_02!K:K,"&lt;="&amp;P13,LANÇAMENTOS_02!H:H,$N$1)))</f>
        <v>0</v>
      </c>
    </row>
    <row r="14" spans="3:58" ht="23.25" customHeight="1" x14ac:dyDescent="0.25">
      <c r="C14" s="53" t="s">
        <v>44</v>
      </c>
      <c r="D14" s="12">
        <f t="shared" si="3"/>
        <v>0</v>
      </c>
      <c r="E14" s="12">
        <f>IF($O$1=1,(IF($N$1="Todos",SUMIFS(LANÇAMENTOS_01!J:J,LANÇAMENTOS_01!L:L,"&gt;="&amp;O14,LANÇAMENTOS_01!L:L,"&lt;="&amp;P14),SUMIFS(LANÇAMENTOS_01!J:J,LANÇAMENTOS_01!L:L,"&gt;="&amp;O14,LANÇAMENTOS_01!L:L,"&lt;="&amp;P14,LANÇAMENTOS_01!H:H,$N$1))),IF($N$1="Todos",SUMIFS(LANÇAMENTOS_01!J:J,LANÇAMENTOS_01!K:K,"&gt;="&amp;O14,LANÇAMENTOS_01!K:K,"&lt;="&amp;P14),SUMIFS(LANÇAMENTOS_01!J:J,LANÇAMENTOS_01!K:K,"&gt;="&amp;O14,LANÇAMENTOS_01!K:K,"&lt;="&amp;P14,LANÇAMENTOS_01!H:H,$N$1)))</f>
        <v>0</v>
      </c>
      <c r="F14" s="12">
        <f>IF($O$1=1,(IF($N$1="Todos",SUMIFS(LANÇAMENTOS_02!J:J,LANÇAMENTOS_02!L:L,"&gt;="&amp;O14,LANÇAMENTOS_02!L:L,"&lt;="&amp;P14),SUMIFS(LANÇAMENTOS_02!J:J,LANÇAMENTOS_02!L:L,"&gt;="&amp;O14,LANÇAMENTOS_02!L:L,"&lt;="&amp;P14,LANÇAMENTOS_02!H:H,$N$1))),IF($N$1="Todos",SUMIFS(LANÇAMENTOS_02!J:J,LANÇAMENTOS_02!K:K,"&gt;="&amp;O14,LANÇAMENTOS_02!K:K,"&lt;="&amp;P14),SUMIFS(LANÇAMENTOS_02!J:J,LANÇAMENTOS_02!K:K,"&gt;="&amp;O14,LANÇAMENTOS_02!K:K,"&lt;="&amp;P14,LANÇAMENTOS_02!H:H,$N$1)))</f>
        <v>0</v>
      </c>
      <c r="G14" s="12">
        <f t="shared" si="0"/>
        <v>0</v>
      </c>
      <c r="H14" s="55">
        <f t="shared" si="1"/>
        <v>0</v>
      </c>
      <c r="I14" s="56">
        <f t="shared" si="4"/>
        <v>0</v>
      </c>
      <c r="J14" s="40"/>
      <c r="K14" s="85"/>
      <c r="L14" s="15"/>
      <c r="M14" s="15"/>
      <c r="N14" s="224">
        <v>0</v>
      </c>
      <c r="O14" s="51" t="str">
        <f>"01/12/"&amp;$N$2</f>
        <v>01/12/2021</v>
      </c>
      <c r="P14" s="225">
        <f t="shared" si="2"/>
        <v>44561</v>
      </c>
      <c r="R14" s="5">
        <f>IF($O$1=1,(IF($N$1="Todos",SUMIFS(LANÇAMENTOS_01!J:J,LANÇAMENTOS_01!K:K,"&gt;="&amp;O14,LANÇAMENTOS_01!K:K,"&lt;="&amp;P14,LANÇAMENTOS_01!L:L,"="&amp;""),SUMIFS(LANÇAMENTOS_01!J:J,LANÇAMENTOS_01!K:K,"&gt;="&amp;O14,LANÇAMENTOS_01!K:K,"&lt;="&amp;P14,LANÇAMENTOS_01!H:H,$N$1,LANÇAMENTOS_01!L:L,"="&amp;""))),IF($N$1="Todos",SUMIFS(LANÇAMENTOS_01!J:J,LANÇAMENTOS_01!K:K,"&gt;="&amp;O14,LANÇAMENTOS_01!K:K,"&lt;="&amp;P14),SUMIFS(LANÇAMENTOS_01!J:J,LANÇAMENTOS_01!K:K,"&gt;="&amp;O14,LANÇAMENTOS_01!K:K,"&lt;="&amp;P14,LANÇAMENTOS_01!H:H,$N$1)))</f>
        <v>0</v>
      </c>
      <c r="S14" s="5">
        <f>IF($O$1=1,(IF($N$1="Todos",SUMIFS(LANÇAMENTOS_02!J:J,LANÇAMENTOS_02!K:K,"&gt;="&amp;O14,LANÇAMENTOS_02!K:K,"&lt;="&amp;P14,LANÇAMENTOS_02!L:L,"="&amp;""),SUMIFS(LANÇAMENTOS_02!J:J,LANÇAMENTOS_02!K:K,"&gt;="&amp;O14,LANÇAMENTOS_02!K:K,"&lt;="&amp;P14,LANÇAMENTOS_02!H:H,$N$1,LANÇAMENTOS_02!L:L,"="&amp;""))),IF($N$1="Todos",SUMIFS(LANÇAMENTOS_02!J:J,LANÇAMENTOS_02!K:K,"&gt;="&amp;O14,LANÇAMENTOS_02!K:K,"&lt;="&amp;P14),SUMIFS(LANÇAMENTOS_02!J:J,LANÇAMENTOS_02!K:K,"&gt;="&amp;O14,LANÇAMENTOS_02!K:K,"&lt;="&amp;P14,LANÇAMENTOS_02!H:H,$N$1)))</f>
        <v>0</v>
      </c>
    </row>
    <row r="15" spans="3:58" ht="23.25" customHeight="1" x14ac:dyDescent="0.25">
      <c r="D15" s="57">
        <f>D3</f>
        <v>0</v>
      </c>
      <c r="E15" s="57">
        <f t="shared" ref="E15:F15" si="5">SUM(E3:E14)</f>
        <v>0</v>
      </c>
      <c r="F15" s="57">
        <f t="shared" si="5"/>
        <v>0</v>
      </c>
      <c r="G15" s="58">
        <f t="shared" si="0"/>
        <v>0</v>
      </c>
      <c r="H15" s="57">
        <f t="shared" si="1"/>
        <v>0</v>
      </c>
      <c r="I15" s="220">
        <f t="shared" si="4"/>
        <v>0</v>
      </c>
      <c r="J15" s="40"/>
      <c r="K15" s="94"/>
      <c r="L15" s="15"/>
      <c r="M15" s="15"/>
      <c r="N15" s="224"/>
      <c r="O15" s="51" t="str">
        <f>"01/01/"&amp;N2+1</f>
        <v>01/01/2022</v>
      </c>
      <c r="P15" s="51"/>
    </row>
  </sheetData>
  <conditionalFormatting sqref="H3:H15">
    <cfRule type="cellIs" dxfId="47" priority="5" operator="lessThan">
      <formula>0</formula>
    </cfRule>
    <cfRule type="cellIs" dxfId="46" priority="6" operator="greaterThan">
      <formula>0</formula>
    </cfRule>
  </conditionalFormatting>
  <conditionalFormatting sqref="E3:F14">
    <cfRule type="cellIs" dxfId="45" priority="3" operator="greaterThan">
      <formula>0</formula>
    </cfRule>
  </conditionalFormatting>
  <conditionalFormatting sqref="I3:I15">
    <cfRule type="cellIs" dxfId="44" priority="1" operator="lessThan">
      <formula>0</formula>
    </cfRule>
    <cfRule type="cellIs" dxfId="43" priority="2" operator="greaterThan">
      <formula>0</formula>
    </cfRule>
  </conditionalFormatting>
  <pageMargins left="0.25" right="0.25" top="0.75" bottom="0.75" header="0.3" footer="0.3"/>
  <pageSetup paperSize="9" fitToHeight="0" orientation="landscape" r:id="rId1"/>
  <headerFooter>
    <oddHeader>&amp;R09/03/20 01:12</oddHeader>
    <oddFooter>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Drop Down 3">
              <controlPr defaultSize="0" autoLine="0" autoPict="0">
                <anchor>
                  <from>
                    <xdr:col>4</xdr:col>
                    <xdr:colOff>390525</xdr:colOff>
                    <xdr:row>0</xdr:row>
                    <xdr:rowOff>133350</xdr:rowOff>
                  </from>
                  <to>
                    <xdr:col>4</xdr:col>
                    <xdr:colOff>1362075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Drop Down 4">
              <controlPr defaultSize="0" autoLine="0" autoPict="0">
                <anchor>
                  <from>
                    <xdr:col>5</xdr:col>
                    <xdr:colOff>1114425</xdr:colOff>
                    <xdr:row>0</xdr:row>
                    <xdr:rowOff>133350</xdr:rowOff>
                  </from>
                  <to>
                    <xdr:col>6</xdr:col>
                    <xdr:colOff>1171575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6" name="Drop Down 5">
              <controlPr defaultSize="0" autoLine="0" autoPict="0">
                <anchor>
                  <from>
                    <xdr:col>8</xdr:col>
                    <xdr:colOff>76200</xdr:colOff>
                    <xdr:row>0</xdr:row>
                    <xdr:rowOff>161925</xdr:rowOff>
                  </from>
                  <to>
                    <xdr:col>8</xdr:col>
                    <xdr:colOff>1390650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1">
    <tabColor rgb="FFFFC000"/>
    <pageSetUpPr fitToPage="1"/>
  </sheetPr>
  <dimension ref="B1:BF427"/>
  <sheetViews>
    <sheetView showGridLines="0" zoomScale="90" zoomScaleNormal="90" workbookViewId="0"/>
  </sheetViews>
  <sheetFormatPr defaultRowHeight="15" x14ac:dyDescent="0.25"/>
  <cols>
    <col min="1" max="1" width="30" customWidth="1"/>
    <col min="2" max="2" width="30.7109375" bestFit="1" customWidth="1"/>
    <col min="3" max="3" width="22.7109375" style="279" customWidth="1"/>
    <col min="4" max="16" width="11.7109375" customWidth="1"/>
    <col min="17" max="17" width="9.140625" hidden="1" customWidth="1"/>
    <col min="18" max="18" width="9.140625" customWidth="1"/>
    <col min="19" max="39" width="9.140625" hidden="1" customWidth="1"/>
    <col min="40" max="40" width="9.140625" customWidth="1"/>
    <col min="41" max="41" width="13.85546875" bestFit="1" customWidth="1"/>
  </cols>
  <sheetData>
    <row r="1" spans="2:58" ht="27" customHeight="1" x14ac:dyDescent="0.25">
      <c r="B1" s="59"/>
      <c r="C1" s="196" t="s">
        <v>46</v>
      </c>
      <c r="D1" s="142">
        <f>IF($Y$1=1,(IF($V$1="Todos",SUMIFS(LANÇAMENTOS_02!$J:$J,LANÇAMENTOS_02!$D:$D,$C1,LANÇAMENTOS_02!$L:$L,"&gt;="&amp;AA$1,LANÇAMENTOS_02!$L:$L,"&lt;="&amp;AA$2,LANÇAMENTOS_02!$C:$C,RELATORIO_04!$B1),SUMIFS(LANÇAMENTOS_02!$J:$J,LANÇAMENTOS_02!$D:$D,$C1,LANÇAMENTOS_02!$L:$L,"&gt;="&amp;AA$1,LANÇAMENTOS_02!$L:$L,"&lt;="&amp;AA$2,LANÇAMENTOS_02!$H:$H,$V$1,LANÇAMENTOS_02!$C:$C,RELATORIO_04!$B1))),IF($V$1="Todos",SUMIFS(LANÇAMENTOS_02!$J:$J,LANÇAMENTOS_02!$D:$D,$C1,LANÇAMENTOS_02!$K:$K,"&gt;="&amp;AA$1,LANÇAMENTOS_02!$K:$K,"&lt;="&amp;AA$2,LANÇAMENTOS_02!$C:$C,RELATORIO_04!$B1),SUMIFS(LANÇAMENTOS_02!$J:$J,LANÇAMENTOS_02!$D:$D,$C1,LANÇAMENTOS_02!$K:$K,"&gt;="&amp;AA$1,LANÇAMENTOS_02!$K:$K,"&lt;="&amp;AA$2,LANÇAMENTOS_02!$H:$H,$V$1,LANÇAMENTOS_02!$C:$C,RELATORIO_04!$B1)))</f>
        <v>0</v>
      </c>
      <c r="E1" s="16"/>
      <c r="F1" s="197" t="s">
        <v>155</v>
      </c>
      <c r="H1" s="16"/>
      <c r="I1" s="197" t="s">
        <v>59</v>
      </c>
      <c r="K1" s="50"/>
      <c r="L1" s="17"/>
      <c r="M1" s="61"/>
      <c r="N1" s="16"/>
      <c r="O1" s="16"/>
      <c r="P1" s="16"/>
      <c r="Q1" s="60"/>
      <c r="R1" s="62">
        <v>1</v>
      </c>
      <c r="S1" s="16">
        <v>1</v>
      </c>
      <c r="T1" s="16">
        <f>VLOOKUP(S1,CADASTRO_AUX!O1:P13,2,0)</f>
        <v>2021</v>
      </c>
      <c r="U1" s="16">
        <v>1</v>
      </c>
      <c r="V1" s="16" t="str">
        <f>VLOOKUP(U1,CADASTRO_AUX!R1:S46,2,0)</f>
        <v>Todos</v>
      </c>
      <c r="W1" s="16"/>
      <c r="X1" s="274">
        <f>IF($Y$1=1,(IF($V$1="Todos",SUMIFS(LANÇAMENTOS_01!$J:$J,LANÇAMENTOS_01!$D:$D,$C8,LANÇAMENTOS_01!$L:$L,"&gt;="&amp;AA$1,LANÇAMENTOS_01!$L:$L,"&lt;="&amp;AA$2,LANÇAMENTOS_01!$C:$C,RELATORIO_04!$B8),SUMIFS(LANÇAMENTOS_01!$J:$J,LANÇAMENTOS_01!$D:$D,$C8,LANÇAMENTOS_01!$L:$L,"&gt;="&amp;AA$1,LANÇAMENTOS_01!$L:$L,"&lt;="&amp;AA$2,LANÇAMENTOS_01!$H:$H,$V$1,LANÇAMENTOS_01!$C:$C,RELATORIO_04!$B8))),IF($V$1="Todos",SUMIFS(LANÇAMENTOS_01!$J:$J,LANÇAMENTOS_01!$D:$D,$C8,LANÇAMENTOS_01!$K:$K,"&gt;="&amp;AA$1,LANÇAMENTOS_01!$K:$K,"&lt;="&amp;AA$2,LANÇAMENTOS_01!$C:$C,RELATORIO_04!$B8),SUMIFS(LANÇAMENTOS_01!$J:$J,LANÇAMENTOS_01!$D:$D,$C8,LANÇAMENTOS_01!$K:$K,"&gt;="&amp;AA$1,LANÇAMENTOS_01!$K:$K,"&lt;="&amp;AA$2,LANÇAMENTOS_01!$H:$H,$V$1,LANÇAMENTOS_01!$C:$C,RELATORIO_04!$B8)))</f>
        <v>0</v>
      </c>
      <c r="Y1" s="48">
        <v>1</v>
      </c>
      <c r="Z1" s="60"/>
      <c r="AA1" s="13" t="str">
        <f>"01/01/"&amp;T1</f>
        <v>01/01/2021</v>
      </c>
      <c r="AB1" s="13" t="str">
        <f>"01/02/"&amp;T1</f>
        <v>01/02/2021</v>
      </c>
      <c r="AC1" s="13" t="str">
        <f>"01/03/"&amp;T1</f>
        <v>01/03/2021</v>
      </c>
      <c r="AD1" s="13" t="str">
        <f>"01/04/"&amp;T1</f>
        <v>01/04/2021</v>
      </c>
      <c r="AE1" s="13" t="str">
        <f>"01/05/"&amp;T1</f>
        <v>01/05/2021</v>
      </c>
      <c r="AF1" s="13" t="str">
        <f>"01/06/"&amp;T1</f>
        <v>01/06/2021</v>
      </c>
      <c r="AG1" s="13" t="str">
        <f>"01/07/"&amp;T1</f>
        <v>01/07/2021</v>
      </c>
      <c r="AH1" s="13" t="str">
        <f>"01/08/"&amp;T1</f>
        <v>01/08/2021</v>
      </c>
      <c r="AI1" s="13" t="str">
        <f>"01/09/"&amp;T1</f>
        <v>01/09/2021</v>
      </c>
      <c r="AJ1" s="13" t="str">
        <f>"01/10/"&amp;T1</f>
        <v>01/10/2021</v>
      </c>
      <c r="AK1" s="13" t="str">
        <f>"01/11/"&amp;T1</f>
        <v>01/11/2021</v>
      </c>
      <c r="AL1" s="13" t="str">
        <f>"01/12/"&amp;T1</f>
        <v>01/12/2021</v>
      </c>
      <c r="AM1" s="60"/>
      <c r="BA1" t="s">
        <v>141</v>
      </c>
      <c r="BB1" t="str">
        <f>"B2:P"&amp;COUNTA(B:B)+4</f>
        <v>B2:P9</v>
      </c>
      <c r="BC1">
        <v>2</v>
      </c>
      <c r="BD1" t="s">
        <v>142</v>
      </c>
      <c r="BF1">
        <v>0</v>
      </c>
    </row>
    <row r="2" spans="2:58" ht="33.75" customHeight="1" x14ac:dyDescent="0.3">
      <c r="B2" s="143" t="s">
        <v>65</v>
      </c>
      <c r="C2"/>
      <c r="D2" s="64"/>
      <c r="E2" s="65"/>
      <c r="F2" s="65"/>
      <c r="H2" s="65"/>
      <c r="I2" s="65"/>
      <c r="J2" s="65"/>
      <c r="K2" s="65"/>
      <c r="L2" s="65"/>
      <c r="M2" s="65"/>
      <c r="N2" s="65"/>
      <c r="O2" s="65"/>
      <c r="P2" s="16"/>
      <c r="Q2" s="16"/>
      <c r="R2" s="62"/>
      <c r="S2" s="48"/>
      <c r="T2" s="48"/>
      <c r="U2" s="66"/>
      <c r="V2" s="48"/>
      <c r="W2" s="48"/>
      <c r="X2" s="48"/>
      <c r="Y2" s="48"/>
      <c r="Z2" s="60"/>
      <c r="AA2" s="14">
        <f t="shared" ref="AA2:AK2" si="0">AB1-1</f>
        <v>44227</v>
      </c>
      <c r="AB2" s="14">
        <f t="shared" si="0"/>
        <v>44255</v>
      </c>
      <c r="AC2" s="14">
        <f t="shared" si="0"/>
        <v>44286</v>
      </c>
      <c r="AD2" s="14">
        <f t="shared" si="0"/>
        <v>44316</v>
      </c>
      <c r="AE2" s="14">
        <f t="shared" si="0"/>
        <v>44347</v>
      </c>
      <c r="AF2" s="14">
        <f t="shared" si="0"/>
        <v>44377</v>
      </c>
      <c r="AG2" s="14">
        <f t="shared" si="0"/>
        <v>44408</v>
      </c>
      <c r="AH2" s="14">
        <f t="shared" si="0"/>
        <v>44439</v>
      </c>
      <c r="AI2" s="14">
        <f t="shared" si="0"/>
        <v>44469</v>
      </c>
      <c r="AJ2" s="14">
        <f t="shared" si="0"/>
        <v>44500</v>
      </c>
      <c r="AK2" s="14">
        <f t="shared" si="0"/>
        <v>44530</v>
      </c>
      <c r="AL2" s="14">
        <f>AM2-1</f>
        <v>44561</v>
      </c>
      <c r="AM2" s="16" t="str">
        <f>"01/01/"&amp;T1+1</f>
        <v>01/01/2022</v>
      </c>
    </row>
    <row r="3" spans="2:58" ht="20.25" customHeight="1" x14ac:dyDescent="0.25">
      <c r="B3" s="303" t="str">
        <f>"Centro de Custo: "&amp;V1</f>
        <v>Centro de Custo: Todos</v>
      </c>
      <c r="C3" s="304"/>
      <c r="D3" s="68" t="s">
        <v>33</v>
      </c>
      <c r="E3" s="68" t="s">
        <v>34</v>
      </c>
      <c r="F3" s="68" t="s">
        <v>35</v>
      </c>
      <c r="G3" s="68" t="s">
        <v>36</v>
      </c>
      <c r="H3" s="68" t="s">
        <v>37</v>
      </c>
      <c r="I3" s="68" t="s">
        <v>38</v>
      </c>
      <c r="J3" s="68" t="s">
        <v>39</v>
      </c>
      <c r="K3" s="68" t="s">
        <v>40</v>
      </c>
      <c r="L3" s="68" t="s">
        <v>41</v>
      </c>
      <c r="M3" s="68" t="s">
        <v>42</v>
      </c>
      <c r="N3" s="68" t="s">
        <v>43</v>
      </c>
      <c r="O3" s="68" t="s">
        <v>44</v>
      </c>
      <c r="P3" s="68" t="s">
        <v>62</v>
      </c>
      <c r="Q3" s="11"/>
      <c r="S3" s="40"/>
      <c r="T3" s="40"/>
      <c r="U3" s="40"/>
      <c r="V3" s="40"/>
      <c r="W3" s="40"/>
      <c r="X3" s="40"/>
      <c r="Y3" s="40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</row>
    <row r="4" spans="2:58" ht="24" customHeight="1" x14ac:dyDescent="0.25">
      <c r="B4" s="69" t="str">
        <f>"Ano: "&amp;T1</f>
        <v>Ano: 2021</v>
      </c>
      <c r="C4" s="70" t="s">
        <v>66</v>
      </c>
      <c r="D4" s="71">
        <f t="shared" ref="D4:O4" si="1">SUMIF($Q:$Q,"Receita",D:D)</f>
        <v>0</v>
      </c>
      <c r="E4" s="71">
        <f t="shared" si="1"/>
        <v>0</v>
      </c>
      <c r="F4" s="71">
        <f>SUMIF($Q:$Q,"Receita",F:F)</f>
        <v>0</v>
      </c>
      <c r="G4" s="71">
        <f>SUMIF($Q:$Q,"Receita",G:G)</f>
        <v>0</v>
      </c>
      <c r="H4" s="71">
        <f t="shared" si="1"/>
        <v>0</v>
      </c>
      <c r="I4" s="71">
        <f>SUMIF($Q:$Q,"Receita",I:I)</f>
        <v>0</v>
      </c>
      <c r="J4" s="71">
        <f>SUMIF($Q:$Q,"Receita",J:J)</f>
        <v>0</v>
      </c>
      <c r="K4" s="71">
        <f t="shared" si="1"/>
        <v>0</v>
      </c>
      <c r="L4" s="71">
        <f t="shared" si="1"/>
        <v>0</v>
      </c>
      <c r="M4" s="71">
        <f t="shared" si="1"/>
        <v>0</v>
      </c>
      <c r="N4" s="71">
        <f t="shared" si="1"/>
        <v>0</v>
      </c>
      <c r="O4" s="71">
        <f t="shared" si="1"/>
        <v>0</v>
      </c>
      <c r="P4" s="72">
        <f>SUM(D4:O4)</f>
        <v>0</v>
      </c>
      <c r="Q4" s="11"/>
      <c r="S4" s="40"/>
      <c r="T4" s="40"/>
      <c r="U4" s="40"/>
      <c r="V4" s="40"/>
      <c r="W4" s="40"/>
      <c r="X4" s="40"/>
      <c r="Y4" s="40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</row>
    <row r="5" spans="2:58" ht="24" customHeight="1" x14ac:dyDescent="0.25">
      <c r="B5" s="67"/>
      <c r="C5" s="75" t="s">
        <v>67</v>
      </c>
      <c r="D5" s="76">
        <f t="shared" ref="D5:O5" si="2">SUMIF($Q:$Q,"Despesa",D:D)</f>
        <v>0</v>
      </c>
      <c r="E5" s="76">
        <f t="shared" si="2"/>
        <v>0</v>
      </c>
      <c r="F5" s="76">
        <f>SUMIF($Q:$Q,"Despesa",F:F)</f>
        <v>0</v>
      </c>
      <c r="G5" s="76">
        <f>SUMIF($Q:$Q,"Despesa",G:G)</f>
        <v>0</v>
      </c>
      <c r="H5" s="76">
        <f t="shared" si="2"/>
        <v>0</v>
      </c>
      <c r="I5" s="76">
        <f>SUMIF($Q:$Q,"Despesa",I:I)</f>
        <v>0</v>
      </c>
      <c r="J5" s="76">
        <f>SUMIF($Q:$Q,"Despesa",J:J)</f>
        <v>0</v>
      </c>
      <c r="K5" s="76">
        <f t="shared" si="2"/>
        <v>0</v>
      </c>
      <c r="L5" s="76">
        <f t="shared" si="2"/>
        <v>0</v>
      </c>
      <c r="M5" s="76">
        <f t="shared" si="2"/>
        <v>0</v>
      </c>
      <c r="N5" s="76">
        <f t="shared" si="2"/>
        <v>0</v>
      </c>
      <c r="O5" s="76">
        <f t="shared" si="2"/>
        <v>0</v>
      </c>
      <c r="P5" s="77">
        <f>SUM(D5:O5)</f>
        <v>0</v>
      </c>
      <c r="Q5" s="11"/>
      <c r="S5" s="40"/>
      <c r="T5" s="40"/>
      <c r="U5" s="40"/>
      <c r="V5" s="40"/>
      <c r="W5" s="40"/>
      <c r="X5" s="40"/>
      <c r="Y5" s="40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</row>
    <row r="6" spans="2:58" ht="28.5" customHeight="1" x14ac:dyDescent="0.25">
      <c r="B6" s="67"/>
      <c r="C6" s="239" t="s">
        <v>62</v>
      </c>
      <c r="D6" s="78">
        <f>D4-D5</f>
        <v>0</v>
      </c>
      <c r="E6" s="78">
        <f t="shared" ref="E6:P6" si="3">E4-E5</f>
        <v>0</v>
      </c>
      <c r="F6" s="78">
        <f t="shared" si="3"/>
        <v>0</v>
      </c>
      <c r="G6" s="78">
        <f t="shared" si="3"/>
        <v>0</v>
      </c>
      <c r="H6" s="78">
        <f t="shared" si="3"/>
        <v>0</v>
      </c>
      <c r="I6" s="78">
        <f t="shared" si="3"/>
        <v>0</v>
      </c>
      <c r="J6" s="78">
        <f t="shared" si="3"/>
        <v>0</v>
      </c>
      <c r="K6" s="78">
        <f t="shared" si="3"/>
        <v>0</v>
      </c>
      <c r="L6" s="78">
        <f t="shared" si="3"/>
        <v>0</v>
      </c>
      <c r="M6" s="78">
        <f t="shared" si="3"/>
        <v>0</v>
      </c>
      <c r="N6" s="78">
        <f t="shared" si="3"/>
        <v>0</v>
      </c>
      <c r="O6" s="78">
        <f t="shared" si="3"/>
        <v>0</v>
      </c>
      <c r="P6" s="78">
        <f t="shared" si="3"/>
        <v>0</v>
      </c>
      <c r="Q6" s="11"/>
      <c r="S6" s="40"/>
      <c r="T6" s="40"/>
      <c r="U6" s="40"/>
      <c r="V6" s="40"/>
      <c r="W6" s="40"/>
      <c r="X6" s="40"/>
      <c r="Y6" s="40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</row>
    <row r="7" spans="2:58" ht="35.25" customHeight="1" x14ac:dyDescent="0.25">
      <c r="B7" s="73" t="s">
        <v>68</v>
      </c>
      <c r="C7" s="73" t="s">
        <v>69</v>
      </c>
      <c r="D7" s="74" t="str">
        <f>D3</f>
        <v>Janeiro</v>
      </c>
      <c r="E7" s="74" t="str">
        <f t="shared" ref="E7:O7" si="4">E3</f>
        <v>Fevereiro</v>
      </c>
      <c r="F7" s="74" t="str">
        <f t="shared" si="4"/>
        <v>Março</v>
      </c>
      <c r="G7" s="74" t="str">
        <f t="shared" si="4"/>
        <v>Abril</v>
      </c>
      <c r="H7" s="74" t="str">
        <f t="shared" si="4"/>
        <v>Maio</v>
      </c>
      <c r="I7" s="74" t="str">
        <f t="shared" si="4"/>
        <v>Junho</v>
      </c>
      <c r="J7" s="74" t="str">
        <f t="shared" si="4"/>
        <v>Julho</v>
      </c>
      <c r="K7" s="74" t="str">
        <f t="shared" si="4"/>
        <v>Agosto</v>
      </c>
      <c r="L7" s="74" t="str">
        <f t="shared" si="4"/>
        <v>Setembro</v>
      </c>
      <c r="M7" s="74" t="str">
        <f t="shared" si="4"/>
        <v>Outubro</v>
      </c>
      <c r="N7" s="74" t="str">
        <f t="shared" si="4"/>
        <v>Novembro</v>
      </c>
      <c r="O7" s="74" t="str">
        <f t="shared" si="4"/>
        <v>Dezembro</v>
      </c>
      <c r="P7" s="74" t="str">
        <f>P3</f>
        <v>Total</v>
      </c>
      <c r="Q7" s="11"/>
      <c r="S7" s="40"/>
      <c r="T7" s="40"/>
      <c r="U7" s="40"/>
      <c r="V7" s="40"/>
      <c r="W7" s="40"/>
      <c r="X7" s="40"/>
      <c r="Y7" s="40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</row>
    <row r="8" spans="2:58" x14ac:dyDescent="0.25">
      <c r="B8" s="73"/>
      <c r="C8" s="280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2"/>
    </row>
    <row r="9" spans="2:58" x14ac:dyDescent="0.25">
      <c r="B9" s="73" t="s">
        <v>70</v>
      </c>
      <c r="C9" s="280" t="s">
        <v>71</v>
      </c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2"/>
    </row>
    <row r="10" spans="2:58" x14ac:dyDescent="0.25">
      <c r="B10" s="73"/>
      <c r="C10" s="280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2"/>
    </row>
    <row r="11" spans="2:58" x14ac:dyDescent="0.25">
      <c r="B11" s="73"/>
      <c r="C11" s="280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2"/>
    </row>
    <row r="12" spans="2:58" x14ac:dyDescent="0.25">
      <c r="B12" s="73"/>
      <c r="C12" s="280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2"/>
    </row>
    <row r="13" spans="2:58" x14ac:dyDescent="0.25">
      <c r="B13" s="73"/>
      <c r="C13" s="280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2"/>
    </row>
    <row r="14" spans="2:58" x14ac:dyDescent="0.25">
      <c r="B14" s="73"/>
      <c r="C14" s="280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2"/>
    </row>
    <row r="15" spans="2:58" x14ac:dyDescent="0.25">
      <c r="B15" s="73"/>
      <c r="C15" s="280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2"/>
      <c r="AO15" s="238"/>
    </row>
    <row r="16" spans="2:58" x14ac:dyDescent="0.25">
      <c r="B16" s="73"/>
      <c r="C16" s="280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2"/>
    </row>
    <row r="17" spans="2:16" x14ac:dyDescent="0.25">
      <c r="B17" s="73"/>
      <c r="C17" s="280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2"/>
    </row>
    <row r="18" spans="2:16" x14ac:dyDescent="0.25">
      <c r="B18" s="73"/>
      <c r="C18" s="280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2"/>
    </row>
    <row r="19" spans="2:16" x14ac:dyDescent="0.25">
      <c r="B19" s="73"/>
      <c r="C19" s="280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2"/>
    </row>
    <row r="20" spans="2:16" x14ac:dyDescent="0.25">
      <c r="B20" s="73"/>
      <c r="C20" s="280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2"/>
    </row>
    <row r="21" spans="2:16" x14ac:dyDescent="0.25">
      <c r="B21" s="73"/>
      <c r="C21" s="280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2"/>
    </row>
    <row r="22" spans="2:16" x14ac:dyDescent="0.25">
      <c r="B22" s="73"/>
      <c r="C22" s="280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2"/>
    </row>
    <row r="23" spans="2:16" x14ac:dyDescent="0.25">
      <c r="B23" s="73"/>
      <c r="C23" s="280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2"/>
    </row>
    <row r="24" spans="2:16" x14ac:dyDescent="0.25">
      <c r="B24" s="73"/>
      <c r="C24" s="280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2"/>
    </row>
    <row r="25" spans="2:16" x14ac:dyDescent="0.25">
      <c r="B25" s="73"/>
      <c r="C25" s="280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2"/>
    </row>
    <row r="26" spans="2:16" x14ac:dyDescent="0.25">
      <c r="B26" s="73"/>
      <c r="C26" s="280"/>
      <c r="D26" s="142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2"/>
    </row>
    <row r="27" spans="2:16" x14ac:dyDescent="0.25">
      <c r="B27" s="73"/>
      <c r="C27" s="280"/>
      <c r="D27" s="142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2"/>
    </row>
    <row r="28" spans="2:16" x14ac:dyDescent="0.25">
      <c r="B28" s="73"/>
      <c r="C28" s="280"/>
      <c r="D28" s="142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2"/>
    </row>
    <row r="29" spans="2:16" x14ac:dyDescent="0.25">
      <c r="B29" s="73"/>
      <c r="C29" s="280"/>
      <c r="D29" s="142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2"/>
    </row>
    <row r="30" spans="2:16" x14ac:dyDescent="0.25">
      <c r="B30" s="73"/>
      <c r="C30" s="280"/>
      <c r="D30" s="142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2"/>
    </row>
    <row r="31" spans="2:16" x14ac:dyDescent="0.25">
      <c r="B31" s="73"/>
      <c r="C31" s="280"/>
      <c r="D31" s="142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2"/>
    </row>
    <row r="32" spans="2:16" x14ac:dyDescent="0.25">
      <c r="B32" s="73"/>
      <c r="C32" s="280"/>
      <c r="D32" s="142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2"/>
    </row>
    <row r="33" spans="2:16" x14ac:dyDescent="0.25">
      <c r="B33" s="73"/>
      <c r="C33" s="280"/>
      <c r="D33" s="142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2"/>
    </row>
    <row r="34" spans="2:16" x14ac:dyDescent="0.25">
      <c r="B34" s="73"/>
      <c r="C34" s="280"/>
      <c r="D34" s="142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2"/>
    </row>
    <row r="35" spans="2:16" x14ac:dyDescent="0.25">
      <c r="B35" s="73"/>
      <c r="C35" s="280"/>
      <c r="D35" s="142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2"/>
    </row>
    <row r="36" spans="2:16" x14ac:dyDescent="0.25">
      <c r="B36" s="73"/>
      <c r="C36" s="280"/>
      <c r="D36" s="142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2"/>
    </row>
    <row r="37" spans="2:16" x14ac:dyDescent="0.25">
      <c r="B37" s="73"/>
      <c r="C37" s="280"/>
      <c r="D37" s="142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2"/>
    </row>
    <row r="38" spans="2:16" x14ac:dyDescent="0.25">
      <c r="B38" s="73"/>
      <c r="C38" s="280"/>
      <c r="D38" s="142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2"/>
    </row>
    <row r="39" spans="2:16" x14ac:dyDescent="0.25">
      <c r="B39" s="73"/>
      <c r="C39" s="280"/>
      <c r="D39" s="142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2"/>
    </row>
    <row r="40" spans="2:16" x14ac:dyDescent="0.25">
      <c r="B40" s="73"/>
      <c r="C40" s="280"/>
      <c r="D40" s="142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2"/>
    </row>
    <row r="41" spans="2:16" x14ac:dyDescent="0.25">
      <c r="B41" s="73"/>
      <c r="C41" s="280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2"/>
    </row>
    <row r="42" spans="2:16" x14ac:dyDescent="0.25">
      <c r="B42" s="73"/>
      <c r="C42" s="280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2"/>
    </row>
    <row r="43" spans="2:16" x14ac:dyDescent="0.25">
      <c r="B43" s="73"/>
      <c r="C43" s="280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2"/>
    </row>
    <row r="44" spans="2:16" x14ac:dyDescent="0.25">
      <c r="B44" s="73"/>
      <c r="C44" s="280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2"/>
    </row>
    <row r="45" spans="2:16" x14ac:dyDescent="0.25">
      <c r="B45" s="73"/>
      <c r="C45" s="280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2"/>
    </row>
    <row r="46" spans="2:16" x14ac:dyDescent="0.25">
      <c r="B46" s="73"/>
      <c r="C46" s="280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2"/>
    </row>
    <row r="47" spans="2:16" x14ac:dyDescent="0.25">
      <c r="B47" s="73"/>
      <c r="C47" s="280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2"/>
    </row>
    <row r="48" spans="2:16" x14ac:dyDescent="0.25">
      <c r="B48" s="73"/>
      <c r="C48" s="280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2"/>
    </row>
    <row r="49" spans="2:16" x14ac:dyDescent="0.25">
      <c r="B49" s="73"/>
      <c r="C49" s="280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2"/>
    </row>
    <row r="50" spans="2:16" x14ac:dyDescent="0.25">
      <c r="B50" s="73"/>
      <c r="C50" s="280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2"/>
    </row>
    <row r="51" spans="2:16" x14ac:dyDescent="0.25">
      <c r="B51" s="73"/>
      <c r="C51" s="280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2"/>
    </row>
    <row r="52" spans="2:16" x14ac:dyDescent="0.25">
      <c r="B52" s="73"/>
      <c r="C52" s="280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2"/>
    </row>
    <row r="53" spans="2:16" x14ac:dyDescent="0.25">
      <c r="B53" s="73"/>
      <c r="C53" s="280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2"/>
    </row>
    <row r="54" spans="2:16" x14ac:dyDescent="0.25">
      <c r="B54" s="73"/>
      <c r="C54" s="280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2"/>
    </row>
    <row r="55" spans="2:16" x14ac:dyDescent="0.25">
      <c r="B55" s="73"/>
      <c r="C55" s="280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2"/>
    </row>
    <row r="56" spans="2:16" x14ac:dyDescent="0.25">
      <c r="B56" s="73"/>
      <c r="C56" s="280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2"/>
    </row>
    <row r="57" spans="2:16" x14ac:dyDescent="0.25">
      <c r="B57" s="73"/>
      <c r="C57" s="280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2"/>
    </row>
    <row r="58" spans="2:16" x14ac:dyDescent="0.25">
      <c r="B58" s="73"/>
      <c r="C58" s="280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2"/>
    </row>
    <row r="59" spans="2:16" x14ac:dyDescent="0.25">
      <c r="B59" s="73"/>
      <c r="C59" s="280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2"/>
    </row>
    <row r="60" spans="2:16" x14ac:dyDescent="0.25">
      <c r="B60" s="73"/>
      <c r="C60" s="280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2"/>
    </row>
    <row r="61" spans="2:16" x14ac:dyDescent="0.25">
      <c r="B61" s="73"/>
      <c r="C61" s="280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2"/>
    </row>
    <row r="62" spans="2:16" x14ac:dyDescent="0.25">
      <c r="B62" s="73"/>
      <c r="C62" s="280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2"/>
    </row>
    <row r="63" spans="2:16" x14ac:dyDescent="0.25">
      <c r="B63" s="73"/>
      <c r="C63" s="280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2"/>
    </row>
    <row r="64" spans="2:16" x14ac:dyDescent="0.25">
      <c r="B64" s="73"/>
      <c r="C64" s="280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2"/>
    </row>
    <row r="65" spans="2:16" x14ac:dyDescent="0.25">
      <c r="B65" s="73"/>
      <c r="C65" s="280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2"/>
    </row>
    <row r="66" spans="2:16" x14ac:dyDescent="0.25">
      <c r="B66" s="73"/>
      <c r="C66" s="280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2"/>
    </row>
    <row r="67" spans="2:16" x14ac:dyDescent="0.25">
      <c r="B67" s="73"/>
      <c r="C67" s="280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2"/>
    </row>
    <row r="68" spans="2:16" x14ac:dyDescent="0.25">
      <c r="B68" s="73"/>
      <c r="C68" s="280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2"/>
    </row>
    <row r="69" spans="2:16" x14ac:dyDescent="0.25">
      <c r="B69" s="73"/>
      <c r="C69" s="280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2"/>
    </row>
    <row r="70" spans="2:16" x14ac:dyDescent="0.25">
      <c r="B70" s="73"/>
      <c r="C70" s="280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2"/>
    </row>
    <row r="71" spans="2:16" x14ac:dyDescent="0.25">
      <c r="B71" s="73"/>
      <c r="C71" s="280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2"/>
    </row>
    <row r="72" spans="2:16" x14ac:dyDescent="0.25">
      <c r="B72" s="73"/>
      <c r="C72" s="280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2"/>
    </row>
    <row r="73" spans="2:16" x14ac:dyDescent="0.25">
      <c r="B73" s="73"/>
      <c r="C73" s="280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2"/>
    </row>
    <row r="74" spans="2:16" x14ac:dyDescent="0.25">
      <c r="B74" s="73"/>
      <c r="C74" s="280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2"/>
    </row>
    <row r="75" spans="2:16" x14ac:dyDescent="0.25">
      <c r="B75" s="73"/>
      <c r="C75" s="280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2"/>
    </row>
    <row r="76" spans="2:16" x14ac:dyDescent="0.25">
      <c r="B76" s="73"/>
      <c r="C76" s="280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2"/>
    </row>
    <row r="77" spans="2:16" x14ac:dyDescent="0.25">
      <c r="B77" s="73"/>
      <c r="C77" s="280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2"/>
    </row>
    <row r="78" spans="2:16" x14ac:dyDescent="0.25">
      <c r="B78" s="73"/>
      <c r="C78" s="280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2"/>
    </row>
    <row r="79" spans="2:16" x14ac:dyDescent="0.25">
      <c r="B79" s="73"/>
      <c r="C79" s="280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2"/>
    </row>
    <row r="80" spans="2:16" x14ac:dyDescent="0.25">
      <c r="B80" s="73"/>
      <c r="C80" s="280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2"/>
    </row>
    <row r="81" spans="2:16" x14ac:dyDescent="0.25">
      <c r="B81" s="73"/>
      <c r="C81" s="280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2"/>
    </row>
    <row r="82" spans="2:16" x14ac:dyDescent="0.25">
      <c r="B82" s="73"/>
      <c r="C82" s="280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2"/>
    </row>
    <row r="83" spans="2:16" x14ac:dyDescent="0.25">
      <c r="B83" s="73"/>
      <c r="C83" s="280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2"/>
    </row>
    <row r="84" spans="2:16" x14ac:dyDescent="0.25">
      <c r="B84" s="73"/>
      <c r="C84" s="280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2"/>
    </row>
    <row r="85" spans="2:16" x14ac:dyDescent="0.25">
      <c r="B85" s="73"/>
      <c r="C85" s="280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2"/>
    </row>
    <row r="86" spans="2:16" x14ac:dyDescent="0.25">
      <c r="B86" s="73"/>
      <c r="C86" s="280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2"/>
    </row>
    <row r="87" spans="2:16" x14ac:dyDescent="0.25">
      <c r="B87" s="73"/>
      <c r="C87" s="280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2"/>
    </row>
    <row r="88" spans="2:16" x14ac:dyDescent="0.25">
      <c r="B88" s="73"/>
      <c r="C88" s="280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2"/>
    </row>
    <row r="89" spans="2:16" x14ac:dyDescent="0.25">
      <c r="B89" s="73"/>
      <c r="C89" s="280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2"/>
    </row>
    <row r="90" spans="2:16" x14ac:dyDescent="0.25">
      <c r="B90" s="73"/>
      <c r="C90" s="280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2"/>
    </row>
    <row r="91" spans="2:16" x14ac:dyDescent="0.25">
      <c r="B91" s="73"/>
      <c r="C91" s="280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2"/>
    </row>
    <row r="92" spans="2:16" x14ac:dyDescent="0.25">
      <c r="B92" s="73"/>
      <c r="C92" s="280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2"/>
    </row>
    <row r="93" spans="2:16" x14ac:dyDescent="0.25">
      <c r="B93" s="73"/>
      <c r="C93" s="280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2"/>
    </row>
    <row r="94" spans="2:16" x14ac:dyDescent="0.25">
      <c r="B94" s="73"/>
      <c r="C94" s="280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2"/>
    </row>
    <row r="95" spans="2:16" x14ac:dyDescent="0.25">
      <c r="B95" s="73"/>
      <c r="C95" s="280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2"/>
    </row>
    <row r="96" spans="2:16" x14ac:dyDescent="0.25">
      <c r="B96" s="73"/>
      <c r="C96" s="280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2"/>
    </row>
    <row r="97" spans="2:16" x14ac:dyDescent="0.25">
      <c r="B97" s="73"/>
      <c r="C97" s="280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2"/>
    </row>
    <row r="98" spans="2:16" x14ac:dyDescent="0.25">
      <c r="B98" s="73"/>
      <c r="C98" s="280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2"/>
    </row>
    <row r="99" spans="2:16" x14ac:dyDescent="0.25">
      <c r="B99" s="73"/>
      <c r="C99" s="280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2"/>
    </row>
    <row r="100" spans="2:16" x14ac:dyDescent="0.25">
      <c r="B100" s="73"/>
      <c r="C100" s="280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2"/>
    </row>
    <row r="101" spans="2:16" x14ac:dyDescent="0.25">
      <c r="B101" s="73"/>
      <c r="C101" s="280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2"/>
    </row>
    <row r="102" spans="2:16" x14ac:dyDescent="0.25">
      <c r="B102" s="73"/>
      <c r="C102" s="280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2"/>
    </row>
    <row r="103" spans="2:16" x14ac:dyDescent="0.25">
      <c r="B103" s="73"/>
      <c r="C103" s="280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2"/>
    </row>
    <row r="104" spans="2:16" x14ac:dyDescent="0.25">
      <c r="B104" s="73"/>
      <c r="C104" s="280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2"/>
    </row>
    <row r="105" spans="2:16" x14ac:dyDescent="0.25">
      <c r="B105" s="73"/>
      <c r="C105" s="280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2"/>
    </row>
    <row r="106" spans="2:16" x14ac:dyDescent="0.25">
      <c r="B106" s="73"/>
      <c r="C106" s="280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2"/>
    </row>
    <row r="107" spans="2:16" x14ac:dyDescent="0.25">
      <c r="B107" s="73"/>
      <c r="C107" s="280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2"/>
    </row>
    <row r="108" spans="2:16" x14ac:dyDescent="0.25">
      <c r="B108" s="73"/>
      <c r="C108" s="280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2"/>
    </row>
    <row r="109" spans="2:16" x14ac:dyDescent="0.25">
      <c r="B109" s="73"/>
      <c r="C109" s="280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2"/>
    </row>
    <row r="110" spans="2:16" x14ac:dyDescent="0.25">
      <c r="B110" s="73"/>
      <c r="C110" s="280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2"/>
    </row>
    <row r="111" spans="2:16" x14ac:dyDescent="0.25">
      <c r="B111" s="73"/>
      <c r="C111" s="280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2"/>
    </row>
    <row r="112" spans="2:16" x14ac:dyDescent="0.25">
      <c r="B112" s="73"/>
      <c r="C112" s="280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2"/>
    </row>
    <row r="113" spans="2:16" x14ac:dyDescent="0.25">
      <c r="B113" s="73"/>
      <c r="C113" s="280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2"/>
    </row>
    <row r="114" spans="2:16" x14ac:dyDescent="0.25">
      <c r="B114" s="73"/>
      <c r="C114" s="280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2"/>
    </row>
    <row r="115" spans="2:16" x14ac:dyDescent="0.25">
      <c r="B115" s="73"/>
      <c r="C115" s="280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2"/>
    </row>
    <row r="116" spans="2:16" x14ac:dyDescent="0.25">
      <c r="B116" s="73"/>
      <c r="C116" s="280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2"/>
    </row>
    <row r="117" spans="2:16" x14ac:dyDescent="0.25">
      <c r="B117" s="73"/>
      <c r="C117" s="280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2"/>
    </row>
    <row r="118" spans="2:16" x14ac:dyDescent="0.25">
      <c r="B118" s="73"/>
      <c r="C118" s="280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2"/>
    </row>
    <row r="119" spans="2:16" x14ac:dyDescent="0.25">
      <c r="B119" s="73"/>
      <c r="C119" s="280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2"/>
    </row>
    <row r="120" spans="2:16" x14ac:dyDescent="0.25">
      <c r="B120" s="73"/>
      <c r="C120" s="280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2"/>
    </row>
    <row r="121" spans="2:16" x14ac:dyDescent="0.25">
      <c r="B121" s="73"/>
      <c r="C121" s="280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2"/>
    </row>
    <row r="122" spans="2:16" x14ac:dyDescent="0.25">
      <c r="B122" s="73"/>
      <c r="C122" s="280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2"/>
    </row>
    <row r="123" spans="2:16" x14ac:dyDescent="0.25">
      <c r="B123" s="73"/>
      <c r="C123" s="280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2"/>
    </row>
    <row r="124" spans="2:16" x14ac:dyDescent="0.25">
      <c r="B124" s="73"/>
      <c r="C124" s="280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2"/>
    </row>
    <row r="125" spans="2:16" x14ac:dyDescent="0.25">
      <c r="B125" s="73"/>
      <c r="C125" s="280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2"/>
    </row>
    <row r="126" spans="2:16" x14ac:dyDescent="0.25">
      <c r="B126" s="73"/>
      <c r="C126" s="280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2"/>
    </row>
    <row r="127" spans="2:16" x14ac:dyDescent="0.25">
      <c r="B127" s="73"/>
      <c r="C127" s="280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2"/>
    </row>
    <row r="128" spans="2:16" x14ac:dyDescent="0.25">
      <c r="B128" s="73"/>
      <c r="C128" s="280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2"/>
    </row>
    <row r="129" spans="2:16" x14ac:dyDescent="0.25">
      <c r="B129" s="73"/>
      <c r="C129" s="280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2"/>
    </row>
    <row r="130" spans="2:16" x14ac:dyDescent="0.25">
      <c r="B130" s="73"/>
      <c r="C130" s="280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2"/>
    </row>
    <row r="131" spans="2:16" x14ac:dyDescent="0.25">
      <c r="B131" s="73"/>
      <c r="C131" s="280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2"/>
    </row>
    <row r="132" spans="2:16" x14ac:dyDescent="0.25">
      <c r="B132" s="73"/>
      <c r="C132" s="280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2"/>
    </row>
    <row r="133" spans="2:16" x14ac:dyDescent="0.25">
      <c r="B133" s="73"/>
      <c r="C133" s="280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2"/>
    </row>
    <row r="134" spans="2:16" x14ac:dyDescent="0.25">
      <c r="B134" s="73"/>
      <c r="C134" s="280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2"/>
    </row>
    <row r="135" spans="2:16" x14ac:dyDescent="0.25">
      <c r="B135" s="73"/>
      <c r="C135" s="280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2"/>
    </row>
    <row r="136" spans="2:16" x14ac:dyDescent="0.25">
      <c r="B136" s="73"/>
      <c r="C136" s="280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2"/>
    </row>
    <row r="137" spans="2:16" x14ac:dyDescent="0.25">
      <c r="B137" s="73"/>
      <c r="C137" s="280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2"/>
    </row>
    <row r="138" spans="2:16" x14ac:dyDescent="0.25">
      <c r="B138" s="73"/>
      <c r="C138" s="280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2"/>
    </row>
    <row r="139" spans="2:16" x14ac:dyDescent="0.25">
      <c r="B139" s="73"/>
      <c r="C139" s="280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2"/>
    </row>
    <row r="140" spans="2:16" x14ac:dyDescent="0.25">
      <c r="B140" s="73"/>
      <c r="C140" s="280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2"/>
    </row>
    <row r="141" spans="2:16" x14ac:dyDescent="0.25">
      <c r="B141" s="73"/>
      <c r="C141" s="280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2"/>
    </row>
    <row r="142" spans="2:16" x14ac:dyDescent="0.25">
      <c r="B142" s="73"/>
      <c r="C142" s="280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2"/>
    </row>
    <row r="143" spans="2:16" x14ac:dyDescent="0.25">
      <c r="B143" s="73"/>
      <c r="C143" s="280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2"/>
    </row>
    <row r="144" spans="2:16" x14ac:dyDescent="0.25">
      <c r="B144" s="73"/>
      <c r="C144" s="280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2"/>
    </row>
    <row r="145" spans="2:16" x14ac:dyDescent="0.25">
      <c r="B145" s="73"/>
      <c r="C145" s="280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2"/>
    </row>
    <row r="146" spans="2:16" x14ac:dyDescent="0.25">
      <c r="B146" s="73"/>
      <c r="C146" s="280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2"/>
    </row>
    <row r="147" spans="2:16" x14ac:dyDescent="0.25">
      <c r="B147" s="73"/>
      <c r="C147" s="280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2"/>
    </row>
    <row r="148" spans="2:16" x14ac:dyDescent="0.25">
      <c r="B148" s="73"/>
      <c r="C148" s="280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2"/>
    </row>
    <row r="149" spans="2:16" x14ac:dyDescent="0.25">
      <c r="B149" s="73"/>
      <c r="C149" s="280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2"/>
    </row>
    <row r="150" spans="2:16" x14ac:dyDescent="0.25">
      <c r="B150" s="73"/>
      <c r="C150" s="280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2"/>
    </row>
    <row r="151" spans="2:16" x14ac:dyDescent="0.25">
      <c r="B151" s="73"/>
      <c r="C151" s="280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2"/>
    </row>
    <row r="152" spans="2:16" x14ac:dyDescent="0.25">
      <c r="B152" s="73"/>
      <c r="C152" s="280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2"/>
    </row>
    <row r="153" spans="2:16" x14ac:dyDescent="0.25">
      <c r="B153" s="73"/>
      <c r="C153" s="280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2"/>
    </row>
    <row r="154" spans="2:16" x14ac:dyDescent="0.25">
      <c r="B154" s="73"/>
      <c r="C154" s="280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2"/>
    </row>
    <row r="155" spans="2:16" x14ac:dyDescent="0.25">
      <c r="B155" s="73"/>
      <c r="C155" s="280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2"/>
    </row>
    <row r="156" spans="2:16" x14ac:dyDescent="0.25">
      <c r="B156" s="73"/>
      <c r="C156" s="280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2"/>
    </row>
    <row r="157" spans="2:16" x14ac:dyDescent="0.25">
      <c r="B157" s="73"/>
      <c r="C157" s="280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2"/>
    </row>
    <row r="158" spans="2:16" x14ac:dyDescent="0.25">
      <c r="B158" s="73"/>
      <c r="C158" s="280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2"/>
    </row>
    <row r="159" spans="2:16" x14ac:dyDescent="0.25">
      <c r="B159" s="73"/>
      <c r="C159" s="280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2"/>
    </row>
    <row r="160" spans="2:16" x14ac:dyDescent="0.25">
      <c r="B160" s="73"/>
      <c r="C160" s="280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2"/>
    </row>
    <row r="161" spans="2:16" x14ac:dyDescent="0.25">
      <c r="B161" s="73"/>
      <c r="C161" s="280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2"/>
    </row>
    <row r="162" spans="2:16" x14ac:dyDescent="0.25">
      <c r="B162" s="73"/>
      <c r="C162" s="280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2"/>
    </row>
    <row r="163" spans="2:16" x14ac:dyDescent="0.25">
      <c r="B163" s="73"/>
      <c r="C163" s="280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2"/>
    </row>
    <row r="164" spans="2:16" x14ac:dyDescent="0.25">
      <c r="B164" s="73"/>
      <c r="C164" s="280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2"/>
    </row>
    <row r="165" spans="2:16" x14ac:dyDescent="0.25">
      <c r="B165" s="73"/>
      <c r="C165" s="280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2"/>
    </row>
    <row r="166" spans="2:16" x14ac:dyDescent="0.25">
      <c r="B166" s="73"/>
      <c r="C166" s="280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2"/>
    </row>
    <row r="167" spans="2:16" x14ac:dyDescent="0.25">
      <c r="B167" s="73"/>
      <c r="C167" s="280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2"/>
    </row>
    <row r="168" spans="2:16" x14ac:dyDescent="0.25">
      <c r="B168" s="73"/>
      <c r="C168" s="280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2"/>
    </row>
    <row r="169" spans="2:16" x14ac:dyDescent="0.25">
      <c r="B169" s="73"/>
      <c r="C169" s="280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2"/>
    </row>
    <row r="170" spans="2:16" x14ac:dyDescent="0.25">
      <c r="B170" s="73"/>
      <c r="C170" s="280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2"/>
    </row>
    <row r="171" spans="2:16" x14ac:dyDescent="0.25">
      <c r="B171" s="73"/>
      <c r="C171" s="280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2"/>
    </row>
    <row r="172" spans="2:16" x14ac:dyDescent="0.25">
      <c r="B172" s="73"/>
      <c r="C172" s="280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2"/>
    </row>
    <row r="173" spans="2:16" x14ac:dyDescent="0.25">
      <c r="B173" s="73"/>
      <c r="C173" s="280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2"/>
    </row>
    <row r="174" spans="2:16" x14ac:dyDescent="0.25">
      <c r="B174" s="73"/>
      <c r="C174" s="280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2"/>
    </row>
    <row r="175" spans="2:16" x14ac:dyDescent="0.25">
      <c r="B175" s="73"/>
      <c r="C175" s="280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2"/>
    </row>
    <row r="176" spans="2:16" x14ac:dyDescent="0.25">
      <c r="B176" s="73"/>
      <c r="C176" s="280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2"/>
    </row>
    <row r="177" spans="2:16" x14ac:dyDescent="0.25">
      <c r="B177" s="73"/>
      <c r="C177" s="280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2"/>
    </row>
    <row r="178" spans="2:16" x14ac:dyDescent="0.25">
      <c r="B178" s="73"/>
      <c r="C178" s="280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2"/>
    </row>
    <row r="179" spans="2:16" x14ac:dyDescent="0.25">
      <c r="B179" s="73"/>
      <c r="C179" s="280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2"/>
    </row>
    <row r="180" spans="2:16" x14ac:dyDescent="0.25">
      <c r="B180" s="73"/>
      <c r="C180" s="280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2"/>
    </row>
    <row r="181" spans="2:16" x14ac:dyDescent="0.25">
      <c r="B181" s="73"/>
      <c r="C181" s="280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2"/>
    </row>
    <row r="182" spans="2:16" x14ac:dyDescent="0.25">
      <c r="B182" s="73"/>
      <c r="C182" s="280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2"/>
    </row>
    <row r="183" spans="2:16" x14ac:dyDescent="0.25">
      <c r="B183" s="73"/>
      <c r="C183" s="280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2"/>
    </row>
    <row r="184" spans="2:16" x14ac:dyDescent="0.25">
      <c r="B184" s="73"/>
      <c r="C184" s="280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2"/>
    </row>
    <row r="185" spans="2:16" x14ac:dyDescent="0.25">
      <c r="B185" s="73"/>
      <c r="C185" s="280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2"/>
    </row>
    <row r="186" spans="2:16" x14ac:dyDescent="0.25">
      <c r="B186" s="73"/>
      <c r="C186" s="280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2"/>
    </row>
    <row r="187" spans="2:16" x14ac:dyDescent="0.25">
      <c r="B187" s="73"/>
      <c r="C187" s="280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2"/>
    </row>
    <row r="188" spans="2:16" x14ac:dyDescent="0.25">
      <c r="B188" s="73"/>
      <c r="C188" s="280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2"/>
    </row>
    <row r="189" spans="2:16" x14ac:dyDescent="0.25">
      <c r="B189" s="73"/>
      <c r="C189" s="280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2"/>
    </row>
    <row r="190" spans="2:16" x14ac:dyDescent="0.25">
      <c r="B190" s="73"/>
      <c r="C190" s="280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2"/>
    </row>
    <row r="191" spans="2:16" x14ac:dyDescent="0.25">
      <c r="B191" s="73"/>
      <c r="C191" s="280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2"/>
    </row>
    <row r="192" spans="2:16" x14ac:dyDescent="0.25">
      <c r="B192" s="73"/>
      <c r="C192" s="280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2"/>
    </row>
    <row r="193" spans="2:16" x14ac:dyDescent="0.25">
      <c r="B193" s="73"/>
      <c r="C193" s="280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2"/>
    </row>
    <row r="194" spans="2:16" x14ac:dyDescent="0.25">
      <c r="B194" s="73"/>
      <c r="C194" s="280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2"/>
    </row>
    <row r="195" spans="2:16" x14ac:dyDescent="0.25">
      <c r="B195" s="73"/>
      <c r="C195" s="280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2"/>
    </row>
    <row r="196" spans="2:16" x14ac:dyDescent="0.25">
      <c r="B196" s="73"/>
      <c r="C196" s="280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2"/>
    </row>
    <row r="197" spans="2:16" x14ac:dyDescent="0.25">
      <c r="B197" s="73"/>
      <c r="C197" s="280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2"/>
    </row>
    <row r="198" spans="2:16" x14ac:dyDescent="0.25">
      <c r="B198" s="73"/>
      <c r="C198" s="280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2"/>
    </row>
    <row r="199" spans="2:16" x14ac:dyDescent="0.25">
      <c r="B199" s="73"/>
      <c r="C199" s="280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2"/>
    </row>
    <row r="200" spans="2:16" x14ac:dyDescent="0.25">
      <c r="B200" s="73"/>
      <c r="C200" s="280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2"/>
    </row>
    <row r="201" spans="2:16" x14ac:dyDescent="0.25">
      <c r="B201" s="73"/>
      <c r="C201" s="280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2"/>
    </row>
    <row r="202" spans="2:16" x14ac:dyDescent="0.25">
      <c r="B202" s="73"/>
      <c r="C202" s="280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2"/>
    </row>
    <row r="203" spans="2:16" x14ac:dyDescent="0.25">
      <c r="B203" s="73"/>
      <c r="C203" s="280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2"/>
    </row>
    <row r="204" spans="2:16" x14ac:dyDescent="0.25">
      <c r="B204" s="73"/>
      <c r="C204" s="280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2"/>
    </row>
    <row r="205" spans="2:16" x14ac:dyDescent="0.25">
      <c r="B205" s="73"/>
      <c r="C205" s="280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2"/>
    </row>
    <row r="206" spans="2:16" x14ac:dyDescent="0.25">
      <c r="B206" s="73"/>
      <c r="C206" s="280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2"/>
    </row>
    <row r="207" spans="2:16" x14ac:dyDescent="0.25">
      <c r="B207" s="73"/>
      <c r="C207" s="280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2"/>
    </row>
    <row r="208" spans="2:16" x14ac:dyDescent="0.25">
      <c r="B208" s="73"/>
      <c r="C208" s="280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2"/>
    </row>
    <row r="209" spans="2:16" x14ac:dyDescent="0.25">
      <c r="B209" s="73"/>
      <c r="C209" s="280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2"/>
    </row>
    <row r="210" spans="2:16" x14ac:dyDescent="0.25">
      <c r="B210" s="73"/>
      <c r="C210" s="280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2"/>
    </row>
    <row r="211" spans="2:16" x14ac:dyDescent="0.25">
      <c r="B211" s="73"/>
      <c r="C211" s="280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2"/>
    </row>
    <row r="212" spans="2:16" x14ac:dyDescent="0.25">
      <c r="B212" s="73"/>
      <c r="C212" s="280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2"/>
    </row>
    <row r="213" spans="2:16" x14ac:dyDescent="0.25">
      <c r="B213" s="73"/>
      <c r="C213" s="280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2"/>
    </row>
    <row r="214" spans="2:16" x14ac:dyDescent="0.25">
      <c r="B214" s="73"/>
      <c r="C214" s="280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2"/>
    </row>
    <row r="215" spans="2:16" x14ac:dyDescent="0.25">
      <c r="B215" s="73"/>
      <c r="C215" s="280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2"/>
    </row>
    <row r="216" spans="2:16" x14ac:dyDescent="0.25">
      <c r="B216" s="73"/>
      <c r="C216" s="280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2"/>
    </row>
    <row r="217" spans="2:16" x14ac:dyDescent="0.25">
      <c r="B217" s="73"/>
      <c r="C217" s="280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2"/>
    </row>
    <row r="218" spans="2:16" x14ac:dyDescent="0.25">
      <c r="B218" s="73"/>
      <c r="C218" s="280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2"/>
    </row>
    <row r="219" spans="2:16" x14ac:dyDescent="0.25">
      <c r="B219" s="73"/>
      <c r="C219" s="280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2"/>
    </row>
    <row r="220" spans="2:16" x14ac:dyDescent="0.25">
      <c r="B220" s="73"/>
      <c r="C220" s="280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2"/>
    </row>
    <row r="221" spans="2:16" x14ac:dyDescent="0.25">
      <c r="B221" s="73"/>
      <c r="C221" s="280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2"/>
    </row>
    <row r="222" spans="2:16" x14ac:dyDescent="0.25">
      <c r="B222" s="73"/>
      <c r="C222" s="280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2"/>
    </row>
    <row r="223" spans="2:16" x14ac:dyDescent="0.25">
      <c r="B223" s="73"/>
      <c r="C223" s="280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2"/>
    </row>
    <row r="224" spans="2:16" x14ac:dyDescent="0.25">
      <c r="B224" s="73"/>
      <c r="C224" s="280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2"/>
    </row>
    <row r="225" spans="2:16" x14ac:dyDescent="0.25">
      <c r="B225" s="73"/>
      <c r="C225" s="280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2"/>
    </row>
    <row r="226" spans="2:16" x14ac:dyDescent="0.25">
      <c r="B226" s="73"/>
      <c r="C226" s="280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2"/>
    </row>
    <row r="227" spans="2:16" x14ac:dyDescent="0.25">
      <c r="B227" s="73"/>
      <c r="C227" s="280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2"/>
    </row>
    <row r="228" spans="2:16" x14ac:dyDescent="0.25">
      <c r="B228" s="73"/>
      <c r="C228" s="280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2"/>
    </row>
    <row r="229" spans="2:16" x14ac:dyDescent="0.25">
      <c r="B229" s="73"/>
      <c r="C229" s="280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2"/>
    </row>
    <row r="230" spans="2:16" x14ac:dyDescent="0.25">
      <c r="B230" s="73"/>
      <c r="C230" s="280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2"/>
    </row>
    <row r="231" spans="2:16" x14ac:dyDescent="0.25">
      <c r="B231" s="73"/>
      <c r="C231" s="280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2"/>
    </row>
    <row r="232" spans="2:16" x14ac:dyDescent="0.25">
      <c r="B232" s="73"/>
      <c r="C232" s="280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2"/>
    </row>
    <row r="233" spans="2:16" x14ac:dyDescent="0.25">
      <c r="B233" s="73"/>
      <c r="C233" s="280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2"/>
    </row>
    <row r="234" spans="2:16" x14ac:dyDescent="0.25">
      <c r="B234" s="73"/>
      <c r="C234" s="280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2"/>
    </row>
    <row r="235" spans="2:16" x14ac:dyDescent="0.25">
      <c r="B235" s="73"/>
      <c r="C235" s="280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2"/>
    </row>
    <row r="236" spans="2:16" x14ac:dyDescent="0.25">
      <c r="B236" s="73"/>
      <c r="C236" s="280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2"/>
    </row>
    <row r="237" spans="2:16" x14ac:dyDescent="0.25">
      <c r="B237" s="73"/>
      <c r="C237" s="280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2"/>
    </row>
    <row r="238" spans="2:16" x14ac:dyDescent="0.25">
      <c r="B238" s="73"/>
      <c r="C238" s="280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2"/>
    </row>
    <row r="239" spans="2:16" x14ac:dyDescent="0.25">
      <c r="B239" s="73"/>
      <c r="C239" s="280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2"/>
    </row>
    <row r="240" spans="2:16" x14ac:dyDescent="0.25">
      <c r="B240" s="73"/>
      <c r="C240" s="280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2"/>
    </row>
    <row r="241" spans="2:16" x14ac:dyDescent="0.25">
      <c r="B241" s="73"/>
      <c r="C241" s="280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2"/>
    </row>
    <row r="242" spans="2:16" x14ac:dyDescent="0.25">
      <c r="B242" s="73"/>
      <c r="C242" s="280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2"/>
    </row>
    <row r="243" spans="2:16" x14ac:dyDescent="0.25">
      <c r="B243" s="73"/>
      <c r="C243" s="280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2"/>
    </row>
    <row r="244" spans="2:16" x14ac:dyDescent="0.25">
      <c r="B244" s="73"/>
      <c r="C244" s="280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2"/>
    </row>
    <row r="245" spans="2:16" x14ac:dyDescent="0.25">
      <c r="B245" s="73"/>
      <c r="C245" s="280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2"/>
    </row>
    <row r="246" spans="2:16" x14ac:dyDescent="0.25">
      <c r="B246" s="73"/>
      <c r="C246" s="280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2"/>
    </row>
    <row r="247" spans="2:16" x14ac:dyDescent="0.25">
      <c r="B247" s="73"/>
      <c r="C247" s="280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2"/>
    </row>
    <row r="248" spans="2:16" x14ac:dyDescent="0.25">
      <c r="B248" s="73"/>
      <c r="C248" s="280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2"/>
    </row>
    <row r="249" spans="2:16" x14ac:dyDescent="0.25">
      <c r="B249" s="73"/>
      <c r="C249" s="280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2"/>
    </row>
    <row r="250" spans="2:16" x14ac:dyDescent="0.25">
      <c r="B250" s="73"/>
      <c r="C250" s="280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2"/>
    </row>
    <row r="251" spans="2:16" x14ac:dyDescent="0.25">
      <c r="B251" s="73"/>
      <c r="C251" s="280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2"/>
    </row>
    <row r="252" spans="2:16" x14ac:dyDescent="0.25">
      <c r="B252" s="73"/>
      <c r="C252" s="280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2"/>
    </row>
    <row r="253" spans="2:16" x14ac:dyDescent="0.25">
      <c r="B253" s="73"/>
      <c r="C253" s="280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2"/>
    </row>
    <row r="254" spans="2:16" x14ac:dyDescent="0.25">
      <c r="B254" s="73"/>
      <c r="C254" s="280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2"/>
    </row>
    <row r="255" spans="2:16" x14ac:dyDescent="0.25">
      <c r="B255" s="73"/>
      <c r="C255" s="280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2"/>
    </row>
    <row r="256" spans="2:16" x14ac:dyDescent="0.25">
      <c r="B256" s="73"/>
      <c r="C256" s="280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2"/>
    </row>
    <row r="257" spans="2:16" x14ac:dyDescent="0.25">
      <c r="B257" s="73"/>
      <c r="C257" s="280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2"/>
    </row>
    <row r="258" spans="2:16" x14ac:dyDescent="0.25">
      <c r="B258" s="73"/>
      <c r="C258" s="280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2"/>
    </row>
    <row r="259" spans="2:16" x14ac:dyDescent="0.25">
      <c r="B259" s="73"/>
      <c r="C259" s="280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2"/>
    </row>
    <row r="260" spans="2:16" x14ac:dyDescent="0.25">
      <c r="B260" s="73"/>
      <c r="C260" s="280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2"/>
    </row>
    <row r="261" spans="2:16" x14ac:dyDescent="0.25">
      <c r="B261" s="73"/>
      <c r="C261" s="280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2"/>
    </row>
    <row r="262" spans="2:16" x14ac:dyDescent="0.25">
      <c r="B262" s="73"/>
      <c r="C262" s="280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2"/>
    </row>
    <row r="263" spans="2:16" x14ac:dyDescent="0.25">
      <c r="B263" s="73"/>
      <c r="C263" s="280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2"/>
    </row>
    <row r="264" spans="2:16" x14ac:dyDescent="0.25">
      <c r="B264" s="73"/>
      <c r="C264" s="280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2"/>
    </row>
    <row r="265" spans="2:16" x14ac:dyDescent="0.25">
      <c r="B265" s="73"/>
      <c r="C265" s="280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2"/>
    </row>
    <row r="266" spans="2:16" x14ac:dyDescent="0.25">
      <c r="B266" s="73"/>
      <c r="C266" s="280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2"/>
    </row>
    <row r="267" spans="2:16" x14ac:dyDescent="0.25">
      <c r="B267" s="73"/>
      <c r="C267" s="280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2"/>
    </row>
    <row r="268" spans="2:16" x14ac:dyDescent="0.25">
      <c r="B268" s="73"/>
      <c r="C268" s="280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2"/>
    </row>
    <row r="269" spans="2:16" x14ac:dyDescent="0.25">
      <c r="B269" s="73"/>
      <c r="C269" s="280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2"/>
    </row>
    <row r="270" spans="2:16" x14ac:dyDescent="0.25">
      <c r="B270" s="73"/>
      <c r="C270" s="280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2"/>
    </row>
    <row r="271" spans="2:16" x14ac:dyDescent="0.25">
      <c r="B271" s="73"/>
      <c r="C271" s="280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2"/>
    </row>
    <row r="272" spans="2:16" x14ac:dyDescent="0.25">
      <c r="B272" s="73"/>
      <c r="C272" s="280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2"/>
    </row>
    <row r="273" spans="2:16" x14ac:dyDescent="0.25">
      <c r="B273" s="73"/>
      <c r="C273" s="280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2"/>
    </row>
    <row r="274" spans="2:16" x14ac:dyDescent="0.25">
      <c r="B274" s="73"/>
      <c r="C274" s="280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2"/>
    </row>
    <row r="275" spans="2:16" x14ac:dyDescent="0.25">
      <c r="B275" s="73"/>
      <c r="C275" s="280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2"/>
    </row>
    <row r="276" spans="2:16" x14ac:dyDescent="0.25">
      <c r="B276" s="73"/>
      <c r="C276" s="280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2"/>
    </row>
    <row r="277" spans="2:16" x14ac:dyDescent="0.25">
      <c r="B277" s="73"/>
      <c r="C277" s="280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2"/>
    </row>
    <row r="278" spans="2:16" x14ac:dyDescent="0.25">
      <c r="B278" s="73"/>
      <c r="C278" s="280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2"/>
    </row>
    <row r="279" spans="2:16" x14ac:dyDescent="0.25">
      <c r="B279" s="73"/>
      <c r="C279" s="280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2"/>
    </row>
    <row r="280" spans="2:16" x14ac:dyDescent="0.25">
      <c r="B280" s="73"/>
      <c r="C280" s="280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2"/>
    </row>
    <row r="281" spans="2:16" x14ac:dyDescent="0.25">
      <c r="B281" s="73"/>
      <c r="C281" s="280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2"/>
    </row>
    <row r="282" spans="2:16" x14ac:dyDescent="0.25">
      <c r="B282" s="73"/>
      <c r="C282" s="280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2"/>
    </row>
    <row r="283" spans="2:16" x14ac:dyDescent="0.25">
      <c r="B283" s="73"/>
      <c r="C283" s="280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2"/>
    </row>
    <row r="284" spans="2:16" x14ac:dyDescent="0.25">
      <c r="B284" s="73"/>
      <c r="C284" s="280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2"/>
    </row>
    <row r="285" spans="2:16" x14ac:dyDescent="0.25">
      <c r="B285" s="73"/>
      <c r="C285" s="280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2"/>
    </row>
    <row r="286" spans="2:16" x14ac:dyDescent="0.25">
      <c r="B286" s="73"/>
      <c r="C286" s="280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2"/>
    </row>
    <row r="287" spans="2:16" x14ac:dyDescent="0.25">
      <c r="B287" s="73"/>
      <c r="C287" s="280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2"/>
    </row>
    <row r="288" spans="2:16" x14ac:dyDescent="0.25">
      <c r="B288" s="73"/>
      <c r="C288" s="280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2"/>
    </row>
    <row r="289" spans="2:16" x14ac:dyDescent="0.25">
      <c r="B289" s="73"/>
      <c r="C289" s="280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2"/>
    </row>
    <row r="290" spans="2:16" x14ac:dyDescent="0.25">
      <c r="B290" s="73"/>
      <c r="C290" s="280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2"/>
    </row>
    <row r="291" spans="2:16" x14ac:dyDescent="0.25">
      <c r="B291" s="73"/>
      <c r="C291" s="280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2"/>
    </row>
    <row r="292" spans="2:16" x14ac:dyDescent="0.25">
      <c r="B292" s="73"/>
      <c r="C292" s="280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2"/>
    </row>
    <row r="293" spans="2:16" x14ac:dyDescent="0.25">
      <c r="B293" s="73"/>
      <c r="C293" s="280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2"/>
    </row>
    <row r="294" spans="2:16" x14ac:dyDescent="0.25">
      <c r="B294" s="73"/>
      <c r="C294" s="280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2"/>
    </row>
    <row r="295" spans="2:16" x14ac:dyDescent="0.25">
      <c r="B295" s="73"/>
      <c r="C295" s="280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2"/>
    </row>
    <row r="296" spans="2:16" x14ac:dyDescent="0.25">
      <c r="B296" s="73"/>
      <c r="C296" s="280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2"/>
    </row>
    <row r="297" spans="2:16" x14ac:dyDescent="0.25">
      <c r="B297" s="73"/>
      <c r="C297" s="280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2"/>
    </row>
    <row r="298" spans="2:16" x14ac:dyDescent="0.25">
      <c r="B298" s="73"/>
      <c r="C298" s="280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2"/>
    </row>
    <row r="299" spans="2:16" x14ac:dyDescent="0.25">
      <c r="B299" s="73"/>
      <c r="C299" s="280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2"/>
    </row>
    <row r="300" spans="2:16" x14ac:dyDescent="0.25">
      <c r="B300" s="73"/>
      <c r="C300" s="280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2"/>
    </row>
    <row r="301" spans="2:16" x14ac:dyDescent="0.25">
      <c r="B301" s="73"/>
      <c r="C301" s="280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2"/>
    </row>
    <row r="302" spans="2:16" x14ac:dyDescent="0.25">
      <c r="B302" s="73"/>
      <c r="C302" s="280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2"/>
    </row>
    <row r="303" spans="2:16" x14ac:dyDescent="0.25">
      <c r="B303" s="73"/>
      <c r="C303" s="280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2"/>
    </row>
    <row r="304" spans="2:16" x14ac:dyDescent="0.25">
      <c r="B304" s="73"/>
      <c r="C304" s="280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2"/>
    </row>
    <row r="305" spans="2:16" x14ac:dyDescent="0.25">
      <c r="B305" s="73"/>
      <c r="C305" s="280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2"/>
    </row>
    <row r="306" spans="2:16" x14ac:dyDescent="0.25">
      <c r="B306" s="73"/>
      <c r="C306" s="280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2"/>
    </row>
    <row r="307" spans="2:16" x14ac:dyDescent="0.25">
      <c r="B307" s="73"/>
      <c r="C307" s="280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2"/>
    </row>
    <row r="308" spans="2:16" x14ac:dyDescent="0.25">
      <c r="B308" s="73"/>
      <c r="C308" s="280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2"/>
    </row>
    <row r="309" spans="2:16" x14ac:dyDescent="0.25">
      <c r="B309" s="73"/>
      <c r="C309" s="280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2"/>
    </row>
    <row r="310" spans="2:16" x14ac:dyDescent="0.25">
      <c r="B310" s="73"/>
      <c r="C310" s="280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2"/>
    </row>
    <row r="311" spans="2:16" x14ac:dyDescent="0.25">
      <c r="B311" s="73"/>
      <c r="C311" s="280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2"/>
    </row>
    <row r="312" spans="2:16" x14ac:dyDescent="0.25">
      <c r="B312" s="73"/>
      <c r="C312" s="280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2"/>
    </row>
    <row r="313" spans="2:16" x14ac:dyDescent="0.25">
      <c r="B313" s="73"/>
      <c r="C313" s="280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2"/>
    </row>
    <row r="314" spans="2:16" x14ac:dyDescent="0.25">
      <c r="B314" s="73"/>
      <c r="C314" s="280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2"/>
    </row>
    <row r="315" spans="2:16" x14ac:dyDescent="0.25">
      <c r="B315" s="73"/>
      <c r="C315" s="280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2"/>
    </row>
    <row r="316" spans="2:16" x14ac:dyDescent="0.25">
      <c r="B316" s="73"/>
      <c r="C316" s="280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2"/>
    </row>
    <row r="317" spans="2:16" x14ac:dyDescent="0.25">
      <c r="B317" s="73"/>
      <c r="C317" s="280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2"/>
    </row>
    <row r="318" spans="2:16" x14ac:dyDescent="0.25">
      <c r="B318" s="73"/>
      <c r="C318" s="280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2"/>
    </row>
    <row r="319" spans="2:16" x14ac:dyDescent="0.25">
      <c r="B319" s="73"/>
      <c r="C319" s="280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2"/>
    </row>
    <row r="320" spans="2:16" x14ac:dyDescent="0.25">
      <c r="B320" s="73"/>
      <c r="C320" s="280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2"/>
    </row>
    <row r="321" spans="2:16" x14ac:dyDescent="0.25">
      <c r="B321" s="73"/>
      <c r="C321" s="280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2"/>
    </row>
    <row r="322" spans="2:16" x14ac:dyDescent="0.25">
      <c r="B322" s="73"/>
      <c r="C322" s="280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2"/>
    </row>
    <row r="323" spans="2:16" x14ac:dyDescent="0.25">
      <c r="B323" s="73"/>
      <c r="C323" s="280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2"/>
    </row>
    <row r="324" spans="2:16" x14ac:dyDescent="0.25">
      <c r="B324" s="73"/>
      <c r="C324" s="280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2"/>
    </row>
    <row r="325" spans="2:16" x14ac:dyDescent="0.25">
      <c r="B325" s="73"/>
      <c r="C325" s="280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2"/>
    </row>
    <row r="326" spans="2:16" x14ac:dyDescent="0.25">
      <c r="B326" s="73"/>
      <c r="C326" s="280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2"/>
    </row>
    <row r="327" spans="2:16" x14ac:dyDescent="0.25">
      <c r="B327" s="73"/>
      <c r="C327" s="280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2"/>
    </row>
    <row r="328" spans="2:16" x14ac:dyDescent="0.25">
      <c r="B328" s="73"/>
      <c r="C328" s="280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2"/>
    </row>
    <row r="329" spans="2:16" x14ac:dyDescent="0.25">
      <c r="B329" s="73"/>
      <c r="C329" s="280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2"/>
    </row>
    <row r="330" spans="2:16" x14ac:dyDescent="0.25">
      <c r="B330" s="73"/>
      <c r="C330" s="280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2"/>
    </row>
    <row r="331" spans="2:16" x14ac:dyDescent="0.25">
      <c r="B331" s="73"/>
      <c r="C331" s="280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2"/>
    </row>
    <row r="332" spans="2:16" x14ac:dyDescent="0.25">
      <c r="B332" s="73"/>
      <c r="C332" s="280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2"/>
    </row>
    <row r="333" spans="2:16" x14ac:dyDescent="0.25">
      <c r="B333" s="73"/>
      <c r="C333" s="280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2"/>
    </row>
    <row r="334" spans="2:16" x14ac:dyDescent="0.25">
      <c r="B334" s="73"/>
      <c r="C334" s="280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2"/>
    </row>
    <row r="335" spans="2:16" x14ac:dyDescent="0.25">
      <c r="B335" s="73"/>
      <c r="C335" s="280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2"/>
    </row>
    <row r="336" spans="2:16" x14ac:dyDescent="0.25">
      <c r="B336" s="73"/>
      <c r="C336" s="280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2"/>
    </row>
    <row r="337" spans="2:16" x14ac:dyDescent="0.25">
      <c r="B337" s="73"/>
      <c r="C337" s="280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2"/>
    </row>
    <row r="338" spans="2:16" x14ac:dyDescent="0.25">
      <c r="B338" s="73"/>
      <c r="C338" s="280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2"/>
    </row>
    <row r="339" spans="2:16" x14ac:dyDescent="0.25">
      <c r="B339" s="73"/>
      <c r="C339" s="280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2"/>
    </row>
    <row r="340" spans="2:16" x14ac:dyDescent="0.25">
      <c r="B340" s="73"/>
      <c r="C340" s="280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2"/>
    </row>
    <row r="341" spans="2:16" x14ac:dyDescent="0.25">
      <c r="B341" s="73"/>
      <c r="C341" s="280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2"/>
    </row>
    <row r="342" spans="2:16" x14ac:dyDescent="0.25">
      <c r="B342" s="73"/>
      <c r="C342" s="280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2"/>
    </row>
    <row r="343" spans="2:16" x14ac:dyDescent="0.25">
      <c r="B343" s="73"/>
      <c r="C343" s="280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2"/>
    </row>
    <row r="344" spans="2:16" x14ac:dyDescent="0.25">
      <c r="B344" s="73"/>
      <c r="C344" s="280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2"/>
    </row>
    <row r="345" spans="2:16" x14ac:dyDescent="0.25">
      <c r="B345" s="73"/>
      <c r="C345" s="280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2"/>
    </row>
    <row r="346" spans="2:16" x14ac:dyDescent="0.25">
      <c r="B346" s="73"/>
      <c r="C346" s="280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2"/>
    </row>
    <row r="347" spans="2:16" x14ac:dyDescent="0.25">
      <c r="B347" s="73"/>
      <c r="C347" s="280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2"/>
    </row>
    <row r="348" spans="2:16" x14ac:dyDescent="0.25">
      <c r="B348" s="73"/>
      <c r="C348" s="280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2"/>
    </row>
    <row r="349" spans="2:16" x14ac:dyDescent="0.25">
      <c r="B349" s="73"/>
      <c r="C349" s="280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2"/>
    </row>
    <row r="350" spans="2:16" x14ac:dyDescent="0.25">
      <c r="B350" s="73"/>
      <c r="C350" s="280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2"/>
    </row>
    <row r="351" spans="2:16" x14ac:dyDescent="0.25">
      <c r="B351" s="73"/>
      <c r="C351" s="280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2"/>
    </row>
    <row r="352" spans="2:16" x14ac:dyDescent="0.25">
      <c r="B352" s="73"/>
      <c r="C352" s="280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2"/>
    </row>
    <row r="353" spans="2:16" x14ac:dyDescent="0.25">
      <c r="B353" s="73"/>
      <c r="C353" s="280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2"/>
    </row>
    <row r="354" spans="2:16" x14ac:dyDescent="0.25">
      <c r="B354" s="73"/>
      <c r="C354" s="280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2"/>
    </row>
    <row r="355" spans="2:16" x14ac:dyDescent="0.25">
      <c r="B355" s="73"/>
      <c r="C355" s="280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2"/>
    </row>
    <row r="356" spans="2:16" x14ac:dyDescent="0.25">
      <c r="B356" s="73"/>
      <c r="C356" s="280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2"/>
    </row>
    <row r="357" spans="2:16" x14ac:dyDescent="0.25">
      <c r="B357" s="73"/>
      <c r="C357" s="280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2"/>
    </row>
    <row r="358" spans="2:16" x14ac:dyDescent="0.25">
      <c r="B358" s="73"/>
      <c r="C358" s="280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2"/>
    </row>
    <row r="359" spans="2:16" x14ac:dyDescent="0.25">
      <c r="B359" s="73"/>
      <c r="C359" s="280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2"/>
    </row>
    <row r="360" spans="2:16" x14ac:dyDescent="0.25">
      <c r="B360" s="73"/>
      <c r="C360" s="280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2"/>
    </row>
    <row r="361" spans="2:16" x14ac:dyDescent="0.25">
      <c r="B361" s="73"/>
      <c r="C361" s="280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2"/>
    </row>
    <row r="362" spans="2:16" x14ac:dyDescent="0.25">
      <c r="B362" s="73"/>
      <c r="C362" s="280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2"/>
    </row>
    <row r="363" spans="2:16" x14ac:dyDescent="0.25">
      <c r="B363" s="73"/>
      <c r="C363" s="280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2"/>
    </row>
    <row r="364" spans="2:16" x14ac:dyDescent="0.25">
      <c r="B364" s="73"/>
      <c r="C364" s="280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2"/>
    </row>
    <row r="365" spans="2:16" x14ac:dyDescent="0.25">
      <c r="B365" s="73"/>
      <c r="C365" s="280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2"/>
    </row>
    <row r="366" spans="2:16" x14ac:dyDescent="0.25">
      <c r="B366" s="73"/>
      <c r="C366" s="280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2"/>
    </row>
    <row r="367" spans="2:16" x14ac:dyDescent="0.25">
      <c r="B367" s="73"/>
      <c r="C367" s="280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2"/>
    </row>
    <row r="368" spans="2:16" x14ac:dyDescent="0.25">
      <c r="B368" s="73"/>
      <c r="C368" s="280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2"/>
    </row>
    <row r="369" spans="2:16" x14ac:dyDescent="0.25">
      <c r="B369" s="73"/>
      <c r="C369" s="280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2"/>
    </row>
    <row r="370" spans="2:16" x14ac:dyDescent="0.25">
      <c r="B370" s="73"/>
      <c r="C370" s="280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2"/>
    </row>
    <row r="371" spans="2:16" x14ac:dyDescent="0.25">
      <c r="B371" s="73"/>
      <c r="C371" s="280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2"/>
    </row>
    <row r="372" spans="2:16" x14ac:dyDescent="0.25">
      <c r="B372" s="73"/>
      <c r="C372" s="280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2"/>
    </row>
    <row r="373" spans="2:16" x14ac:dyDescent="0.25">
      <c r="B373" s="73"/>
      <c r="C373" s="280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2"/>
    </row>
    <row r="374" spans="2:16" x14ac:dyDescent="0.25">
      <c r="B374" s="73"/>
      <c r="C374" s="280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2"/>
    </row>
    <row r="375" spans="2:16" x14ac:dyDescent="0.25">
      <c r="B375" s="73"/>
      <c r="C375" s="280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2"/>
    </row>
    <row r="376" spans="2:16" x14ac:dyDescent="0.25">
      <c r="B376" s="73"/>
      <c r="C376" s="280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2"/>
    </row>
    <row r="377" spans="2:16" x14ac:dyDescent="0.25">
      <c r="B377" s="73"/>
      <c r="C377" s="280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2"/>
    </row>
    <row r="378" spans="2:16" x14ac:dyDescent="0.25">
      <c r="B378" s="73"/>
      <c r="C378" s="280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2"/>
    </row>
    <row r="379" spans="2:16" x14ac:dyDescent="0.25">
      <c r="B379" s="73"/>
      <c r="C379" s="280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2"/>
    </row>
    <row r="380" spans="2:16" x14ac:dyDescent="0.25">
      <c r="B380" s="73"/>
      <c r="C380" s="280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2"/>
    </row>
    <row r="381" spans="2:16" x14ac:dyDescent="0.25">
      <c r="B381" s="73"/>
      <c r="C381" s="280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2"/>
    </row>
    <row r="382" spans="2:16" x14ac:dyDescent="0.25">
      <c r="B382" s="73"/>
      <c r="C382" s="280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2"/>
    </row>
    <row r="383" spans="2:16" x14ac:dyDescent="0.25">
      <c r="B383" s="73"/>
      <c r="C383" s="280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2"/>
    </row>
    <row r="384" spans="2:16" x14ac:dyDescent="0.25">
      <c r="B384" s="73"/>
      <c r="C384" s="280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2"/>
    </row>
    <row r="385" spans="2:16" x14ac:dyDescent="0.25">
      <c r="B385" s="73"/>
      <c r="C385" s="280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2"/>
    </row>
    <row r="386" spans="2:16" x14ac:dyDescent="0.25">
      <c r="B386" s="73"/>
      <c r="C386" s="280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2"/>
    </row>
    <row r="387" spans="2:16" x14ac:dyDescent="0.25">
      <c r="B387" s="73"/>
      <c r="C387" s="280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2"/>
    </row>
    <row r="388" spans="2:16" x14ac:dyDescent="0.25">
      <c r="B388" s="73"/>
      <c r="C388" s="280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2"/>
    </row>
    <row r="389" spans="2:16" x14ac:dyDescent="0.25">
      <c r="B389" s="73"/>
      <c r="C389" s="280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2"/>
    </row>
    <row r="390" spans="2:16" x14ac:dyDescent="0.25">
      <c r="B390" s="73"/>
      <c r="C390" s="280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2"/>
    </row>
    <row r="391" spans="2:16" x14ac:dyDescent="0.25">
      <c r="B391" s="73"/>
      <c r="C391" s="280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2"/>
    </row>
    <row r="392" spans="2:16" x14ac:dyDescent="0.25">
      <c r="B392" s="73"/>
      <c r="C392" s="280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2"/>
    </row>
    <row r="393" spans="2:16" x14ac:dyDescent="0.25">
      <c r="B393" s="73"/>
      <c r="C393" s="280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2"/>
    </row>
    <row r="394" spans="2:16" x14ac:dyDescent="0.25">
      <c r="B394" s="73"/>
      <c r="C394" s="280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2"/>
    </row>
    <row r="395" spans="2:16" x14ac:dyDescent="0.25">
      <c r="B395" s="73"/>
      <c r="C395" s="280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2"/>
    </row>
    <row r="396" spans="2:16" x14ac:dyDescent="0.25">
      <c r="B396" s="73"/>
      <c r="C396" s="280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2"/>
    </row>
    <row r="397" spans="2:16" x14ac:dyDescent="0.25">
      <c r="B397" s="73"/>
      <c r="C397" s="280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2"/>
    </row>
    <row r="398" spans="2:16" x14ac:dyDescent="0.25">
      <c r="B398" s="73"/>
      <c r="C398" s="280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2"/>
    </row>
    <row r="399" spans="2:16" x14ac:dyDescent="0.25">
      <c r="B399" s="73"/>
      <c r="C399" s="280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2"/>
    </row>
    <row r="400" spans="2:16" x14ac:dyDescent="0.25">
      <c r="B400" s="73"/>
      <c r="C400" s="280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2"/>
    </row>
    <row r="401" spans="2:16" x14ac:dyDescent="0.25">
      <c r="B401" s="73"/>
      <c r="C401" s="280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2"/>
    </row>
    <row r="402" spans="2:16" x14ac:dyDescent="0.25">
      <c r="B402" s="73"/>
      <c r="C402" s="280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2"/>
    </row>
    <row r="403" spans="2:16" x14ac:dyDescent="0.25">
      <c r="B403" s="73"/>
      <c r="C403" s="280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2"/>
    </row>
    <row r="404" spans="2:16" x14ac:dyDescent="0.25">
      <c r="B404" s="73"/>
      <c r="C404" s="280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2"/>
    </row>
    <row r="405" spans="2:16" x14ac:dyDescent="0.25">
      <c r="B405" s="73"/>
      <c r="C405" s="280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2"/>
    </row>
    <row r="406" spans="2:16" x14ac:dyDescent="0.25">
      <c r="B406" s="73"/>
      <c r="C406" s="280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2"/>
    </row>
    <row r="407" spans="2:16" x14ac:dyDescent="0.25">
      <c r="B407" s="73"/>
      <c r="C407" s="280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2"/>
    </row>
    <row r="408" spans="2:16" x14ac:dyDescent="0.25">
      <c r="B408" s="73"/>
      <c r="C408" s="280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2"/>
    </row>
    <row r="409" spans="2:16" x14ac:dyDescent="0.25">
      <c r="B409" s="73"/>
      <c r="C409" s="280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2"/>
    </row>
    <row r="410" spans="2:16" x14ac:dyDescent="0.25">
      <c r="B410" s="73"/>
      <c r="C410" s="280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2"/>
    </row>
    <row r="411" spans="2:16" x14ac:dyDescent="0.25">
      <c r="B411" s="73"/>
      <c r="C411" s="280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2"/>
    </row>
    <row r="412" spans="2:16" x14ac:dyDescent="0.25">
      <c r="B412" s="73"/>
      <c r="C412" s="280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2"/>
    </row>
    <row r="413" spans="2:16" x14ac:dyDescent="0.25">
      <c r="B413" s="73"/>
      <c r="C413" s="280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2"/>
    </row>
    <row r="414" spans="2:16" x14ac:dyDescent="0.25">
      <c r="B414" s="73"/>
      <c r="C414" s="280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2"/>
    </row>
    <row r="415" spans="2:16" x14ac:dyDescent="0.25">
      <c r="B415" s="73"/>
      <c r="C415" s="280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2"/>
    </row>
    <row r="416" spans="2:16" x14ac:dyDescent="0.25">
      <c r="B416" s="73"/>
      <c r="C416" s="280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2"/>
    </row>
    <row r="417" spans="2:16" x14ac:dyDescent="0.25">
      <c r="B417" s="73"/>
      <c r="C417" s="280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2"/>
    </row>
    <row r="418" spans="2:16" x14ac:dyDescent="0.25">
      <c r="B418" s="73"/>
      <c r="C418" s="280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2"/>
    </row>
    <row r="419" spans="2:16" x14ac:dyDescent="0.25">
      <c r="B419" s="73"/>
      <c r="C419" s="280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2"/>
    </row>
    <row r="420" spans="2:16" x14ac:dyDescent="0.25">
      <c r="B420" s="73"/>
      <c r="C420" s="280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2"/>
    </row>
    <row r="421" spans="2:16" x14ac:dyDescent="0.25">
      <c r="B421" s="73"/>
      <c r="C421" s="280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2"/>
    </row>
    <row r="422" spans="2:16" x14ac:dyDescent="0.25">
      <c r="B422" s="73"/>
      <c r="C422" s="280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2"/>
    </row>
    <row r="423" spans="2:16" x14ac:dyDescent="0.25">
      <c r="B423" s="73"/>
      <c r="C423" s="280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2"/>
    </row>
    <row r="424" spans="2:16" x14ac:dyDescent="0.25">
      <c r="B424" s="73"/>
      <c r="C424" s="280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2"/>
    </row>
    <row r="425" spans="2:16" x14ac:dyDescent="0.25">
      <c r="B425" s="73"/>
      <c r="C425" s="280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2"/>
    </row>
    <row r="426" spans="2:16" x14ac:dyDescent="0.25">
      <c r="B426" s="73"/>
      <c r="C426" s="280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2"/>
    </row>
    <row r="427" spans="2:16" x14ac:dyDescent="0.25">
      <c r="B427" s="73"/>
      <c r="C427" s="280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2"/>
    </row>
  </sheetData>
  <mergeCells count="1">
    <mergeCell ref="B3:C3"/>
  </mergeCells>
  <conditionalFormatting sqref="D6:O6">
    <cfRule type="cellIs" dxfId="42" priority="183" operator="lessThan">
      <formula>0</formula>
    </cfRule>
    <cfRule type="cellIs" dxfId="41" priority="184" operator="greaterThan">
      <formula>0</formula>
    </cfRule>
  </conditionalFormatting>
  <conditionalFormatting sqref="P6">
    <cfRule type="cellIs" dxfId="40" priority="181" operator="lessThan">
      <formula>0</formula>
    </cfRule>
    <cfRule type="cellIs" dxfId="39" priority="182" operator="greaterThan">
      <formula>0</formula>
    </cfRule>
  </conditionalFormatting>
  <conditionalFormatting sqref="Q7 B7:O7">
    <cfRule type="cellIs" dxfId="38" priority="178" operator="equal">
      <formula>""</formula>
    </cfRule>
    <cfRule type="expression" dxfId="37" priority="179">
      <formula>$Q7="Despesa"</formula>
    </cfRule>
    <cfRule type="expression" dxfId="36" priority="180">
      <formula>$Q7="Receita"</formula>
    </cfRule>
  </conditionalFormatting>
  <conditionalFormatting sqref="D7:O7">
    <cfRule type="cellIs" dxfId="35" priority="175" operator="equal">
      <formula>""</formula>
    </cfRule>
    <cfRule type="expression" dxfId="34" priority="176">
      <formula>$Q7="Despesa"</formula>
    </cfRule>
    <cfRule type="expression" dxfId="33" priority="177">
      <formula>$Q7="Receita"</formula>
    </cfRule>
  </conditionalFormatting>
  <conditionalFormatting sqref="P7">
    <cfRule type="cellIs" dxfId="32" priority="172" operator="equal">
      <formula>""</formula>
    </cfRule>
    <cfRule type="expression" dxfId="31" priority="173">
      <formula>$Q7="Despesa"</formula>
    </cfRule>
    <cfRule type="expression" dxfId="30" priority="174">
      <formula>$Q7="Receita"</formula>
    </cfRule>
  </conditionalFormatting>
  <conditionalFormatting sqref="D41:O427 D8:O25 E26:O40">
    <cfRule type="cellIs" dxfId="29" priority="163" operator="equal">
      <formula>""</formula>
    </cfRule>
    <cfRule type="expression" dxfId="28" priority="164">
      <formula>$Q8="Despesa"</formula>
    </cfRule>
    <cfRule type="expression" dxfId="27" priority="165">
      <formula>$Q8="Receita"</formula>
    </cfRule>
  </conditionalFormatting>
  <conditionalFormatting sqref="D1">
    <cfRule type="cellIs" dxfId="26" priority="160" operator="equal">
      <formula>""</formula>
    </cfRule>
    <cfRule type="expression" dxfId="25" priority="161">
      <formula>$Q1="Despesa"</formula>
    </cfRule>
    <cfRule type="expression" dxfId="24" priority="162">
      <formula>$Q1="Receita"</formula>
    </cfRule>
  </conditionalFormatting>
  <conditionalFormatting sqref="B8:C427">
    <cfRule type="cellIs" dxfId="23" priority="151" operator="equal">
      <formula>""</formula>
    </cfRule>
    <cfRule type="expression" dxfId="22" priority="152">
      <formula>$Q8="Despesa"</formula>
    </cfRule>
    <cfRule type="expression" dxfId="21" priority="153">
      <formula>$Q8="Receita"</formula>
    </cfRule>
  </conditionalFormatting>
  <conditionalFormatting sqref="B12:C12">
    <cfRule type="cellIs" dxfId="20" priority="148" operator="equal">
      <formula>""</formula>
    </cfRule>
    <cfRule type="expression" dxfId="19" priority="149">
      <formula>$Q12="Despesa"</formula>
    </cfRule>
    <cfRule type="expression" dxfId="18" priority="150">
      <formula>$Q12="Receita"</formula>
    </cfRule>
  </conditionalFormatting>
  <conditionalFormatting sqref="D41:D47">
    <cfRule type="cellIs" dxfId="17" priority="16" operator="equal">
      <formula>""</formula>
    </cfRule>
    <cfRule type="expression" dxfId="16" priority="17">
      <formula>$Q41="Despesa"</formula>
    </cfRule>
    <cfRule type="expression" dxfId="15" priority="18">
      <formula>$Q41="Receita"</formula>
    </cfRule>
  </conditionalFormatting>
  <conditionalFormatting sqref="D26:D40">
    <cfRule type="cellIs" dxfId="14" priority="1" operator="equal">
      <formula>""</formula>
    </cfRule>
    <cfRule type="expression" dxfId="13" priority="2">
      <formula>$Q26="Despesa"</formula>
    </cfRule>
    <cfRule type="expression" dxfId="12" priority="3">
      <formula>$Q26="Receita"</formula>
    </cfRule>
  </conditionalFormatting>
  <pageMargins left="0.25" right="0.25" top="0.75" bottom="0.75" header="0.3" footer="0.3"/>
  <pageSetup paperSize="9" scale="69" fitToHeight="0" orientation="landscape" cellComments="atEnd" r:id="rId1"/>
  <headerFooter>
    <oddHeader>&amp;R31/01/22 15:27</oddHeader>
    <oddFooter>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Drop Down 3">
              <controlPr defaultSize="0" autoLine="0" autoPict="0">
                <anchor>
                  <from>
                    <xdr:col>3</xdr:col>
                    <xdr:colOff>0</xdr:colOff>
                    <xdr:row>0</xdr:row>
                    <xdr:rowOff>76200</xdr:rowOff>
                  </from>
                  <to>
                    <xdr:col>4</xdr:col>
                    <xdr:colOff>400050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Drop Down 5">
              <controlPr defaultSize="0" autoLine="0" autoPict="0">
                <anchor>
                  <from>
                    <xdr:col>9</xdr:col>
                    <xdr:colOff>47625</xdr:colOff>
                    <xdr:row>0</xdr:row>
                    <xdr:rowOff>66675</xdr:rowOff>
                  </from>
                  <to>
                    <xdr:col>12</xdr:col>
                    <xdr:colOff>47625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6" name="Drop Down 6">
              <controlPr defaultSize="0" autoLine="0" autoPict="0">
                <anchor>
                  <from>
                    <xdr:col>6</xdr:col>
                    <xdr:colOff>19050</xdr:colOff>
                    <xdr:row>0</xdr:row>
                    <xdr:rowOff>66675</xdr:rowOff>
                  </from>
                  <to>
                    <xdr:col>7</xdr:col>
                    <xdr:colOff>238125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>
    <tabColor rgb="FFFFC000"/>
    <pageSetUpPr fitToPage="1"/>
  </sheetPr>
  <dimension ref="B1:BF33"/>
  <sheetViews>
    <sheetView showGridLines="0" showRowColHeaders="0" zoomScaleNormal="100" workbookViewId="0">
      <selection activeCell="C33" sqref="C33"/>
    </sheetView>
  </sheetViews>
  <sheetFormatPr defaultRowHeight="15" x14ac:dyDescent="0.25"/>
  <cols>
    <col min="1" max="1" width="29.5703125" customWidth="1"/>
    <col min="2" max="2" width="5.5703125" customWidth="1"/>
    <col min="3" max="6" width="20.7109375" customWidth="1"/>
    <col min="8" max="9" width="20.85546875" customWidth="1"/>
    <col min="11" max="11" width="9.140625" hidden="1" customWidth="1"/>
    <col min="12" max="12" width="9.140625" style="33" hidden="1" customWidth="1"/>
    <col min="13" max="13" width="12.28515625" hidden="1" customWidth="1"/>
    <col min="14" max="14" width="9.140625" hidden="1" customWidth="1"/>
    <col min="15" max="15" width="11" hidden="1" customWidth="1"/>
    <col min="16" max="17" width="10.85546875" hidden="1" customWidth="1"/>
    <col min="18" max="18" width="9.140625" hidden="1" customWidth="1"/>
    <col min="19" max="19" width="3.140625" hidden="1" customWidth="1"/>
    <col min="20" max="20" width="2.28515625" hidden="1" customWidth="1"/>
    <col min="21" max="23" width="9.140625" hidden="1" customWidth="1"/>
    <col min="24" max="24" width="9.7109375" hidden="1" customWidth="1"/>
    <col min="25" max="26" width="12.28515625" hidden="1" customWidth="1"/>
    <col min="27" max="27" width="5.85546875" hidden="1" customWidth="1"/>
    <col min="28" max="28" width="8.140625" hidden="1" customWidth="1"/>
    <col min="29" max="30" width="9.140625" hidden="1" customWidth="1"/>
  </cols>
  <sheetData>
    <row r="1" spans="2:58" ht="42.75" customHeight="1" thickBot="1" x14ac:dyDescent="0.3">
      <c r="B1" s="49"/>
      <c r="C1" s="40"/>
      <c r="D1" s="11"/>
      <c r="E1" s="79" t="s">
        <v>72</v>
      </c>
      <c r="F1" s="80">
        <f>W1</f>
        <v>0</v>
      </c>
      <c r="G1" s="11"/>
      <c r="H1" s="11"/>
      <c r="I1" s="11"/>
      <c r="J1" s="11"/>
      <c r="K1" s="95" t="s">
        <v>73</v>
      </c>
      <c r="L1" s="103">
        <v>1</v>
      </c>
      <c r="M1" s="81">
        <f>VLOOKUP(L1,CADASTRO_AUX!$O$1:$P$13,2,0)</f>
        <v>2021</v>
      </c>
      <c r="N1">
        <v>1</v>
      </c>
      <c r="O1" t="str">
        <f>"01/"&amp;N1&amp;"/"&amp;$M$1</f>
        <v>01/1/2021</v>
      </c>
      <c r="P1" s="82">
        <f>O1*1</f>
        <v>44197</v>
      </c>
      <c r="Q1" s="82">
        <f>P1-1</f>
        <v>44196</v>
      </c>
      <c r="R1" s="13"/>
      <c r="S1" s="13"/>
      <c r="T1" s="13"/>
      <c r="V1" t="s">
        <v>152</v>
      </c>
      <c r="W1" s="151">
        <f>AA1-AB1+AC1+AD1</f>
        <v>0</v>
      </c>
      <c r="X1" s="184" t="str">
        <f>M3</f>
        <v>Todos</v>
      </c>
      <c r="Y1" s="184" t="str">
        <f>AUX_03!B1</f>
        <v>01/01/2021</v>
      </c>
      <c r="Z1" s="184">
        <f>M2</f>
        <v>44255</v>
      </c>
      <c r="AA1" s="185">
        <f>IF(L4=1,(IF(X1="Todos",SUMIFS(LANÇAMENTOS_01!J:J,LANÇAMENTOS_01!L:L,"&gt;="&amp;RELATORIO_05!Y1,LANÇAMENTOS_01!L:L,"&lt;="&amp;RELATORIO_05!Z1),SUMIFS(LANÇAMENTOS_01!J:J,LANÇAMENTOS_01!L:L,"&gt;="&amp;RELATORIO_05!Y1,LANÇAMENTOS_01!L:L,"&lt;="&amp;RELATORIO_05!Z1,LANÇAMENTOS_01!G:G,RELATORIO_05!X1))),IF(X1="Todos",SUMIFS(LANÇAMENTOS_01!J:J,LANÇAMENTOS_01!K:K,"&gt;="&amp;RELATORIO_05!Y1,LANÇAMENTOS_01!K:K,"&lt;="&amp;RELATORIO_05!Z1),SUMIFS(LANÇAMENTOS_01!J:J,LANÇAMENTOS_01!K:K,"&gt;="&amp;RELATORIO_05!Y1,LANÇAMENTOS_01!K:K,"&lt;="&amp;RELATORIO_05!Z1,LANÇAMENTOS_01!G:G,RELATORIO_05!X1)))</f>
        <v>0</v>
      </c>
      <c r="AB1" s="185">
        <f>IF(L4=1,(IF(X1="Todos",SUMIFS(LANÇAMENTOS_02!J:J,LANÇAMENTOS_02!L:L,"&gt;="&amp;RELATORIO_05!Y1,LANÇAMENTOS_02!L:L,"&lt;="&amp;RELATORIO_05!Z1),SUMIFS(LANÇAMENTOS_02!J:J,LANÇAMENTOS_02!L:L,"&gt;="&amp;RELATORIO_05!Y1,LANÇAMENTOS_02!L:L,"&lt;="&amp;RELATORIO_05!Z1,LANÇAMENTOS_02!G:G,RELATORIO_05!X1))),IF(X1="Todos",SUMIFS(LANÇAMENTOS_02!J:J,LANÇAMENTOS_02!K:K,"&gt;="&amp;RELATORIO_05!Y1,LANÇAMENTOS_02!K:K,"&lt;="&amp;RELATORIO_05!Z1),SUMIFS(LANÇAMENTOS_02!J:J,LANÇAMENTOS_02!K:K,"&gt;="&amp;RELATORIO_05!Y1,LANÇAMENTOS_02!K:K,"&lt;="&amp;RELATORIO_05!Z1,LANÇAMENTOS_02!G:G,RELATORIO_05!X1)))</f>
        <v>0</v>
      </c>
      <c r="AC1" s="186">
        <f>IF(X1="Todos",SUMIFS(LANÇAMENTOS_03!J:J,LANÇAMENTOS_03!L:L,"&gt;="&amp;RELATORIO_05!Y1,LANÇAMENTOS_03!L:L,"&lt;="&amp;RELATORIO_05!Z1),SUMIFS(LANÇAMENTOS_03!J:J,LANÇAMENTOS_03!L:L,"&gt;="&amp;RELATORIO_05!Y1,LANÇAMENTOS_03!L:L,"&lt;="&amp;RELATORIO_05!Z1,LANÇAMENTOS_03!G:G,RELATORIO_05!X1))</f>
        <v>0</v>
      </c>
      <c r="AD1" s="187">
        <f>IF(X1="Todos",SUM(CADASTRO_04!C:C),VLOOKUP(X1,CADASTRO_AUX!V2:W46,2,0))</f>
        <v>0</v>
      </c>
      <c r="BA1" t="s">
        <v>143</v>
      </c>
      <c r="BB1" t="s">
        <v>145</v>
      </c>
      <c r="BC1">
        <v>2</v>
      </c>
      <c r="BD1" t="s">
        <v>144</v>
      </c>
      <c r="BF1">
        <v>0</v>
      </c>
    </row>
    <row r="2" spans="2:58" ht="16.5" thickTop="1" x14ac:dyDescent="0.25">
      <c r="B2" s="8"/>
      <c r="C2" s="52" t="s">
        <v>74</v>
      </c>
      <c r="D2" s="52" t="s">
        <v>75</v>
      </c>
      <c r="E2" s="52" t="s">
        <v>76</v>
      </c>
      <c r="F2" s="52" t="s">
        <v>77</v>
      </c>
      <c r="G2" s="11"/>
      <c r="H2" s="83" t="s">
        <v>78</v>
      </c>
      <c r="I2" s="11"/>
      <c r="J2" s="84">
        <f>SUM(J4:J34)</f>
        <v>0</v>
      </c>
      <c r="K2" s="91" t="s">
        <v>79</v>
      </c>
      <c r="L2" s="104">
        <v>3</v>
      </c>
      <c r="M2" s="86">
        <f>VLOOKUP(L2,N1:Q12,4,0)</f>
        <v>44255</v>
      </c>
      <c r="N2">
        <f>N1+1</f>
        <v>2</v>
      </c>
      <c r="O2" t="str">
        <f t="shared" ref="O2:O12" si="0">"01/"&amp;N2&amp;"/"&amp;$M$1</f>
        <v>01/2/2021</v>
      </c>
      <c r="P2" s="82">
        <f t="shared" ref="P2:P12" si="1">O2*1</f>
        <v>44228</v>
      </c>
      <c r="Q2" s="82">
        <f t="shared" ref="Q2:Q12" si="2">P2-1</f>
        <v>44227</v>
      </c>
      <c r="R2" s="85"/>
      <c r="S2" s="85"/>
      <c r="T2" s="85"/>
      <c r="V2" t="s">
        <v>153</v>
      </c>
    </row>
    <row r="3" spans="2:58" ht="15" customHeight="1" x14ac:dyDescent="0.25">
      <c r="B3" s="168">
        <f>IF(T3=$L$2,S3,"   ")</f>
        <v>44256</v>
      </c>
      <c r="C3" s="165">
        <f>IF(B3="   ","",IF($L$4=1,(IF($M$3="Todos",SUMIFS(LANÇAMENTOS_01!J:J,LANÇAMENTOS_01!L:L,B3),SUMIFS(LANÇAMENTOS_01!J:J,LANÇAMENTOS_01!L:L,B3,LANÇAMENTOS_01!G:G,$M$3))),IF($M$3="Todos",SUMIFS(LANÇAMENTOS_01!J:J,LANÇAMENTOS_01!K:K,B3),SUMIFS(LANÇAMENTOS_01!J:J,LANÇAMENTOS_01!K:K,B3,LANÇAMENTOS_01!G:G,$M$3))))</f>
        <v>0</v>
      </c>
      <c r="D3" s="166">
        <f>IF(B3="   ","",IF($L$4=1,(IF($M$3="Todos",SUMIFS(LANÇAMENTOS_02!J:J,LANÇAMENTOS_02!L:L,B3),SUMIFS(LANÇAMENTOS_02!J:J,LANÇAMENTOS_02!L:L,B3,LANÇAMENTOS_02!G:G,$M$3))),IF($M$3="Todos",SUMIFS(LANÇAMENTOS_02!J:J,LANÇAMENTOS_02!K:K,B3),SUMIFS(LANÇAMENTOS_02!J:J,LANÇAMENTOS_02!K:K,B3,LANÇAMENTOS_02!G:G,$M$3))))</f>
        <v>0</v>
      </c>
      <c r="E3" s="166">
        <f>IF(B3="   ","",IF($M$3="Todos",SUMIFS(LANÇAMENTOS_03!J:J,LANÇAMENTOS_03!G:G,B3),SUMIFS(LANÇAMENTOS_03!J:J,LANÇAMENTOS_03!K:K,B3,LANÇAMENTOS_03!G:G,$M$3)))</f>
        <v>0</v>
      </c>
      <c r="F3" s="167">
        <f>F1+C3-D3+E3</f>
        <v>0</v>
      </c>
      <c r="H3" s="8"/>
      <c r="I3" s="8"/>
      <c r="K3" s="96" t="s">
        <v>84</v>
      </c>
      <c r="L3" s="105">
        <v>1</v>
      </c>
      <c r="M3" s="88" t="str">
        <f>VLOOKUP(L3,CADASTRO_AUX!U1:V46,2,0)</f>
        <v>Todos</v>
      </c>
      <c r="N3">
        <f t="shared" ref="N3:N12" si="3">N2+1</f>
        <v>3</v>
      </c>
      <c r="O3" t="str">
        <f t="shared" si="0"/>
        <v>01/3/2021</v>
      </c>
      <c r="P3" s="82">
        <f t="shared" si="1"/>
        <v>44256</v>
      </c>
      <c r="Q3" s="82">
        <f t="shared" si="2"/>
        <v>44255</v>
      </c>
      <c r="R3" s="89"/>
      <c r="S3" s="44">
        <f>O15*1</f>
        <v>44256</v>
      </c>
      <c r="T3" s="85">
        <f>MONTH(S3)</f>
        <v>3</v>
      </c>
    </row>
    <row r="4" spans="2:58" ht="15" customHeight="1" x14ac:dyDescent="0.25">
      <c r="B4" s="168">
        <f t="shared" ref="B4:B33" si="4">IF(T4=$L$2,S4,"   ")</f>
        <v>44257</v>
      </c>
      <c r="C4" s="165">
        <f>IF(B4="   ","",IF($L$4=1,(IF($M$3="Todos",SUMIFS(LANÇAMENTOS_01!J:J,LANÇAMENTOS_01!L:L,B4),SUMIFS(LANÇAMENTOS_01!J:J,LANÇAMENTOS_01!L:L,B4,LANÇAMENTOS_01!G:G,$M$3))),IF($M$3="Todos",SUMIFS(LANÇAMENTOS_01!J:J,LANÇAMENTOS_01!K:K,B4),SUMIFS(LANÇAMENTOS_01!J:J,LANÇAMENTOS_01!K:K,B4,LANÇAMENTOS_01!G:G,$M$3))))</f>
        <v>0</v>
      </c>
      <c r="D4" s="166">
        <f>IF(B4="   ","",IF($L$4=1,(IF($M$3="Todos",SUMIFS(LANÇAMENTOS_02!J:J,LANÇAMENTOS_02!L:L,B4),SUMIFS(LANÇAMENTOS_02!J:J,LANÇAMENTOS_02!L:L,B4,LANÇAMENTOS_02!G:G,$M$3))),IF($M$3="Todos",SUMIFS(LANÇAMENTOS_02!J:J,LANÇAMENTOS_02!K:K,B4),SUMIFS(LANÇAMENTOS_02!J:J,LANÇAMENTOS_02!K:K,B4,LANÇAMENTOS_02!G:G,$M$3))))</f>
        <v>0</v>
      </c>
      <c r="E4" s="166">
        <f>IF(B4="   ","",IF($M$3="Todos",SUMIFS(LANÇAMENTOS_03!J:J,LANÇAMENTOS_03!G:G,B4),SUMIFS(LANÇAMENTOS_03!J:J,LANÇAMENTOS_03!K:K,B4,LANÇAMENTOS_03!G:G,$M$3)))</f>
        <v>0</v>
      </c>
      <c r="F4" s="167">
        <f>IF(B4="   ","",F3+C4-D4+E4)</f>
        <v>0</v>
      </c>
      <c r="G4" s="90" t="s">
        <v>46</v>
      </c>
      <c r="H4" s="11"/>
      <c r="I4" s="11"/>
      <c r="K4" s="96" t="s">
        <v>154</v>
      </c>
      <c r="L4" s="85">
        <v>2</v>
      </c>
      <c r="M4" s="88"/>
      <c r="N4">
        <f t="shared" si="3"/>
        <v>4</v>
      </c>
      <c r="O4" t="str">
        <f t="shared" si="0"/>
        <v>01/4/2021</v>
      </c>
      <c r="P4" s="82">
        <f t="shared" si="1"/>
        <v>44287</v>
      </c>
      <c r="Q4" s="82">
        <f t="shared" si="2"/>
        <v>44286</v>
      </c>
      <c r="R4" s="85"/>
      <c r="S4" s="44">
        <f t="shared" ref="S4:S33" si="5">S3+1</f>
        <v>44257</v>
      </c>
      <c r="T4" s="85">
        <f t="shared" ref="T4:T33" si="6">MONTH(S4)</f>
        <v>3</v>
      </c>
    </row>
    <row r="5" spans="2:58" ht="15" customHeight="1" x14ac:dyDescent="0.25">
      <c r="B5" s="168">
        <f t="shared" si="4"/>
        <v>44258</v>
      </c>
      <c r="C5" s="165">
        <f>IF(B5="   ","",IF($L$4=1,(IF($M$3="Todos",SUMIFS(LANÇAMENTOS_01!J:J,LANÇAMENTOS_01!L:L,B5),SUMIFS(LANÇAMENTOS_01!J:J,LANÇAMENTOS_01!L:L,B5,LANÇAMENTOS_01!G:G,$M$3))),IF($M$3="Todos",SUMIFS(LANÇAMENTOS_01!J:J,LANÇAMENTOS_01!K:K,B5),SUMIFS(LANÇAMENTOS_01!J:J,LANÇAMENTOS_01!K:K,B5,LANÇAMENTOS_01!G:G,$M$3))))</f>
        <v>0</v>
      </c>
      <c r="D5" s="166">
        <f>IF(B5="   ","",IF($L$4=1,(IF($M$3="Todos",SUMIFS(LANÇAMENTOS_02!J:J,LANÇAMENTOS_02!L:L,B5),SUMIFS(LANÇAMENTOS_02!J:J,LANÇAMENTOS_02!L:L,B5,LANÇAMENTOS_02!G:G,$M$3))),IF($M$3="Todos",SUMIFS(LANÇAMENTOS_02!J:J,LANÇAMENTOS_02!K:K,B5),SUMIFS(LANÇAMENTOS_02!J:J,LANÇAMENTOS_02!K:K,B5,LANÇAMENTOS_02!G:G,$M$3))))</f>
        <v>0</v>
      </c>
      <c r="E5" s="166">
        <f>IF(B5="   ","",IF($M$3="Todos",SUMIFS(LANÇAMENTOS_03!J:J,LANÇAMENTOS_03!G:G,B5),SUMIFS(LANÇAMENTOS_03!J:J,LANÇAMENTOS_03!K:K,B5,LANÇAMENTOS_03!G:G,$M$3)))</f>
        <v>0</v>
      </c>
      <c r="F5" s="167">
        <f t="shared" ref="F5:F33" si="7">IF(B5="   ","",F4+C5-D5+E5)</f>
        <v>0</v>
      </c>
      <c r="H5" s="11"/>
      <c r="I5" s="11"/>
      <c r="K5" s="87"/>
      <c r="L5" s="85"/>
      <c r="M5" s="88"/>
      <c r="N5">
        <f t="shared" si="3"/>
        <v>5</v>
      </c>
      <c r="O5" t="str">
        <f t="shared" si="0"/>
        <v>01/5/2021</v>
      </c>
      <c r="P5" s="82">
        <f t="shared" si="1"/>
        <v>44317</v>
      </c>
      <c r="Q5" s="82">
        <f t="shared" si="2"/>
        <v>44316</v>
      </c>
      <c r="R5" s="85"/>
      <c r="S5" s="44">
        <f t="shared" si="5"/>
        <v>44258</v>
      </c>
      <c r="T5" s="85">
        <f t="shared" si="6"/>
        <v>3</v>
      </c>
    </row>
    <row r="6" spans="2:58" ht="15" customHeight="1" x14ac:dyDescent="0.25">
      <c r="B6" s="168">
        <f t="shared" si="4"/>
        <v>44259</v>
      </c>
      <c r="C6" s="165">
        <f>IF(B6="   ","",IF($L$4=1,(IF($M$3="Todos",SUMIFS(LANÇAMENTOS_01!J:J,LANÇAMENTOS_01!L:L,B6),SUMIFS(LANÇAMENTOS_01!J:J,LANÇAMENTOS_01!L:L,B6,LANÇAMENTOS_01!G:G,$M$3))),IF($M$3="Todos",SUMIFS(LANÇAMENTOS_01!J:J,LANÇAMENTOS_01!K:K,B6),SUMIFS(LANÇAMENTOS_01!J:J,LANÇAMENTOS_01!K:K,B6,LANÇAMENTOS_01!G:G,$M$3))))</f>
        <v>0</v>
      </c>
      <c r="D6" s="166">
        <f>IF(B6="   ","",IF($L$4=1,(IF($M$3="Todos",SUMIFS(LANÇAMENTOS_02!J:J,LANÇAMENTOS_02!L:L,B6),SUMIFS(LANÇAMENTOS_02!J:J,LANÇAMENTOS_02!L:L,B6,LANÇAMENTOS_02!G:G,$M$3))),IF($M$3="Todos",SUMIFS(LANÇAMENTOS_02!J:J,LANÇAMENTOS_02!K:K,B6),SUMIFS(LANÇAMENTOS_02!J:J,LANÇAMENTOS_02!K:K,B6,LANÇAMENTOS_02!G:G,$M$3))))</f>
        <v>0</v>
      </c>
      <c r="E6" s="166">
        <f>IF(B6="   ","",IF($M$3="Todos",SUMIFS(LANÇAMENTOS_03!J:J,LANÇAMENTOS_03!G:G,B6),SUMIFS(LANÇAMENTOS_03!J:J,LANÇAMENTOS_03!K:K,B6,LANÇAMENTOS_03!G:G,$M$3)))</f>
        <v>0</v>
      </c>
      <c r="F6" s="167">
        <f t="shared" si="7"/>
        <v>0</v>
      </c>
      <c r="G6" s="92" t="s">
        <v>57</v>
      </c>
      <c r="H6" s="11"/>
      <c r="I6" s="11"/>
      <c r="K6" s="87"/>
      <c r="L6" s="85"/>
      <c r="M6" s="88"/>
      <c r="N6">
        <f t="shared" si="3"/>
        <v>6</v>
      </c>
      <c r="O6" t="str">
        <f t="shared" si="0"/>
        <v>01/6/2021</v>
      </c>
      <c r="P6" s="82">
        <f t="shared" si="1"/>
        <v>44348</v>
      </c>
      <c r="Q6" s="82">
        <f t="shared" si="2"/>
        <v>44347</v>
      </c>
      <c r="R6" s="85"/>
      <c r="S6" s="44">
        <f t="shared" si="5"/>
        <v>44259</v>
      </c>
      <c r="T6" s="85">
        <f t="shared" si="6"/>
        <v>3</v>
      </c>
    </row>
    <row r="7" spans="2:58" ht="15" customHeight="1" x14ac:dyDescent="0.25">
      <c r="B7" s="168">
        <f t="shared" si="4"/>
        <v>44260</v>
      </c>
      <c r="C7" s="165">
        <f>IF(B7="   ","",IF($L$4=1,(IF($M$3="Todos",SUMIFS(LANÇAMENTOS_01!J:J,LANÇAMENTOS_01!L:L,B7),SUMIFS(LANÇAMENTOS_01!J:J,LANÇAMENTOS_01!L:L,B7,LANÇAMENTOS_01!G:G,$M$3))),IF($M$3="Todos",SUMIFS(LANÇAMENTOS_01!J:J,LANÇAMENTOS_01!K:K,B7),SUMIFS(LANÇAMENTOS_01!J:J,LANÇAMENTOS_01!K:K,B7,LANÇAMENTOS_01!G:G,$M$3))))</f>
        <v>0</v>
      </c>
      <c r="D7" s="166">
        <f>IF(B7="   ","",IF($L$4=1,(IF($M$3="Todos",SUMIFS(LANÇAMENTOS_02!J:J,LANÇAMENTOS_02!L:L,B7),SUMIFS(LANÇAMENTOS_02!J:J,LANÇAMENTOS_02!L:L,B7,LANÇAMENTOS_02!G:G,$M$3))),IF($M$3="Todos",SUMIFS(LANÇAMENTOS_02!J:J,LANÇAMENTOS_02!K:K,B7),SUMIFS(LANÇAMENTOS_02!J:J,LANÇAMENTOS_02!K:K,B7,LANÇAMENTOS_02!G:G,$M$3))))</f>
        <v>0</v>
      </c>
      <c r="E7" s="166">
        <f>IF(B7="   ","",IF($M$3="Todos",SUMIFS(LANÇAMENTOS_03!J:J,LANÇAMENTOS_03!G:G,B7),SUMIFS(LANÇAMENTOS_03!J:J,LANÇAMENTOS_03!K:K,B7,LANÇAMENTOS_03!G:G,$M$3)))</f>
        <v>0</v>
      </c>
      <c r="F7" s="167">
        <f t="shared" si="7"/>
        <v>0</v>
      </c>
      <c r="H7" s="11"/>
      <c r="I7" s="11"/>
      <c r="K7" s="87"/>
      <c r="L7" s="85"/>
      <c r="M7" s="88"/>
      <c r="N7">
        <f t="shared" si="3"/>
        <v>7</v>
      </c>
      <c r="O7" t="str">
        <f t="shared" si="0"/>
        <v>01/7/2021</v>
      </c>
      <c r="P7" s="82">
        <f t="shared" si="1"/>
        <v>44378</v>
      </c>
      <c r="Q7" s="82">
        <f t="shared" si="2"/>
        <v>44377</v>
      </c>
      <c r="R7" s="85"/>
      <c r="S7" s="44">
        <f t="shared" si="5"/>
        <v>44260</v>
      </c>
      <c r="T7" s="85">
        <f t="shared" si="6"/>
        <v>3</v>
      </c>
    </row>
    <row r="8" spans="2:58" ht="15" customHeight="1" x14ac:dyDescent="0.25">
      <c r="B8" s="168">
        <f t="shared" si="4"/>
        <v>44261</v>
      </c>
      <c r="C8" s="165">
        <f>IF(B8="   ","",IF($L$4=1,(IF($M$3="Todos",SUMIFS(LANÇAMENTOS_01!J:J,LANÇAMENTOS_01!L:L,B8),SUMIFS(LANÇAMENTOS_01!J:J,LANÇAMENTOS_01!L:L,B8,LANÇAMENTOS_01!G:G,$M$3))),IF($M$3="Todos",SUMIFS(LANÇAMENTOS_01!J:J,LANÇAMENTOS_01!K:K,B8),SUMIFS(LANÇAMENTOS_01!J:J,LANÇAMENTOS_01!K:K,B8,LANÇAMENTOS_01!G:G,$M$3))))</f>
        <v>0</v>
      </c>
      <c r="D8" s="166">
        <f>IF(B8="   ","",IF($L$4=1,(IF($M$3="Todos",SUMIFS(LANÇAMENTOS_02!J:J,LANÇAMENTOS_02!L:L,B8),SUMIFS(LANÇAMENTOS_02!J:J,LANÇAMENTOS_02!L:L,B8,LANÇAMENTOS_02!G:G,$M$3))),IF($M$3="Todos",SUMIFS(LANÇAMENTOS_02!J:J,LANÇAMENTOS_02!K:K,B8),SUMIFS(LANÇAMENTOS_02!J:J,LANÇAMENTOS_02!K:K,B8,LANÇAMENTOS_02!G:G,$M$3))))</f>
        <v>0</v>
      </c>
      <c r="E8" s="166">
        <f>IF(B8="   ","",IF($M$3="Todos",SUMIFS(LANÇAMENTOS_03!J:J,LANÇAMENTOS_03!G:G,B8),SUMIFS(LANÇAMENTOS_03!J:J,LANÇAMENTOS_03!K:K,B8,LANÇAMENTOS_03!G:G,$M$3)))</f>
        <v>0</v>
      </c>
      <c r="F8" s="167">
        <f t="shared" si="7"/>
        <v>0</v>
      </c>
      <c r="G8" s="93" t="s">
        <v>80</v>
      </c>
      <c r="H8" s="8"/>
      <c r="K8" s="87"/>
      <c r="L8" s="85"/>
      <c r="M8" s="88"/>
      <c r="N8">
        <f t="shared" si="3"/>
        <v>8</v>
      </c>
      <c r="O8" t="str">
        <f t="shared" si="0"/>
        <v>01/8/2021</v>
      </c>
      <c r="P8" s="82">
        <f t="shared" si="1"/>
        <v>44409</v>
      </c>
      <c r="Q8" s="82">
        <f t="shared" si="2"/>
        <v>44408</v>
      </c>
      <c r="R8" s="85"/>
      <c r="S8" s="44">
        <f t="shared" si="5"/>
        <v>44261</v>
      </c>
      <c r="T8" s="85">
        <f t="shared" si="6"/>
        <v>3</v>
      </c>
    </row>
    <row r="9" spans="2:58" ht="15" customHeight="1" x14ac:dyDescent="0.25">
      <c r="B9" s="168">
        <f t="shared" si="4"/>
        <v>44262</v>
      </c>
      <c r="C9" s="165">
        <f>IF(B9="   ","",IF($L$4=1,(IF($M$3="Todos",SUMIFS(LANÇAMENTOS_01!J:J,LANÇAMENTOS_01!L:L,B9),SUMIFS(LANÇAMENTOS_01!J:J,LANÇAMENTOS_01!L:L,B9,LANÇAMENTOS_01!G:G,$M$3))),IF($M$3="Todos",SUMIFS(LANÇAMENTOS_01!J:J,LANÇAMENTOS_01!K:K,B9),SUMIFS(LANÇAMENTOS_01!J:J,LANÇAMENTOS_01!K:K,B9,LANÇAMENTOS_01!G:G,$M$3))))</f>
        <v>0</v>
      </c>
      <c r="D9" s="166">
        <f>IF(B9="   ","",IF($L$4=1,(IF($M$3="Todos",SUMIFS(LANÇAMENTOS_02!J:J,LANÇAMENTOS_02!L:L,B9),SUMIFS(LANÇAMENTOS_02!J:J,LANÇAMENTOS_02!L:L,B9,LANÇAMENTOS_02!G:G,$M$3))),IF($M$3="Todos",SUMIFS(LANÇAMENTOS_02!J:J,LANÇAMENTOS_02!K:K,B9),SUMIFS(LANÇAMENTOS_02!J:J,LANÇAMENTOS_02!K:K,B9,LANÇAMENTOS_02!G:G,$M$3))))</f>
        <v>0</v>
      </c>
      <c r="E9" s="166">
        <f>IF(B9="   ","",IF($M$3="Todos",SUMIFS(LANÇAMENTOS_03!J:J,LANÇAMENTOS_03!G:G,B9),SUMIFS(LANÇAMENTOS_03!J:J,LANÇAMENTOS_03!K:K,B9,LANÇAMENTOS_03!G:G,$M$3)))</f>
        <v>0</v>
      </c>
      <c r="F9" s="167">
        <f t="shared" si="7"/>
        <v>0</v>
      </c>
      <c r="H9" s="11"/>
      <c r="I9" s="11"/>
      <c r="K9" s="87"/>
      <c r="L9" s="85"/>
      <c r="M9" s="88"/>
      <c r="N9">
        <f t="shared" si="3"/>
        <v>9</v>
      </c>
      <c r="O9" t="str">
        <f t="shared" si="0"/>
        <v>01/9/2021</v>
      </c>
      <c r="P9" s="82">
        <f t="shared" si="1"/>
        <v>44440</v>
      </c>
      <c r="Q9" s="82">
        <f t="shared" si="2"/>
        <v>44439</v>
      </c>
      <c r="R9" s="85"/>
      <c r="S9" s="44">
        <f t="shared" si="5"/>
        <v>44262</v>
      </c>
      <c r="T9" s="85">
        <f t="shared" si="6"/>
        <v>3</v>
      </c>
    </row>
    <row r="10" spans="2:58" ht="15" customHeight="1" x14ac:dyDescent="0.25">
      <c r="B10" s="168">
        <f t="shared" si="4"/>
        <v>44263</v>
      </c>
      <c r="C10" s="165">
        <f>IF(B10="   ","",IF($L$4=1,(IF($M$3="Todos",SUMIFS(LANÇAMENTOS_01!J:J,LANÇAMENTOS_01!L:L,B10),SUMIFS(LANÇAMENTOS_01!J:J,LANÇAMENTOS_01!L:L,B10,LANÇAMENTOS_01!G:G,$M$3))),IF($M$3="Todos",SUMIFS(LANÇAMENTOS_01!J:J,LANÇAMENTOS_01!K:K,B10),SUMIFS(LANÇAMENTOS_01!J:J,LANÇAMENTOS_01!K:K,B10,LANÇAMENTOS_01!G:G,$M$3))))</f>
        <v>0</v>
      </c>
      <c r="D10" s="166">
        <f>IF(B10="   ","",IF($L$4=1,(IF($M$3="Todos",SUMIFS(LANÇAMENTOS_02!J:J,LANÇAMENTOS_02!L:L,B10),SUMIFS(LANÇAMENTOS_02!J:J,LANÇAMENTOS_02!L:L,B10,LANÇAMENTOS_02!G:G,$M$3))),IF($M$3="Todos",SUMIFS(LANÇAMENTOS_02!J:J,LANÇAMENTOS_02!K:K,B10),SUMIFS(LANÇAMENTOS_02!J:J,LANÇAMENTOS_02!K:K,B10,LANÇAMENTOS_02!G:G,$M$3))))</f>
        <v>0</v>
      </c>
      <c r="E10" s="166">
        <f>IF(B10="   ","",IF($M$3="Todos",SUMIFS(LANÇAMENTOS_03!J:J,LANÇAMENTOS_03!G:G,B10),SUMIFS(LANÇAMENTOS_03!J:J,LANÇAMENTOS_03!K:K,B10,LANÇAMENTOS_03!G:G,$M$3)))</f>
        <v>0</v>
      </c>
      <c r="F10" s="167">
        <f t="shared" si="7"/>
        <v>0</v>
      </c>
      <c r="H10" s="11"/>
      <c r="I10" s="11"/>
      <c r="K10" s="87"/>
      <c r="L10" s="85"/>
      <c r="M10" s="88"/>
      <c r="N10">
        <f t="shared" si="3"/>
        <v>10</v>
      </c>
      <c r="O10" t="str">
        <f t="shared" si="0"/>
        <v>01/10/2021</v>
      </c>
      <c r="P10" s="82">
        <f t="shared" si="1"/>
        <v>44470</v>
      </c>
      <c r="Q10" s="82">
        <f t="shared" si="2"/>
        <v>44469</v>
      </c>
      <c r="R10" s="85"/>
      <c r="S10" s="44">
        <f t="shared" si="5"/>
        <v>44263</v>
      </c>
      <c r="T10" s="85">
        <f t="shared" si="6"/>
        <v>3</v>
      </c>
    </row>
    <row r="11" spans="2:58" ht="15" customHeight="1" x14ac:dyDescent="0.25">
      <c r="B11" s="168">
        <f t="shared" si="4"/>
        <v>44264</v>
      </c>
      <c r="C11" s="165">
        <f>IF(B11="   ","",IF($L$4=1,(IF($M$3="Todos",SUMIFS(LANÇAMENTOS_01!J:J,LANÇAMENTOS_01!L:L,B11),SUMIFS(LANÇAMENTOS_01!J:J,LANÇAMENTOS_01!L:L,B11,LANÇAMENTOS_01!G:G,$M$3))),IF($M$3="Todos",SUMIFS(LANÇAMENTOS_01!J:J,LANÇAMENTOS_01!K:K,B11),SUMIFS(LANÇAMENTOS_01!J:J,LANÇAMENTOS_01!K:K,B11,LANÇAMENTOS_01!G:G,$M$3))))</f>
        <v>0</v>
      </c>
      <c r="D11" s="166">
        <f>IF(B11="   ","",IF($L$4=1,(IF($M$3="Todos",SUMIFS(LANÇAMENTOS_02!J:J,LANÇAMENTOS_02!L:L,B11),SUMIFS(LANÇAMENTOS_02!J:J,LANÇAMENTOS_02!L:L,B11,LANÇAMENTOS_02!G:G,$M$3))),IF($M$3="Todos",SUMIFS(LANÇAMENTOS_02!J:J,LANÇAMENTOS_02!K:K,B11),SUMIFS(LANÇAMENTOS_02!J:J,LANÇAMENTOS_02!K:K,B11,LANÇAMENTOS_02!G:G,$M$3))))</f>
        <v>0</v>
      </c>
      <c r="E11" s="166">
        <f>IF(B11="   ","",IF($M$3="Todos",SUMIFS(LANÇAMENTOS_03!J:J,LANÇAMENTOS_03!G:G,B11),SUMIFS(LANÇAMENTOS_03!J:J,LANÇAMENTOS_03!K:K,B11,LANÇAMENTOS_03!G:G,$M$3)))</f>
        <v>0</v>
      </c>
      <c r="F11" s="167">
        <f t="shared" si="7"/>
        <v>0</v>
      </c>
      <c r="G11" s="183" t="s">
        <v>151</v>
      </c>
      <c r="H11" s="11"/>
      <c r="I11" s="11"/>
      <c r="K11" s="87"/>
      <c r="L11" s="85"/>
      <c r="M11" s="88"/>
      <c r="N11">
        <f t="shared" si="3"/>
        <v>11</v>
      </c>
      <c r="O11" t="str">
        <f t="shared" si="0"/>
        <v>01/11/2021</v>
      </c>
      <c r="P11" s="82">
        <f t="shared" si="1"/>
        <v>44501</v>
      </c>
      <c r="Q11" s="82">
        <f t="shared" si="2"/>
        <v>44500</v>
      </c>
      <c r="R11" s="85"/>
      <c r="S11" s="44">
        <f t="shared" si="5"/>
        <v>44264</v>
      </c>
      <c r="T11" s="85">
        <f t="shared" si="6"/>
        <v>3</v>
      </c>
    </row>
    <row r="12" spans="2:58" ht="15" customHeight="1" x14ac:dyDescent="0.25">
      <c r="B12" s="168">
        <f t="shared" si="4"/>
        <v>44265</v>
      </c>
      <c r="C12" s="165">
        <f>IF(B12="   ","",IF($L$4=1,(IF($M$3="Todos",SUMIFS(LANÇAMENTOS_01!J:J,LANÇAMENTOS_01!L:L,B12),SUMIFS(LANÇAMENTOS_01!J:J,LANÇAMENTOS_01!L:L,B12,LANÇAMENTOS_01!G:G,$M$3))),IF($M$3="Todos",SUMIFS(LANÇAMENTOS_01!J:J,LANÇAMENTOS_01!K:K,B12),SUMIFS(LANÇAMENTOS_01!J:J,LANÇAMENTOS_01!K:K,B12,LANÇAMENTOS_01!G:G,$M$3))))</f>
        <v>0</v>
      </c>
      <c r="D12" s="166">
        <f>IF(B12="   ","",IF($L$4=1,(IF($M$3="Todos",SUMIFS(LANÇAMENTOS_02!J:J,LANÇAMENTOS_02!L:L,B12),SUMIFS(LANÇAMENTOS_02!J:J,LANÇAMENTOS_02!L:L,B12,LANÇAMENTOS_02!G:G,$M$3))),IF($M$3="Todos",SUMIFS(LANÇAMENTOS_02!J:J,LANÇAMENTOS_02!K:K,B12),SUMIFS(LANÇAMENTOS_02!J:J,LANÇAMENTOS_02!K:K,B12,LANÇAMENTOS_02!G:G,$M$3))))</f>
        <v>0</v>
      </c>
      <c r="E12" s="166">
        <f>IF(B12="   ","",IF($M$3="Todos",SUMIFS(LANÇAMENTOS_03!J:J,LANÇAMENTOS_03!G:G,B12),SUMIFS(LANÇAMENTOS_03!J:J,LANÇAMENTOS_03!K:K,B12,LANÇAMENTOS_03!G:G,$M$3)))</f>
        <v>0</v>
      </c>
      <c r="F12" s="167">
        <f t="shared" si="7"/>
        <v>0</v>
      </c>
      <c r="G12" s="11"/>
      <c r="H12" s="11"/>
      <c r="I12" s="11"/>
      <c r="K12" s="87"/>
      <c r="L12" s="85"/>
      <c r="M12" s="88"/>
      <c r="N12">
        <f t="shared" si="3"/>
        <v>12</v>
      </c>
      <c r="O12" t="str">
        <f t="shared" si="0"/>
        <v>01/12/2021</v>
      </c>
      <c r="P12" s="82">
        <f t="shared" si="1"/>
        <v>44531</v>
      </c>
      <c r="Q12" s="82">
        <f t="shared" si="2"/>
        <v>44530</v>
      </c>
      <c r="R12" s="85"/>
      <c r="S12" s="44">
        <f t="shared" si="5"/>
        <v>44265</v>
      </c>
      <c r="T12" s="85">
        <f t="shared" si="6"/>
        <v>3</v>
      </c>
    </row>
    <row r="13" spans="2:58" ht="15" customHeight="1" x14ac:dyDescent="0.25">
      <c r="B13" s="168">
        <f t="shared" si="4"/>
        <v>44266</v>
      </c>
      <c r="C13" s="165">
        <f>IF(B13="   ","",IF($L$4=1,(IF($M$3="Todos",SUMIFS(LANÇAMENTOS_01!J:J,LANÇAMENTOS_01!L:L,B13),SUMIFS(LANÇAMENTOS_01!J:J,LANÇAMENTOS_01!L:L,B13,LANÇAMENTOS_01!G:G,$M$3))),IF($M$3="Todos",SUMIFS(LANÇAMENTOS_01!J:J,LANÇAMENTOS_01!K:K,B13),SUMIFS(LANÇAMENTOS_01!J:J,LANÇAMENTOS_01!K:K,B13,LANÇAMENTOS_01!G:G,$M$3))))</f>
        <v>0</v>
      </c>
      <c r="D13" s="166">
        <f>IF(B13="   ","",IF($L$4=1,(IF($M$3="Todos",SUMIFS(LANÇAMENTOS_02!J:J,LANÇAMENTOS_02!L:L,B13),SUMIFS(LANÇAMENTOS_02!J:J,LANÇAMENTOS_02!L:L,B13,LANÇAMENTOS_02!G:G,$M$3))),IF($M$3="Todos",SUMIFS(LANÇAMENTOS_02!J:J,LANÇAMENTOS_02!K:K,B13),SUMIFS(LANÇAMENTOS_02!J:J,LANÇAMENTOS_02!K:K,B13,LANÇAMENTOS_02!G:G,$M$3))))</f>
        <v>0</v>
      </c>
      <c r="E13" s="166">
        <f>IF(B13="   ","",IF($M$3="Todos",SUMIFS(LANÇAMENTOS_03!J:J,LANÇAMENTOS_03!G:G,B13),SUMIFS(LANÇAMENTOS_03!J:J,LANÇAMENTOS_03!K:K,B13,LANÇAMENTOS_03!G:G,$M$3)))</f>
        <v>0</v>
      </c>
      <c r="F13" s="167">
        <f t="shared" si="7"/>
        <v>0</v>
      </c>
      <c r="G13" s="11"/>
      <c r="H13" s="11"/>
      <c r="I13" s="11"/>
      <c r="K13" s="87"/>
      <c r="L13" s="85"/>
      <c r="M13" s="88"/>
      <c r="N13" s="85"/>
      <c r="O13" s="94"/>
      <c r="P13" s="85"/>
      <c r="Q13" s="13"/>
      <c r="R13" s="85"/>
      <c r="S13" s="44">
        <f t="shared" si="5"/>
        <v>44266</v>
      </c>
      <c r="T13" s="85">
        <f t="shared" si="6"/>
        <v>3</v>
      </c>
    </row>
    <row r="14" spans="2:58" ht="15" customHeight="1" x14ac:dyDescent="0.25">
      <c r="B14" s="168">
        <f t="shared" si="4"/>
        <v>44267</v>
      </c>
      <c r="C14" s="165">
        <f>IF(B14="   ","",IF($L$4=1,(IF($M$3="Todos",SUMIFS(LANÇAMENTOS_01!J:J,LANÇAMENTOS_01!L:L,B14),SUMIFS(LANÇAMENTOS_01!J:J,LANÇAMENTOS_01!L:L,B14,LANÇAMENTOS_01!G:G,$M$3))),IF($M$3="Todos",SUMIFS(LANÇAMENTOS_01!J:J,LANÇAMENTOS_01!K:K,B14),SUMIFS(LANÇAMENTOS_01!J:J,LANÇAMENTOS_01!K:K,B14,LANÇAMENTOS_01!G:G,$M$3))))</f>
        <v>0</v>
      </c>
      <c r="D14" s="166">
        <f>IF(B14="   ","",IF($L$4=1,(IF($M$3="Todos",SUMIFS(LANÇAMENTOS_02!J:J,LANÇAMENTOS_02!L:L,B14),SUMIFS(LANÇAMENTOS_02!J:J,LANÇAMENTOS_02!L:L,B14,LANÇAMENTOS_02!G:G,$M$3))),IF($M$3="Todos",SUMIFS(LANÇAMENTOS_02!J:J,LANÇAMENTOS_02!K:K,B14),SUMIFS(LANÇAMENTOS_02!J:J,LANÇAMENTOS_02!K:K,B14,LANÇAMENTOS_02!G:G,$M$3))))</f>
        <v>0</v>
      </c>
      <c r="E14" s="166">
        <f>IF(B14="   ","",IF($M$3="Todos",SUMIFS(LANÇAMENTOS_03!J:J,LANÇAMENTOS_03!G:G,B14),SUMIFS(LANÇAMENTOS_03!J:J,LANÇAMENTOS_03!K:K,B14,LANÇAMENTOS_03!G:G,$M$3)))</f>
        <v>0</v>
      </c>
      <c r="F14" s="167">
        <f t="shared" si="7"/>
        <v>0</v>
      </c>
      <c r="H14" s="11"/>
      <c r="I14" s="11"/>
      <c r="K14" s="87"/>
      <c r="L14" s="85"/>
      <c r="M14" s="88"/>
      <c r="N14" s="85"/>
      <c r="O14" s="94"/>
      <c r="P14" s="13"/>
      <c r="Q14" s="13"/>
      <c r="R14" s="85"/>
      <c r="S14" s="44">
        <f t="shared" si="5"/>
        <v>44267</v>
      </c>
      <c r="T14" s="85">
        <f t="shared" si="6"/>
        <v>3</v>
      </c>
    </row>
    <row r="15" spans="2:58" ht="15" customHeight="1" x14ac:dyDescent="0.25">
      <c r="B15" s="168">
        <f t="shared" si="4"/>
        <v>44268</v>
      </c>
      <c r="C15" s="165">
        <f>IF(B15="   ","",IF($L$4=1,(IF($M$3="Todos",SUMIFS(LANÇAMENTOS_01!J:J,LANÇAMENTOS_01!L:L,B15),SUMIFS(LANÇAMENTOS_01!J:J,LANÇAMENTOS_01!L:L,B15,LANÇAMENTOS_01!G:G,$M$3))),IF($M$3="Todos",SUMIFS(LANÇAMENTOS_01!J:J,LANÇAMENTOS_01!K:K,B15),SUMIFS(LANÇAMENTOS_01!J:J,LANÇAMENTOS_01!K:K,B15,LANÇAMENTOS_01!G:G,$M$3))))</f>
        <v>0</v>
      </c>
      <c r="D15" s="166">
        <f>IF(B15="   ","",IF($L$4=1,(IF($M$3="Todos",SUMIFS(LANÇAMENTOS_02!J:J,LANÇAMENTOS_02!L:L,B15),SUMIFS(LANÇAMENTOS_02!J:J,LANÇAMENTOS_02!L:L,B15,LANÇAMENTOS_02!G:G,$M$3))),IF($M$3="Todos",SUMIFS(LANÇAMENTOS_02!J:J,LANÇAMENTOS_02!K:K,B15),SUMIFS(LANÇAMENTOS_02!J:J,LANÇAMENTOS_02!K:K,B15,LANÇAMENTOS_02!G:G,$M$3))))</f>
        <v>0</v>
      </c>
      <c r="E15" s="166">
        <f>IF(B15="   ","",IF($M$3="Todos",SUMIFS(LANÇAMENTOS_03!J:J,LANÇAMENTOS_03!G:G,B15),SUMIFS(LANÇAMENTOS_03!J:J,LANÇAMENTOS_03!K:K,B15,LANÇAMENTOS_03!G:G,$M$3)))</f>
        <v>0</v>
      </c>
      <c r="F15" s="167">
        <f t="shared" si="7"/>
        <v>0</v>
      </c>
      <c r="H15" s="309" t="s">
        <v>81</v>
      </c>
      <c r="I15" s="309"/>
      <c r="K15" s="87"/>
      <c r="L15" s="85"/>
      <c r="M15" s="88"/>
      <c r="N15" s="85"/>
      <c r="O15" s="13" t="str">
        <f>"01/"&amp;L2&amp;"/"&amp;M1</f>
        <v>01/3/2021</v>
      </c>
      <c r="P15" s="14"/>
      <c r="Q15" s="13"/>
      <c r="R15" s="89"/>
      <c r="S15" s="44">
        <f t="shared" si="5"/>
        <v>44268</v>
      </c>
      <c r="T15" s="85">
        <f t="shared" si="6"/>
        <v>3</v>
      </c>
    </row>
    <row r="16" spans="2:58" ht="15" customHeight="1" x14ac:dyDescent="0.25">
      <c r="B16" s="168">
        <f t="shared" si="4"/>
        <v>44269</v>
      </c>
      <c r="C16" s="165">
        <f>IF(B16="   ","",IF($L$4=1,(IF($M$3="Todos",SUMIFS(LANÇAMENTOS_01!J:J,LANÇAMENTOS_01!L:L,B16),SUMIFS(LANÇAMENTOS_01!J:J,LANÇAMENTOS_01!L:L,B16,LANÇAMENTOS_01!G:G,$M$3))),IF($M$3="Todos",SUMIFS(LANÇAMENTOS_01!J:J,LANÇAMENTOS_01!K:K,B16),SUMIFS(LANÇAMENTOS_01!J:J,LANÇAMENTOS_01!K:K,B16,LANÇAMENTOS_01!G:G,$M$3))))</f>
        <v>0</v>
      </c>
      <c r="D16" s="166">
        <f>IF(B16="   ","",IF($L$4=1,(IF($M$3="Todos",SUMIFS(LANÇAMENTOS_02!J:J,LANÇAMENTOS_02!L:L,B16),SUMIFS(LANÇAMENTOS_02!J:J,LANÇAMENTOS_02!L:L,B16,LANÇAMENTOS_02!G:G,$M$3))),IF($M$3="Todos",SUMIFS(LANÇAMENTOS_02!J:J,LANÇAMENTOS_02!K:K,B16),SUMIFS(LANÇAMENTOS_02!J:J,LANÇAMENTOS_02!K:K,B16,LANÇAMENTOS_02!G:G,$M$3))))</f>
        <v>0</v>
      </c>
      <c r="E16" s="166">
        <f>IF(B16="   ","",IF($M$3="Todos",SUMIFS(LANÇAMENTOS_03!J:J,LANÇAMENTOS_03!G:G,B16),SUMIFS(LANÇAMENTOS_03!J:J,LANÇAMENTOS_03!K:K,B16,LANÇAMENTOS_03!G:G,$M$3)))</f>
        <v>0</v>
      </c>
      <c r="F16" s="167">
        <f t="shared" si="7"/>
        <v>0</v>
      </c>
      <c r="H16" s="310">
        <f>I18+I20-I22+I24</f>
        <v>0</v>
      </c>
      <c r="I16" s="311"/>
      <c r="K16" s="87"/>
      <c r="L16" s="85"/>
      <c r="M16" s="88"/>
      <c r="N16" s="85"/>
      <c r="O16" s="13"/>
      <c r="P16" s="14"/>
      <c r="Q16" s="13"/>
      <c r="R16" s="85"/>
      <c r="S16" s="44">
        <f t="shared" si="5"/>
        <v>44269</v>
      </c>
      <c r="T16" s="85">
        <f t="shared" si="6"/>
        <v>3</v>
      </c>
    </row>
    <row r="17" spans="2:20" ht="15" customHeight="1" x14ac:dyDescent="0.25">
      <c r="B17" s="168">
        <f t="shared" si="4"/>
        <v>44270</v>
      </c>
      <c r="C17" s="165">
        <f>IF(B17="   ","",IF($L$4=1,(IF($M$3="Todos",SUMIFS(LANÇAMENTOS_01!J:J,LANÇAMENTOS_01!L:L,B17),SUMIFS(LANÇAMENTOS_01!J:J,LANÇAMENTOS_01!L:L,B17,LANÇAMENTOS_01!G:G,$M$3))),IF($M$3="Todos",SUMIFS(LANÇAMENTOS_01!J:J,LANÇAMENTOS_01!K:K,B17),SUMIFS(LANÇAMENTOS_01!J:J,LANÇAMENTOS_01!K:K,B17,LANÇAMENTOS_01!G:G,$M$3))))</f>
        <v>0</v>
      </c>
      <c r="D17" s="166">
        <f>IF(B17="   ","",IF($L$4=1,(IF($M$3="Todos",SUMIFS(LANÇAMENTOS_02!J:J,LANÇAMENTOS_02!L:L,B17),SUMIFS(LANÇAMENTOS_02!J:J,LANÇAMENTOS_02!L:L,B17,LANÇAMENTOS_02!G:G,$M$3))),IF($M$3="Todos",SUMIFS(LANÇAMENTOS_02!J:J,LANÇAMENTOS_02!K:K,B17),SUMIFS(LANÇAMENTOS_02!J:J,LANÇAMENTOS_02!K:K,B17,LANÇAMENTOS_02!G:G,$M$3))))</f>
        <v>0</v>
      </c>
      <c r="E17" s="166">
        <f>IF(B17="   ","",IF($M$3="Todos",SUMIFS(LANÇAMENTOS_03!J:J,LANÇAMENTOS_03!G:G,B17),SUMIFS(LANÇAMENTOS_03!J:J,LANÇAMENTOS_03!K:K,B17,LANÇAMENTOS_03!G:G,$M$3)))</f>
        <v>0</v>
      </c>
      <c r="F17" s="167">
        <f t="shared" si="7"/>
        <v>0</v>
      </c>
      <c r="H17" s="311"/>
      <c r="I17" s="311"/>
      <c r="K17" s="87"/>
      <c r="L17" s="85"/>
      <c r="M17" s="88"/>
      <c r="N17" s="85"/>
      <c r="O17" s="13"/>
      <c r="P17" s="14"/>
      <c r="Q17" s="13"/>
      <c r="R17" s="85"/>
      <c r="S17" s="44">
        <f t="shared" si="5"/>
        <v>44270</v>
      </c>
      <c r="T17" s="85">
        <f t="shared" si="6"/>
        <v>3</v>
      </c>
    </row>
    <row r="18" spans="2:20" ht="15" customHeight="1" x14ac:dyDescent="0.25">
      <c r="B18" s="168">
        <f t="shared" si="4"/>
        <v>44271</v>
      </c>
      <c r="C18" s="165">
        <f>IF(B18="   ","",IF($L$4=1,(IF($M$3="Todos",SUMIFS(LANÇAMENTOS_01!J:J,LANÇAMENTOS_01!L:L,B18),SUMIFS(LANÇAMENTOS_01!J:J,LANÇAMENTOS_01!L:L,B18,LANÇAMENTOS_01!G:G,$M$3))),IF($M$3="Todos",SUMIFS(LANÇAMENTOS_01!J:J,LANÇAMENTOS_01!K:K,B18),SUMIFS(LANÇAMENTOS_01!J:J,LANÇAMENTOS_01!K:K,B18,LANÇAMENTOS_01!G:G,$M$3))))</f>
        <v>0</v>
      </c>
      <c r="D18" s="166">
        <f>IF(B18="   ","",IF($L$4=1,(IF($M$3="Todos",SUMIFS(LANÇAMENTOS_02!J:J,LANÇAMENTOS_02!L:L,B18),SUMIFS(LANÇAMENTOS_02!J:J,LANÇAMENTOS_02!L:L,B18,LANÇAMENTOS_02!G:G,$M$3))),IF($M$3="Todos",SUMIFS(LANÇAMENTOS_02!J:J,LANÇAMENTOS_02!K:K,B18),SUMIFS(LANÇAMENTOS_02!J:J,LANÇAMENTOS_02!K:K,B18,LANÇAMENTOS_02!G:G,$M$3))))</f>
        <v>0</v>
      </c>
      <c r="E18" s="166">
        <f>IF(B18="   ","",IF($M$3="Todos",SUMIFS(LANÇAMENTOS_03!J:J,LANÇAMENTOS_03!G:G,B18),SUMIFS(LANÇAMENTOS_03!J:J,LANÇAMENTOS_03!K:K,B18,LANÇAMENTOS_03!G:G,$M$3)))</f>
        <v>0</v>
      </c>
      <c r="F18" s="167">
        <f t="shared" si="7"/>
        <v>0</v>
      </c>
      <c r="H18" s="312" t="s">
        <v>52</v>
      </c>
      <c r="I18" s="314">
        <f>F1</f>
        <v>0</v>
      </c>
      <c r="K18" s="87"/>
      <c r="L18" s="85"/>
      <c r="M18" s="88"/>
      <c r="N18" s="85"/>
      <c r="O18" s="13"/>
      <c r="P18" s="14"/>
      <c r="Q18" s="13"/>
      <c r="R18" s="85"/>
      <c r="S18" s="44">
        <f t="shared" si="5"/>
        <v>44271</v>
      </c>
      <c r="T18" s="85">
        <f t="shared" si="6"/>
        <v>3</v>
      </c>
    </row>
    <row r="19" spans="2:20" ht="15" customHeight="1" x14ac:dyDescent="0.25">
      <c r="B19" s="168">
        <f t="shared" si="4"/>
        <v>44272</v>
      </c>
      <c r="C19" s="165">
        <f>IF(B19="   ","",IF($L$4=1,(IF($M$3="Todos",SUMIFS(LANÇAMENTOS_01!J:J,LANÇAMENTOS_01!L:L,B19),SUMIFS(LANÇAMENTOS_01!J:J,LANÇAMENTOS_01!L:L,B19,LANÇAMENTOS_01!G:G,$M$3))),IF($M$3="Todos",SUMIFS(LANÇAMENTOS_01!J:J,LANÇAMENTOS_01!K:K,B19),SUMIFS(LANÇAMENTOS_01!J:J,LANÇAMENTOS_01!K:K,B19,LANÇAMENTOS_01!G:G,$M$3))))</f>
        <v>0</v>
      </c>
      <c r="D19" s="166">
        <f>IF(B19="   ","",IF($L$4=1,(IF($M$3="Todos",SUMIFS(LANÇAMENTOS_02!J:J,LANÇAMENTOS_02!L:L,B19),SUMIFS(LANÇAMENTOS_02!J:J,LANÇAMENTOS_02!L:L,B19,LANÇAMENTOS_02!G:G,$M$3))),IF($M$3="Todos",SUMIFS(LANÇAMENTOS_02!J:J,LANÇAMENTOS_02!K:K,B19),SUMIFS(LANÇAMENTOS_02!J:J,LANÇAMENTOS_02!K:K,B19,LANÇAMENTOS_02!G:G,$M$3))))</f>
        <v>0</v>
      </c>
      <c r="E19" s="166">
        <f>IF(B19="   ","",IF($M$3="Todos",SUMIFS(LANÇAMENTOS_03!J:J,LANÇAMENTOS_03!G:G,B19),SUMIFS(LANÇAMENTOS_03!J:J,LANÇAMENTOS_03!K:K,B19,LANÇAMENTOS_03!G:G,$M$3)))</f>
        <v>0</v>
      </c>
      <c r="F19" s="167">
        <f t="shared" si="7"/>
        <v>0</v>
      </c>
      <c r="H19" s="313"/>
      <c r="I19" s="315"/>
      <c r="K19" s="87"/>
      <c r="L19" s="85"/>
      <c r="M19" s="88"/>
      <c r="N19" s="85"/>
      <c r="O19" s="13"/>
      <c r="P19" s="14"/>
      <c r="Q19" s="13"/>
      <c r="R19" s="85"/>
      <c r="S19" s="44">
        <f t="shared" si="5"/>
        <v>44272</v>
      </c>
      <c r="T19" s="85">
        <f t="shared" si="6"/>
        <v>3</v>
      </c>
    </row>
    <row r="20" spans="2:20" ht="15" customHeight="1" x14ac:dyDescent="0.25">
      <c r="B20" s="168">
        <f t="shared" si="4"/>
        <v>44273</v>
      </c>
      <c r="C20" s="165">
        <f>IF(B20="   ","",IF($L$4=1,(IF($M$3="Todos",SUMIFS(LANÇAMENTOS_01!J:J,LANÇAMENTOS_01!L:L,B20),SUMIFS(LANÇAMENTOS_01!J:J,LANÇAMENTOS_01!L:L,B20,LANÇAMENTOS_01!G:G,$M$3))),IF($M$3="Todos",SUMIFS(LANÇAMENTOS_01!J:J,LANÇAMENTOS_01!K:K,B20),SUMIFS(LANÇAMENTOS_01!J:J,LANÇAMENTOS_01!K:K,B20,LANÇAMENTOS_01!G:G,$M$3))))</f>
        <v>0</v>
      </c>
      <c r="D20" s="166">
        <f>IF(B20="   ","",IF($L$4=1,(IF($M$3="Todos",SUMIFS(LANÇAMENTOS_02!J:J,LANÇAMENTOS_02!L:L,B20),SUMIFS(LANÇAMENTOS_02!J:J,LANÇAMENTOS_02!L:L,B20,LANÇAMENTOS_02!G:G,$M$3))),IF($M$3="Todos",SUMIFS(LANÇAMENTOS_02!J:J,LANÇAMENTOS_02!K:K,B20),SUMIFS(LANÇAMENTOS_02!J:J,LANÇAMENTOS_02!K:K,B20,LANÇAMENTOS_02!G:G,$M$3))))</f>
        <v>0</v>
      </c>
      <c r="E20" s="166">
        <f>IF(B20="   ","",IF($M$3="Todos",SUMIFS(LANÇAMENTOS_03!J:J,LANÇAMENTOS_03!G:G,B20),SUMIFS(LANÇAMENTOS_03!J:J,LANÇAMENTOS_03!K:K,B20,LANÇAMENTOS_03!G:G,$M$3)))</f>
        <v>0</v>
      </c>
      <c r="F20" s="167">
        <f t="shared" si="7"/>
        <v>0</v>
      </c>
      <c r="H20" s="316" t="s">
        <v>74</v>
      </c>
      <c r="I20" s="318">
        <f>SUM(C3:C33)</f>
        <v>0</v>
      </c>
      <c r="K20" s="87"/>
      <c r="L20" s="85"/>
      <c r="M20" s="88"/>
      <c r="N20" s="85"/>
      <c r="O20" s="13"/>
      <c r="P20" s="14"/>
      <c r="Q20" s="13"/>
      <c r="R20" s="85"/>
      <c r="S20" s="44">
        <f t="shared" si="5"/>
        <v>44273</v>
      </c>
      <c r="T20" s="85">
        <f t="shared" si="6"/>
        <v>3</v>
      </c>
    </row>
    <row r="21" spans="2:20" ht="15" customHeight="1" x14ac:dyDescent="0.25">
      <c r="B21" s="168">
        <f t="shared" si="4"/>
        <v>44274</v>
      </c>
      <c r="C21" s="165">
        <f>IF(B21="   ","",IF($L$4=1,(IF($M$3="Todos",SUMIFS(LANÇAMENTOS_01!J:J,LANÇAMENTOS_01!L:L,B21),SUMIFS(LANÇAMENTOS_01!J:J,LANÇAMENTOS_01!L:L,B21,LANÇAMENTOS_01!G:G,$M$3))),IF($M$3="Todos",SUMIFS(LANÇAMENTOS_01!J:J,LANÇAMENTOS_01!K:K,B21),SUMIFS(LANÇAMENTOS_01!J:J,LANÇAMENTOS_01!K:K,B21,LANÇAMENTOS_01!G:G,$M$3))))</f>
        <v>0</v>
      </c>
      <c r="D21" s="166">
        <f>IF(B21="   ","",IF($L$4=1,(IF($M$3="Todos",SUMIFS(LANÇAMENTOS_02!J:J,LANÇAMENTOS_02!L:L,B21),SUMIFS(LANÇAMENTOS_02!J:J,LANÇAMENTOS_02!L:L,B21,LANÇAMENTOS_02!G:G,$M$3))),IF($M$3="Todos",SUMIFS(LANÇAMENTOS_02!J:J,LANÇAMENTOS_02!K:K,B21),SUMIFS(LANÇAMENTOS_02!J:J,LANÇAMENTOS_02!K:K,B21,LANÇAMENTOS_02!G:G,$M$3))))</f>
        <v>0</v>
      </c>
      <c r="E21" s="166">
        <f>IF(B21="   ","",IF($M$3="Todos",SUMIFS(LANÇAMENTOS_03!J:J,LANÇAMENTOS_03!G:G,B21),SUMIFS(LANÇAMENTOS_03!J:J,LANÇAMENTOS_03!K:K,B21,LANÇAMENTOS_03!G:G,$M$3)))</f>
        <v>0</v>
      </c>
      <c r="F21" s="167">
        <f t="shared" si="7"/>
        <v>0</v>
      </c>
      <c r="H21" s="317"/>
      <c r="I21" s="319"/>
      <c r="K21" s="87"/>
      <c r="L21" s="85"/>
      <c r="M21" s="88"/>
      <c r="N21" s="85"/>
      <c r="O21" s="13"/>
      <c r="P21" s="14"/>
      <c r="Q21" s="13"/>
      <c r="R21" s="85"/>
      <c r="S21" s="44">
        <f t="shared" si="5"/>
        <v>44274</v>
      </c>
      <c r="T21" s="85">
        <f t="shared" si="6"/>
        <v>3</v>
      </c>
    </row>
    <row r="22" spans="2:20" ht="15" customHeight="1" x14ac:dyDescent="0.25">
      <c r="B22" s="168">
        <f t="shared" si="4"/>
        <v>44275</v>
      </c>
      <c r="C22" s="165">
        <f>IF(B22="   ","",IF($L$4=1,(IF($M$3="Todos",SUMIFS(LANÇAMENTOS_01!J:J,LANÇAMENTOS_01!L:L,B22),SUMIFS(LANÇAMENTOS_01!J:J,LANÇAMENTOS_01!L:L,B22,LANÇAMENTOS_01!G:G,$M$3))),IF($M$3="Todos",SUMIFS(LANÇAMENTOS_01!J:J,LANÇAMENTOS_01!K:K,B22),SUMIFS(LANÇAMENTOS_01!J:J,LANÇAMENTOS_01!K:K,B22,LANÇAMENTOS_01!G:G,$M$3))))</f>
        <v>0</v>
      </c>
      <c r="D22" s="166">
        <f>IF(B22="   ","",IF($L$4=1,(IF($M$3="Todos",SUMIFS(LANÇAMENTOS_02!J:J,LANÇAMENTOS_02!L:L,B22),SUMIFS(LANÇAMENTOS_02!J:J,LANÇAMENTOS_02!L:L,B22,LANÇAMENTOS_02!G:G,$M$3))),IF($M$3="Todos",SUMIFS(LANÇAMENTOS_02!J:J,LANÇAMENTOS_02!K:K,B22),SUMIFS(LANÇAMENTOS_02!J:J,LANÇAMENTOS_02!K:K,B22,LANÇAMENTOS_02!G:G,$M$3))))</f>
        <v>0</v>
      </c>
      <c r="E22" s="166">
        <f>IF(B22="   ","",IF($M$3="Todos",SUMIFS(LANÇAMENTOS_03!J:J,LANÇAMENTOS_03!G:G,B22),SUMIFS(LANÇAMENTOS_03!J:J,LANÇAMENTOS_03!K:K,B22,LANÇAMENTOS_03!G:G,$M$3)))</f>
        <v>0</v>
      </c>
      <c r="F22" s="167">
        <f t="shared" si="7"/>
        <v>0</v>
      </c>
      <c r="H22" s="305" t="s">
        <v>75</v>
      </c>
      <c r="I22" s="306">
        <f>SUM(D3:D33)</f>
        <v>0</v>
      </c>
      <c r="K22" s="87"/>
      <c r="L22" s="85"/>
      <c r="M22" s="88"/>
      <c r="N22" s="85"/>
      <c r="O22" s="13"/>
      <c r="P22" s="14"/>
      <c r="Q22" s="13"/>
      <c r="R22" s="85"/>
      <c r="S22" s="44">
        <f t="shared" si="5"/>
        <v>44275</v>
      </c>
      <c r="T22" s="85">
        <f t="shared" si="6"/>
        <v>3</v>
      </c>
    </row>
    <row r="23" spans="2:20" ht="15" customHeight="1" x14ac:dyDescent="0.25">
      <c r="B23" s="168">
        <f t="shared" si="4"/>
        <v>44276</v>
      </c>
      <c r="C23" s="165">
        <f>IF(B23="   ","",IF($L$4=1,(IF($M$3="Todos",SUMIFS(LANÇAMENTOS_01!J:J,LANÇAMENTOS_01!L:L,B23),SUMIFS(LANÇAMENTOS_01!J:J,LANÇAMENTOS_01!L:L,B23,LANÇAMENTOS_01!G:G,$M$3))),IF($M$3="Todos",SUMIFS(LANÇAMENTOS_01!J:J,LANÇAMENTOS_01!K:K,B23),SUMIFS(LANÇAMENTOS_01!J:J,LANÇAMENTOS_01!K:K,B23,LANÇAMENTOS_01!G:G,$M$3))))</f>
        <v>0</v>
      </c>
      <c r="D23" s="166">
        <f>IF(B23="   ","",IF($L$4=1,(IF($M$3="Todos",SUMIFS(LANÇAMENTOS_02!J:J,LANÇAMENTOS_02!L:L,B23),SUMIFS(LANÇAMENTOS_02!J:J,LANÇAMENTOS_02!L:L,B23,LANÇAMENTOS_02!G:G,$M$3))),IF($M$3="Todos",SUMIFS(LANÇAMENTOS_02!J:J,LANÇAMENTOS_02!K:K,B23),SUMIFS(LANÇAMENTOS_02!J:J,LANÇAMENTOS_02!K:K,B23,LANÇAMENTOS_02!G:G,$M$3))))</f>
        <v>0</v>
      </c>
      <c r="E23" s="166">
        <f>IF(B23="   ","",IF($M$3="Todos",SUMIFS(LANÇAMENTOS_03!J:J,LANÇAMENTOS_03!G:G,B23),SUMIFS(LANÇAMENTOS_03!J:J,LANÇAMENTOS_03!K:K,B23,LANÇAMENTOS_03!G:G,$M$3)))</f>
        <v>0</v>
      </c>
      <c r="F23" s="167">
        <f t="shared" si="7"/>
        <v>0</v>
      </c>
      <c r="H23" s="305"/>
      <c r="I23" s="306"/>
      <c r="K23" s="87"/>
      <c r="L23" s="85"/>
      <c r="M23" s="88"/>
      <c r="N23" s="85"/>
      <c r="O23" s="13"/>
      <c r="P23" s="14"/>
      <c r="Q23" s="13"/>
      <c r="R23" s="85"/>
      <c r="S23" s="44">
        <f t="shared" si="5"/>
        <v>44276</v>
      </c>
      <c r="T23" s="85">
        <f t="shared" si="6"/>
        <v>3</v>
      </c>
    </row>
    <row r="24" spans="2:20" ht="15" customHeight="1" x14ac:dyDescent="0.25">
      <c r="B24" s="168">
        <f t="shared" si="4"/>
        <v>44277</v>
      </c>
      <c r="C24" s="165">
        <f>IF(B24="   ","",IF($L$4=1,(IF($M$3="Todos",SUMIFS(LANÇAMENTOS_01!J:J,LANÇAMENTOS_01!L:L,B24),SUMIFS(LANÇAMENTOS_01!J:J,LANÇAMENTOS_01!L:L,B24,LANÇAMENTOS_01!G:G,$M$3))),IF($M$3="Todos",SUMIFS(LANÇAMENTOS_01!J:J,LANÇAMENTOS_01!K:K,B24),SUMIFS(LANÇAMENTOS_01!J:J,LANÇAMENTOS_01!K:K,B24,LANÇAMENTOS_01!G:G,$M$3))))</f>
        <v>0</v>
      </c>
      <c r="D24" s="166">
        <f>IF(B24="   ","",IF($L$4=1,(IF($M$3="Todos",SUMIFS(LANÇAMENTOS_02!J:J,LANÇAMENTOS_02!L:L,B24),SUMIFS(LANÇAMENTOS_02!J:J,LANÇAMENTOS_02!L:L,B24,LANÇAMENTOS_02!G:G,$M$3))),IF($M$3="Todos",SUMIFS(LANÇAMENTOS_02!J:J,LANÇAMENTOS_02!K:K,B24),SUMIFS(LANÇAMENTOS_02!J:J,LANÇAMENTOS_02!K:K,B24,LANÇAMENTOS_02!G:G,$M$3))))</f>
        <v>0</v>
      </c>
      <c r="E24" s="166">
        <f>IF(B24="   ","",IF($M$3="Todos",SUMIFS(LANÇAMENTOS_03!J:J,LANÇAMENTOS_03!G:G,B24),SUMIFS(LANÇAMENTOS_03!J:J,LANÇAMENTOS_03!K:K,B24,LANÇAMENTOS_03!G:G,$M$3)))</f>
        <v>0</v>
      </c>
      <c r="F24" s="167">
        <f t="shared" si="7"/>
        <v>0</v>
      </c>
      <c r="H24" s="307" t="s">
        <v>82</v>
      </c>
      <c r="I24" s="308">
        <f>SUM(E3:E33)</f>
        <v>0</v>
      </c>
      <c r="K24" s="87"/>
      <c r="L24" s="85"/>
      <c r="M24" s="88"/>
      <c r="N24" s="85"/>
      <c r="O24" s="13"/>
      <c r="P24" s="14"/>
      <c r="Q24" s="13"/>
      <c r="R24" s="85"/>
      <c r="S24" s="44">
        <f t="shared" si="5"/>
        <v>44277</v>
      </c>
      <c r="T24" s="85">
        <f t="shared" si="6"/>
        <v>3</v>
      </c>
    </row>
    <row r="25" spans="2:20" ht="15" customHeight="1" x14ac:dyDescent="0.25">
      <c r="B25" s="168">
        <f t="shared" si="4"/>
        <v>44278</v>
      </c>
      <c r="C25" s="165">
        <f>IF(B25="   ","",IF($L$4=1,(IF($M$3="Todos",SUMIFS(LANÇAMENTOS_01!J:J,LANÇAMENTOS_01!L:L,B25),SUMIFS(LANÇAMENTOS_01!J:J,LANÇAMENTOS_01!L:L,B25,LANÇAMENTOS_01!G:G,$M$3))),IF($M$3="Todos",SUMIFS(LANÇAMENTOS_01!J:J,LANÇAMENTOS_01!K:K,B25),SUMIFS(LANÇAMENTOS_01!J:J,LANÇAMENTOS_01!K:K,B25,LANÇAMENTOS_01!G:G,$M$3))))</f>
        <v>0</v>
      </c>
      <c r="D25" s="166">
        <f>IF(B25="   ","",IF($L$4=1,(IF($M$3="Todos",SUMIFS(LANÇAMENTOS_02!J:J,LANÇAMENTOS_02!L:L,B25),SUMIFS(LANÇAMENTOS_02!J:J,LANÇAMENTOS_02!L:L,B25,LANÇAMENTOS_02!G:G,$M$3))),IF($M$3="Todos",SUMIFS(LANÇAMENTOS_02!J:J,LANÇAMENTOS_02!K:K,B25),SUMIFS(LANÇAMENTOS_02!J:J,LANÇAMENTOS_02!K:K,B25,LANÇAMENTOS_02!G:G,$M$3))))</f>
        <v>0</v>
      </c>
      <c r="E25" s="166">
        <f>IF(B25="   ","",IF($M$3="Todos",SUMIFS(LANÇAMENTOS_03!J:J,LANÇAMENTOS_03!G:G,B25),SUMIFS(LANÇAMENTOS_03!J:J,LANÇAMENTOS_03!K:K,B25,LANÇAMENTOS_03!G:G,$M$3)))</f>
        <v>0</v>
      </c>
      <c r="F25" s="167">
        <f t="shared" si="7"/>
        <v>0</v>
      </c>
      <c r="H25" s="307"/>
      <c r="I25" s="308"/>
      <c r="K25" s="87"/>
      <c r="L25" s="85"/>
      <c r="M25" s="88"/>
      <c r="N25" s="85"/>
      <c r="O25" s="13"/>
      <c r="P25" s="14"/>
      <c r="Q25" s="13"/>
      <c r="R25" s="85"/>
      <c r="S25" s="44">
        <f t="shared" si="5"/>
        <v>44278</v>
      </c>
      <c r="T25" s="85">
        <f t="shared" si="6"/>
        <v>3</v>
      </c>
    </row>
    <row r="26" spans="2:20" ht="15" customHeight="1" x14ac:dyDescent="0.25">
      <c r="B26" s="168">
        <f t="shared" si="4"/>
        <v>44279</v>
      </c>
      <c r="C26" s="165">
        <f>IF(B26="   ","",IF($L$4=1,(IF($M$3="Todos",SUMIFS(LANÇAMENTOS_01!J:J,LANÇAMENTOS_01!L:L,B26),SUMIFS(LANÇAMENTOS_01!J:J,LANÇAMENTOS_01!L:L,B26,LANÇAMENTOS_01!G:G,$M$3))),IF($M$3="Todos",SUMIFS(LANÇAMENTOS_01!J:J,LANÇAMENTOS_01!K:K,B26),SUMIFS(LANÇAMENTOS_01!J:J,LANÇAMENTOS_01!K:K,B26,LANÇAMENTOS_01!G:G,$M$3))))</f>
        <v>0</v>
      </c>
      <c r="D26" s="166">
        <f>IF(B26="   ","",IF($L$4=1,(IF($M$3="Todos",SUMIFS(LANÇAMENTOS_02!J:J,LANÇAMENTOS_02!L:L,B26),SUMIFS(LANÇAMENTOS_02!J:J,LANÇAMENTOS_02!L:L,B26,LANÇAMENTOS_02!G:G,$M$3))),IF($M$3="Todos",SUMIFS(LANÇAMENTOS_02!J:J,LANÇAMENTOS_02!K:K,B26),SUMIFS(LANÇAMENTOS_02!J:J,LANÇAMENTOS_02!K:K,B26,LANÇAMENTOS_02!G:G,$M$3))))</f>
        <v>0</v>
      </c>
      <c r="E26" s="166">
        <f>IF(B26="   ","",IF($M$3="Todos",SUMIFS(LANÇAMENTOS_03!J:J,LANÇAMENTOS_03!G:G,B26),SUMIFS(LANÇAMENTOS_03!J:J,LANÇAMENTOS_03!K:K,B26,LANÇAMENTOS_03!G:G,$M$3)))</f>
        <v>0</v>
      </c>
      <c r="F26" s="167">
        <f t="shared" si="7"/>
        <v>0</v>
      </c>
      <c r="K26" s="87"/>
      <c r="L26" s="85"/>
      <c r="M26" s="88"/>
      <c r="N26" s="85"/>
      <c r="O26" s="13"/>
      <c r="P26" s="14"/>
      <c r="Q26" s="13"/>
      <c r="R26" s="85"/>
      <c r="S26" s="44">
        <f t="shared" si="5"/>
        <v>44279</v>
      </c>
      <c r="T26" s="85">
        <f t="shared" si="6"/>
        <v>3</v>
      </c>
    </row>
    <row r="27" spans="2:20" ht="15" customHeight="1" x14ac:dyDescent="0.25">
      <c r="B27" s="168">
        <f t="shared" si="4"/>
        <v>44280</v>
      </c>
      <c r="C27" s="165">
        <f>IF(B27="   ","",IF($L$4=1,(IF($M$3="Todos",SUMIFS(LANÇAMENTOS_01!J:J,LANÇAMENTOS_01!L:L,B27),SUMIFS(LANÇAMENTOS_01!J:J,LANÇAMENTOS_01!L:L,B27,LANÇAMENTOS_01!G:G,$M$3))),IF($M$3="Todos",SUMIFS(LANÇAMENTOS_01!J:J,LANÇAMENTOS_01!K:K,B27),SUMIFS(LANÇAMENTOS_01!J:J,LANÇAMENTOS_01!K:K,B27,LANÇAMENTOS_01!G:G,$M$3))))</f>
        <v>0</v>
      </c>
      <c r="D27" s="166">
        <f>IF(B27="   ","",IF($L$4=1,(IF($M$3="Todos",SUMIFS(LANÇAMENTOS_02!J:J,LANÇAMENTOS_02!L:L,B27),SUMIFS(LANÇAMENTOS_02!J:J,LANÇAMENTOS_02!L:L,B27,LANÇAMENTOS_02!G:G,$M$3))),IF($M$3="Todos",SUMIFS(LANÇAMENTOS_02!J:J,LANÇAMENTOS_02!K:K,B27),SUMIFS(LANÇAMENTOS_02!J:J,LANÇAMENTOS_02!K:K,B27,LANÇAMENTOS_02!G:G,$M$3))))</f>
        <v>0</v>
      </c>
      <c r="E27" s="166">
        <f>IF(B27="   ","",IF($M$3="Todos",SUMIFS(LANÇAMENTOS_03!J:J,LANÇAMENTOS_03!G:G,B27),SUMIFS(LANÇAMENTOS_03!J:J,LANÇAMENTOS_03!K:K,B27,LANÇAMENTOS_03!G:G,$M$3)))</f>
        <v>0</v>
      </c>
      <c r="F27" s="167">
        <f t="shared" si="7"/>
        <v>0</v>
      </c>
      <c r="K27" s="87"/>
      <c r="L27" s="85"/>
      <c r="M27" s="88"/>
      <c r="N27" s="85"/>
      <c r="O27" s="16"/>
      <c r="P27" s="16"/>
      <c r="Q27" s="13"/>
      <c r="R27" s="89"/>
      <c r="S27" s="44">
        <f t="shared" si="5"/>
        <v>44280</v>
      </c>
      <c r="T27" s="85">
        <f t="shared" si="6"/>
        <v>3</v>
      </c>
    </row>
    <row r="28" spans="2:20" ht="15" customHeight="1" x14ac:dyDescent="0.25">
      <c r="B28" s="168">
        <f t="shared" si="4"/>
        <v>44281</v>
      </c>
      <c r="C28" s="165">
        <f>IF(B28="   ","",IF($L$4=1,(IF($M$3="Todos",SUMIFS(LANÇAMENTOS_01!J:J,LANÇAMENTOS_01!L:L,B28),SUMIFS(LANÇAMENTOS_01!J:J,LANÇAMENTOS_01!L:L,B28,LANÇAMENTOS_01!G:G,$M$3))),IF($M$3="Todos",SUMIFS(LANÇAMENTOS_01!J:J,LANÇAMENTOS_01!K:K,B28),SUMIFS(LANÇAMENTOS_01!J:J,LANÇAMENTOS_01!K:K,B28,LANÇAMENTOS_01!G:G,$M$3))))</f>
        <v>0</v>
      </c>
      <c r="D28" s="166">
        <f>IF(B28="   ","",IF($L$4=1,(IF($M$3="Todos",SUMIFS(LANÇAMENTOS_02!J:J,LANÇAMENTOS_02!L:L,B28),SUMIFS(LANÇAMENTOS_02!J:J,LANÇAMENTOS_02!L:L,B28,LANÇAMENTOS_02!G:G,$M$3))),IF($M$3="Todos",SUMIFS(LANÇAMENTOS_02!J:J,LANÇAMENTOS_02!K:K,B28),SUMIFS(LANÇAMENTOS_02!J:J,LANÇAMENTOS_02!K:K,B28,LANÇAMENTOS_02!G:G,$M$3))))</f>
        <v>0</v>
      </c>
      <c r="E28" s="166">
        <f>IF(B28="   ","",IF($M$3="Todos",SUMIFS(LANÇAMENTOS_03!J:J,LANÇAMENTOS_03!G:G,B28),SUMIFS(LANÇAMENTOS_03!J:J,LANÇAMENTOS_03!K:K,B28,LANÇAMENTOS_03!G:G,$M$3)))</f>
        <v>0</v>
      </c>
      <c r="F28" s="167">
        <f t="shared" si="7"/>
        <v>0</v>
      </c>
      <c r="K28" s="87"/>
      <c r="L28" s="85"/>
      <c r="M28" s="88"/>
      <c r="N28" s="85"/>
      <c r="O28" s="94"/>
      <c r="P28" s="13"/>
      <c r="Q28" s="13"/>
      <c r="R28" s="85"/>
      <c r="S28" s="44">
        <f t="shared" si="5"/>
        <v>44281</v>
      </c>
      <c r="T28" s="85">
        <f t="shared" si="6"/>
        <v>3</v>
      </c>
    </row>
    <row r="29" spans="2:20" ht="15" customHeight="1" x14ac:dyDescent="0.25">
      <c r="B29" s="168">
        <f t="shared" si="4"/>
        <v>44282</v>
      </c>
      <c r="C29" s="165">
        <f>IF(B29="   ","",IF($L$4=1,(IF($M$3="Todos",SUMIFS(LANÇAMENTOS_01!J:J,LANÇAMENTOS_01!L:L,B29),SUMIFS(LANÇAMENTOS_01!J:J,LANÇAMENTOS_01!L:L,B29,LANÇAMENTOS_01!G:G,$M$3))),IF($M$3="Todos",SUMIFS(LANÇAMENTOS_01!J:J,LANÇAMENTOS_01!K:K,B29),SUMIFS(LANÇAMENTOS_01!J:J,LANÇAMENTOS_01!K:K,B29,LANÇAMENTOS_01!G:G,$M$3))))</f>
        <v>0</v>
      </c>
      <c r="D29" s="166">
        <f>IF(B29="   ","",IF($L$4=1,(IF($M$3="Todos",SUMIFS(LANÇAMENTOS_02!J:J,LANÇAMENTOS_02!L:L,B29),SUMIFS(LANÇAMENTOS_02!J:J,LANÇAMENTOS_02!L:L,B29,LANÇAMENTOS_02!G:G,$M$3))),IF($M$3="Todos",SUMIFS(LANÇAMENTOS_02!J:J,LANÇAMENTOS_02!K:K,B29),SUMIFS(LANÇAMENTOS_02!J:J,LANÇAMENTOS_02!K:K,B29,LANÇAMENTOS_02!G:G,$M$3))))</f>
        <v>0</v>
      </c>
      <c r="E29" s="166">
        <f>IF(B29="   ","",IF($M$3="Todos",SUMIFS(LANÇAMENTOS_03!J:J,LANÇAMENTOS_03!G:G,B29),SUMIFS(LANÇAMENTOS_03!J:J,LANÇAMENTOS_03!K:K,B29,LANÇAMENTOS_03!G:G,$M$3)))</f>
        <v>0</v>
      </c>
      <c r="F29" s="167">
        <f t="shared" si="7"/>
        <v>0</v>
      </c>
      <c r="K29" s="87"/>
      <c r="L29" s="85"/>
      <c r="M29" s="88"/>
      <c r="N29" s="85"/>
      <c r="O29" s="94"/>
      <c r="P29" s="13"/>
      <c r="Q29" s="13"/>
      <c r="R29" s="85"/>
      <c r="S29" s="44">
        <f t="shared" si="5"/>
        <v>44282</v>
      </c>
      <c r="T29" s="85">
        <f t="shared" si="6"/>
        <v>3</v>
      </c>
    </row>
    <row r="30" spans="2:20" ht="15" customHeight="1" x14ac:dyDescent="0.25">
      <c r="B30" s="168">
        <f t="shared" si="4"/>
        <v>44283</v>
      </c>
      <c r="C30" s="165">
        <f>IF(B30="   ","",IF($L$4=1,(IF($M$3="Todos",SUMIFS(LANÇAMENTOS_01!J:J,LANÇAMENTOS_01!L:L,B30),SUMIFS(LANÇAMENTOS_01!J:J,LANÇAMENTOS_01!L:L,B30,LANÇAMENTOS_01!G:G,$M$3))),IF($M$3="Todos",SUMIFS(LANÇAMENTOS_01!J:J,LANÇAMENTOS_01!K:K,B30),SUMIFS(LANÇAMENTOS_01!J:J,LANÇAMENTOS_01!K:K,B30,LANÇAMENTOS_01!G:G,$M$3))))</f>
        <v>0</v>
      </c>
      <c r="D30" s="166">
        <f>IF(B30="   ","",IF($L$4=1,(IF($M$3="Todos",SUMIFS(LANÇAMENTOS_02!J:J,LANÇAMENTOS_02!L:L,B30),SUMIFS(LANÇAMENTOS_02!J:J,LANÇAMENTOS_02!L:L,B30,LANÇAMENTOS_02!G:G,$M$3))),IF($M$3="Todos",SUMIFS(LANÇAMENTOS_02!J:J,LANÇAMENTOS_02!K:K,B30),SUMIFS(LANÇAMENTOS_02!J:J,LANÇAMENTOS_02!K:K,B30,LANÇAMENTOS_02!G:G,$M$3))))</f>
        <v>0</v>
      </c>
      <c r="E30" s="166">
        <f>IF(B30="   ","",IF($M$3="Todos",SUMIFS(LANÇAMENTOS_03!J:J,LANÇAMENTOS_03!G:G,B30),SUMIFS(LANÇAMENTOS_03!J:J,LANÇAMENTOS_03!K:K,B30,LANÇAMENTOS_03!G:G,$M$3)))</f>
        <v>0</v>
      </c>
      <c r="F30" s="167">
        <f t="shared" si="7"/>
        <v>0</v>
      </c>
      <c r="K30" s="87"/>
      <c r="L30" s="85"/>
      <c r="M30" s="88"/>
      <c r="N30" s="85"/>
      <c r="O30" s="94"/>
      <c r="P30" s="13"/>
      <c r="Q30" s="13"/>
      <c r="R30" s="85"/>
      <c r="S30" s="44">
        <f t="shared" si="5"/>
        <v>44283</v>
      </c>
      <c r="T30" s="85">
        <f t="shared" si="6"/>
        <v>3</v>
      </c>
    </row>
    <row r="31" spans="2:20" ht="15" customHeight="1" x14ac:dyDescent="0.25">
      <c r="B31" s="168">
        <f t="shared" si="4"/>
        <v>44284</v>
      </c>
      <c r="C31" s="165">
        <f>IF(B31="   ","",IF($L$4=1,(IF($M$3="Todos",SUMIFS(LANÇAMENTOS_01!J:J,LANÇAMENTOS_01!L:L,B31),SUMIFS(LANÇAMENTOS_01!J:J,LANÇAMENTOS_01!L:L,B31,LANÇAMENTOS_01!G:G,$M$3))),IF($M$3="Todos",SUMIFS(LANÇAMENTOS_01!J:J,LANÇAMENTOS_01!K:K,B31),SUMIFS(LANÇAMENTOS_01!J:J,LANÇAMENTOS_01!K:K,B31,LANÇAMENTOS_01!G:G,$M$3))))</f>
        <v>0</v>
      </c>
      <c r="D31" s="166">
        <f>IF(B31="   ","",IF($L$4=1,(IF($M$3="Todos",SUMIFS(LANÇAMENTOS_02!J:J,LANÇAMENTOS_02!L:L,B31),SUMIFS(LANÇAMENTOS_02!J:J,LANÇAMENTOS_02!L:L,B31,LANÇAMENTOS_02!G:G,$M$3))),IF($M$3="Todos",SUMIFS(LANÇAMENTOS_02!J:J,LANÇAMENTOS_02!K:K,B31),SUMIFS(LANÇAMENTOS_02!J:J,LANÇAMENTOS_02!K:K,B31,LANÇAMENTOS_02!G:G,$M$3))))</f>
        <v>0</v>
      </c>
      <c r="E31" s="166">
        <f>IF(B31="   ","",IF($M$3="Todos",SUMIFS(LANÇAMENTOS_03!J:J,LANÇAMENTOS_03!G:G,B31),SUMIFS(LANÇAMENTOS_03!J:J,LANÇAMENTOS_03!K:K,B31,LANÇAMENTOS_03!G:G,$M$3)))</f>
        <v>0</v>
      </c>
      <c r="F31" s="167">
        <f t="shared" si="7"/>
        <v>0</v>
      </c>
      <c r="K31" s="87"/>
      <c r="L31" s="85"/>
      <c r="M31" s="88"/>
      <c r="N31" s="85"/>
      <c r="O31" s="94"/>
      <c r="P31" s="13"/>
      <c r="Q31" s="13"/>
      <c r="R31" s="85"/>
      <c r="S31" s="44">
        <f t="shared" si="5"/>
        <v>44284</v>
      </c>
      <c r="T31" s="85">
        <f t="shared" si="6"/>
        <v>3</v>
      </c>
    </row>
    <row r="32" spans="2:20" ht="15" customHeight="1" x14ac:dyDescent="0.25">
      <c r="B32" s="168">
        <f t="shared" si="4"/>
        <v>44285</v>
      </c>
      <c r="C32" s="165">
        <f>IF(B32="   ","",IF($L$4=1,(IF($M$3="Todos",SUMIFS(LANÇAMENTOS_01!J:J,LANÇAMENTOS_01!L:L,B32),SUMIFS(LANÇAMENTOS_01!J:J,LANÇAMENTOS_01!L:L,B32,LANÇAMENTOS_01!G:G,$M$3))),IF($M$3="Todos",SUMIFS(LANÇAMENTOS_01!J:J,LANÇAMENTOS_01!K:K,B32),SUMIFS(LANÇAMENTOS_01!J:J,LANÇAMENTOS_01!K:K,B32,LANÇAMENTOS_01!G:G,$M$3))))</f>
        <v>0</v>
      </c>
      <c r="D32" s="166">
        <f>IF(B32="   ","",IF($L$4=1,(IF($M$3="Todos",SUMIFS(LANÇAMENTOS_02!J:J,LANÇAMENTOS_02!L:L,B32),SUMIFS(LANÇAMENTOS_02!J:J,LANÇAMENTOS_02!L:L,B32,LANÇAMENTOS_02!G:G,$M$3))),IF($M$3="Todos",SUMIFS(LANÇAMENTOS_02!J:J,LANÇAMENTOS_02!K:K,B32),SUMIFS(LANÇAMENTOS_02!J:J,LANÇAMENTOS_02!K:K,B32,LANÇAMENTOS_02!G:G,$M$3))))</f>
        <v>0</v>
      </c>
      <c r="E32" s="166">
        <f>IF(B32="   ","",IF($M$3="Todos",SUMIFS(LANÇAMENTOS_03!J:J,LANÇAMENTOS_03!G:G,B32),SUMIFS(LANÇAMENTOS_03!J:J,LANÇAMENTOS_03!K:K,B32,LANÇAMENTOS_03!G:G,$M$3)))</f>
        <v>0</v>
      </c>
      <c r="F32" s="167">
        <f t="shared" si="7"/>
        <v>0</v>
      </c>
      <c r="K32" s="87"/>
      <c r="L32" s="85"/>
      <c r="M32" s="88"/>
      <c r="N32" s="85"/>
      <c r="O32" s="94"/>
      <c r="P32" s="13"/>
      <c r="Q32" s="13"/>
      <c r="R32" s="85"/>
      <c r="S32" s="44">
        <f t="shared" si="5"/>
        <v>44285</v>
      </c>
      <c r="T32" s="85">
        <f t="shared" si="6"/>
        <v>3</v>
      </c>
    </row>
    <row r="33" spans="2:20" ht="15" customHeight="1" x14ac:dyDescent="0.25">
      <c r="B33" s="168">
        <f t="shared" si="4"/>
        <v>44286</v>
      </c>
      <c r="C33" s="165">
        <f>IF(B33="   ","",IF($L$4=1,(IF($M$3="Todos",SUMIFS(LANÇAMENTOS_01!J:J,LANÇAMENTOS_01!L:L,B33),SUMIFS(LANÇAMENTOS_01!J:J,LANÇAMENTOS_01!L:L,B33,LANÇAMENTOS_01!G:G,$M$3))),IF($M$3="Todos",SUMIFS(LANÇAMENTOS_01!J:J,LANÇAMENTOS_01!K:K,B33),SUMIFS(LANÇAMENTOS_01!J:J,LANÇAMENTOS_01!K:K,B33,LANÇAMENTOS_01!G:G,$M$3))))</f>
        <v>0</v>
      </c>
      <c r="D33" s="166">
        <f>IF(B33="   ","",IF($L$4=1,(IF($M$3="Todos",SUMIFS(LANÇAMENTOS_02!J:J,LANÇAMENTOS_02!L:L,B33),SUMIFS(LANÇAMENTOS_02!J:J,LANÇAMENTOS_02!L:L,B33,LANÇAMENTOS_02!G:G,$M$3))),IF($M$3="Todos",SUMIFS(LANÇAMENTOS_02!J:J,LANÇAMENTOS_02!K:K,B33),SUMIFS(LANÇAMENTOS_02!J:J,LANÇAMENTOS_02!K:K,B33,LANÇAMENTOS_02!G:G,$M$3))))</f>
        <v>0</v>
      </c>
      <c r="E33" s="166">
        <f>IF(B33="   ","",IF($M$3="Todos",SUMIFS(LANÇAMENTOS_03!J:J,LANÇAMENTOS_03!G:G,B33),SUMIFS(LANÇAMENTOS_03!J:J,LANÇAMENTOS_03!K:K,B33,LANÇAMENTOS_03!G:G,$M$3)))</f>
        <v>0</v>
      </c>
      <c r="F33" s="167">
        <f t="shared" si="7"/>
        <v>0</v>
      </c>
      <c r="K33" s="87"/>
      <c r="L33" s="85"/>
      <c r="M33" s="88"/>
      <c r="N33" s="85"/>
      <c r="O33" s="94"/>
      <c r="P33" s="13"/>
      <c r="Q33" s="13"/>
      <c r="R33" s="85"/>
      <c r="S33" s="44">
        <f t="shared" si="5"/>
        <v>44286</v>
      </c>
      <c r="T33" s="85">
        <f t="shared" si="6"/>
        <v>3</v>
      </c>
    </row>
  </sheetData>
  <mergeCells count="10">
    <mergeCell ref="H22:H23"/>
    <mergeCell ref="I22:I23"/>
    <mergeCell ref="H24:H25"/>
    <mergeCell ref="I24:I25"/>
    <mergeCell ref="H15:I15"/>
    <mergeCell ref="H16:I17"/>
    <mergeCell ref="H18:H19"/>
    <mergeCell ref="I18:I19"/>
    <mergeCell ref="H20:H21"/>
    <mergeCell ref="I20:I21"/>
  </mergeCells>
  <conditionalFormatting sqref="C3:C33">
    <cfRule type="cellIs" dxfId="11" priority="4" operator="notEqual">
      <formula>0</formula>
    </cfRule>
  </conditionalFormatting>
  <conditionalFormatting sqref="E3:E33">
    <cfRule type="cellIs" dxfId="10" priority="3" operator="lessThan">
      <formula>0</formula>
    </cfRule>
  </conditionalFormatting>
  <conditionalFormatting sqref="E3:E33">
    <cfRule type="cellIs" dxfId="9" priority="2" operator="greaterThan">
      <formula>0</formula>
    </cfRule>
  </conditionalFormatting>
  <conditionalFormatting sqref="D3:D33">
    <cfRule type="cellIs" dxfId="8" priority="1" operator="notEqual">
      <formula>0</formula>
    </cfRule>
  </conditionalFormatting>
  <pageMargins left="0.25" right="0.25" top="0.75" bottom="0.75" header="0.3" footer="0.3"/>
  <pageSetup paperSize="9" fitToHeight="0" orientation="landscape" cellComments="atEnd" r:id="rId1"/>
  <headerFooter>
    <oddHeader>&amp;R09/03/20 01:13</oddHeader>
    <oddFooter>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-down 1">
              <controlPr defaultSize="0" autoLine="0" autoPict="0">
                <anchor>
                  <from>
                    <xdr:col>7</xdr:col>
                    <xdr:colOff>9525</xdr:colOff>
                    <xdr:row>6</xdr:row>
                    <xdr:rowOff>180975</xdr:rowOff>
                  </from>
                  <to>
                    <xdr:col>8</xdr:col>
                    <xdr:colOff>1352550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>
                <anchor>
                  <from>
                    <xdr:col>7</xdr:col>
                    <xdr:colOff>28575</xdr:colOff>
                    <xdr:row>2</xdr:row>
                    <xdr:rowOff>142875</xdr:rowOff>
                  </from>
                  <to>
                    <xdr:col>7</xdr:col>
                    <xdr:colOff>838200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>
                <anchor>
                  <from>
                    <xdr:col>7</xdr:col>
                    <xdr:colOff>28575</xdr:colOff>
                    <xdr:row>4</xdr:row>
                    <xdr:rowOff>161925</xdr:rowOff>
                  </from>
                  <to>
                    <xdr:col>7</xdr:col>
                    <xdr:colOff>1085850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>
                <anchor>
                  <from>
                    <xdr:col>7</xdr:col>
                    <xdr:colOff>9525</xdr:colOff>
                    <xdr:row>9</xdr:row>
                    <xdr:rowOff>133350</xdr:rowOff>
                  </from>
                  <to>
                    <xdr:col>7</xdr:col>
                    <xdr:colOff>1066800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3">
    <tabColor rgb="FFFFC000"/>
    <pageSetUpPr fitToPage="1"/>
  </sheetPr>
  <dimension ref="B1:BF4"/>
  <sheetViews>
    <sheetView showGridLines="0" showRowColHeaders="0" zoomScale="90" zoomScaleNormal="90" workbookViewId="0">
      <selection activeCell="K3" sqref="K3"/>
    </sheetView>
  </sheetViews>
  <sheetFormatPr defaultRowHeight="15" x14ac:dyDescent="0.25"/>
  <cols>
    <col min="1" max="1" width="31.7109375" customWidth="1"/>
    <col min="2" max="2" width="3.7109375" hidden="1" customWidth="1"/>
    <col min="3" max="3" width="11" style="153" customWidth="1"/>
    <col min="4" max="6" width="20.42578125" style="154" customWidth="1"/>
    <col min="7" max="7" width="21" style="154" customWidth="1"/>
    <col min="8" max="8" width="19.5703125" style="154" customWidth="1"/>
    <col min="9" max="9" width="20.28515625" style="154" customWidth="1"/>
    <col min="10" max="10" width="21.85546875" style="154" customWidth="1"/>
    <col min="11" max="11" width="14.7109375" style="170" customWidth="1"/>
    <col min="12" max="12" width="11" style="153" customWidth="1"/>
    <col min="13" max="13" width="10" customWidth="1"/>
    <col min="56" max="56" width="25.140625" bestFit="1" customWidth="1"/>
  </cols>
  <sheetData>
    <row r="1" spans="2:58" x14ac:dyDescent="0.25">
      <c r="C1" s="82"/>
      <c r="D1"/>
      <c r="E1"/>
      <c r="F1"/>
      <c r="G1"/>
      <c r="H1"/>
      <c r="I1"/>
      <c r="J1"/>
      <c r="K1" s="169"/>
      <c r="L1" s="82"/>
      <c r="BA1" t="s">
        <v>146</v>
      </c>
      <c r="BB1" t="str">
        <f>"C3:L"&amp;COUNTA(C:C)+2</f>
        <v>C3:L3</v>
      </c>
      <c r="BC1">
        <v>2</v>
      </c>
      <c r="BD1" t="str">
        <f>IF(BE1="Contas a Pagar","Relatório Contas a Pagar","Relatório Contas a Receber")</f>
        <v>Relatório Contas a Receber</v>
      </c>
      <c r="BE1" t="str">
        <f>LEFT(C3,14)</f>
        <v/>
      </c>
      <c r="BF1">
        <v>1</v>
      </c>
    </row>
    <row r="2" spans="2:58" ht="23.25" customHeight="1" x14ac:dyDescent="0.25">
      <c r="C2" s="82"/>
      <c r="D2"/>
      <c r="E2"/>
      <c r="F2"/>
      <c r="G2"/>
      <c r="H2"/>
      <c r="I2"/>
      <c r="J2"/>
      <c r="K2" s="169"/>
      <c r="L2" s="82"/>
    </row>
    <row r="3" spans="2:58" x14ac:dyDescent="0.25">
      <c r="C3" s="82"/>
      <c r="D3"/>
      <c r="E3"/>
      <c r="F3"/>
      <c r="G3"/>
      <c r="H3"/>
      <c r="I3"/>
      <c r="J3"/>
      <c r="K3" s="169"/>
      <c r="L3" s="82"/>
    </row>
    <row r="4" spans="2:58" ht="25.5" x14ac:dyDescent="0.25">
      <c r="B4" s="97" t="s">
        <v>8</v>
      </c>
      <c r="C4" s="98" t="s">
        <v>19</v>
      </c>
      <c r="D4" s="97" t="s">
        <v>2</v>
      </c>
      <c r="E4" s="97" t="s">
        <v>3</v>
      </c>
      <c r="F4" s="97" t="s">
        <v>83</v>
      </c>
      <c r="G4" s="97" t="s">
        <v>7</v>
      </c>
      <c r="H4" s="97" t="s">
        <v>84</v>
      </c>
      <c r="I4" s="97" t="s">
        <v>4</v>
      </c>
      <c r="J4" s="97" t="s">
        <v>85</v>
      </c>
      <c r="K4" s="99" t="s">
        <v>23</v>
      </c>
      <c r="L4" s="98" t="s">
        <v>24</v>
      </c>
    </row>
  </sheetData>
  <autoFilter ref="B4:L11" xr:uid="{00000000-0009-0000-0000-000016000000}"/>
  <sortState xmlns:xlrd2="http://schemas.microsoft.com/office/spreadsheetml/2017/richdata2" ref="B8:L11">
    <sortCondition ref="L5"/>
  </sortState>
  <pageMargins left="0.25" right="0.25" top="0.75" bottom="0.75" header="0.3" footer="0.3"/>
  <pageSetup paperSize="9" scale="79" fitToHeight="0" orientation="landscape" r:id="rId1"/>
  <headerFooter>
    <oddHeader>&amp;R09/05/20 15:07</oddHeader>
    <oddFooter>&amp;RPágina &amp;P de &amp;N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4">
    <tabColor rgb="FFFFC000"/>
    <pageSetUpPr fitToPage="1"/>
  </sheetPr>
  <dimension ref="B1:BF4"/>
  <sheetViews>
    <sheetView showGridLines="0" showRowColHeaders="0" zoomScale="90" zoomScaleNormal="90" workbookViewId="0">
      <selection activeCell="C4" sqref="C4"/>
    </sheetView>
  </sheetViews>
  <sheetFormatPr defaultRowHeight="15" x14ac:dyDescent="0.25"/>
  <cols>
    <col min="1" max="1" width="30.42578125" customWidth="1"/>
    <col min="2" max="2" width="3.7109375" hidden="1" customWidth="1"/>
    <col min="3" max="3" width="13.42578125" style="153" customWidth="1"/>
    <col min="4" max="5" width="21" style="154" customWidth="1"/>
    <col min="6" max="6" width="20.85546875" style="154" customWidth="1"/>
    <col min="7" max="7" width="23.28515625" style="154" customWidth="1"/>
    <col min="8" max="8" width="20.5703125" style="154" customWidth="1"/>
    <col min="9" max="9" width="20.85546875" style="154" customWidth="1"/>
    <col min="10" max="10" width="22.28515625" style="154" customWidth="1"/>
    <col min="11" max="11" width="15" style="155" customWidth="1"/>
    <col min="12" max="12" width="13.42578125" style="153" customWidth="1"/>
    <col min="13" max="13" width="10" customWidth="1"/>
  </cols>
  <sheetData>
    <row r="1" spans="2:58" ht="18" customHeight="1" x14ac:dyDescent="0.25">
      <c r="C1" s="82"/>
      <c r="D1"/>
      <c r="E1"/>
      <c r="F1"/>
      <c r="G1"/>
      <c r="H1"/>
      <c r="I1"/>
      <c r="J1"/>
      <c r="K1" s="144"/>
      <c r="L1" s="82"/>
      <c r="M1" s="156">
        <f>COUNTA(B:B)+4</f>
        <v>5</v>
      </c>
      <c r="BA1" t="s">
        <v>147</v>
      </c>
      <c r="BB1" t="str">
        <f>"C3:L"&amp;COUNTA(C:C)+2</f>
        <v>C3:L3</v>
      </c>
      <c r="BC1">
        <v>2</v>
      </c>
      <c r="BD1" t="s">
        <v>148</v>
      </c>
      <c r="BE1" t="str">
        <f>LEFT(C3,14)</f>
        <v/>
      </c>
      <c r="BF1">
        <v>1</v>
      </c>
    </row>
    <row r="2" spans="2:58" ht="28.5" customHeight="1" x14ac:dyDescent="0.25">
      <c r="C2" s="82"/>
      <c r="D2"/>
      <c r="E2"/>
      <c r="F2"/>
      <c r="G2"/>
      <c r="H2"/>
      <c r="I2"/>
      <c r="J2"/>
      <c r="K2" s="144"/>
      <c r="L2" s="82"/>
    </row>
    <row r="3" spans="2:58" x14ac:dyDescent="0.25">
      <c r="C3" s="82"/>
      <c r="D3"/>
      <c r="E3"/>
      <c r="F3"/>
      <c r="G3"/>
      <c r="H3"/>
      <c r="I3"/>
      <c r="J3"/>
      <c r="K3" s="144"/>
      <c r="L3" s="82"/>
    </row>
    <row r="4" spans="2:58" ht="25.5" x14ac:dyDescent="0.25">
      <c r="B4" s="97" t="s">
        <v>1</v>
      </c>
      <c r="C4" s="98" t="s">
        <v>19</v>
      </c>
      <c r="D4" s="97" t="s">
        <v>2</v>
      </c>
      <c r="E4" s="97" t="s">
        <v>3</v>
      </c>
      <c r="F4" s="97" t="s">
        <v>83</v>
      </c>
      <c r="G4" s="97" t="s">
        <v>7</v>
      </c>
      <c r="H4" s="97" t="s">
        <v>84</v>
      </c>
      <c r="I4" s="97" t="s">
        <v>4</v>
      </c>
      <c r="J4" s="97" t="s">
        <v>85</v>
      </c>
      <c r="K4" s="99" t="s">
        <v>23</v>
      </c>
      <c r="L4" s="98" t="s">
        <v>86</v>
      </c>
    </row>
  </sheetData>
  <autoFilter ref="B4:L4" xr:uid="{00000000-0009-0000-0000-000017000000}"/>
  <sortState xmlns:xlrd2="http://schemas.microsoft.com/office/spreadsheetml/2017/richdata2" ref="B5:L5">
    <sortCondition ref="L5"/>
  </sortState>
  <pageMargins left="0.25" right="0.25" top="0.75" bottom="0.75" header="0.3" footer="0.3"/>
  <pageSetup paperSize="9" scale="74" fitToHeight="0" orientation="landscape" cellComments="atEnd" r:id="rId1"/>
  <headerFooter>
    <oddHeader>&amp;R09/05/20 15:05</oddHeader>
    <oddFooter>&amp;RPágina &amp;P de &amp;N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5">
    <tabColor rgb="FFFFC000"/>
    <pageSetUpPr fitToPage="1"/>
  </sheetPr>
  <dimension ref="B1:BF122"/>
  <sheetViews>
    <sheetView showGridLines="0" showRowColHeaders="0" zoomScale="90" zoomScaleNormal="90" workbookViewId="0">
      <selection activeCell="C4" sqref="C4"/>
    </sheetView>
  </sheetViews>
  <sheetFormatPr defaultRowHeight="15" x14ac:dyDescent="0.25"/>
  <cols>
    <col min="1" max="1" width="29.28515625" customWidth="1"/>
    <col min="2" max="2" width="3.7109375" style="154" hidden="1" customWidth="1"/>
    <col min="3" max="3" width="11.7109375" style="172" customWidth="1"/>
    <col min="4" max="4" width="24.85546875" style="154" customWidth="1"/>
    <col min="5" max="5" width="16.140625" style="154" customWidth="1"/>
    <col min="6" max="6" width="20.7109375" style="154" customWidth="1"/>
    <col min="7" max="7" width="18.85546875" style="154" customWidth="1"/>
    <col min="8" max="8" width="20" style="154" customWidth="1"/>
    <col min="9" max="9" width="21.7109375" style="154" customWidth="1"/>
    <col min="10" max="10" width="24.140625" style="154" customWidth="1"/>
    <col min="11" max="11" width="15" style="181" customWidth="1"/>
    <col min="12" max="13" width="11.7109375" style="182" customWidth="1"/>
    <col min="14" max="14" width="14.5703125" style="181" customWidth="1"/>
    <col min="24" max="24" width="12.28515625" customWidth="1"/>
    <col min="25" max="25" width="13.5703125" customWidth="1"/>
    <col min="26" max="26" width="11.85546875" bestFit="1" customWidth="1"/>
    <col min="56" max="56" width="22.7109375" bestFit="1" customWidth="1"/>
    <col min="57" max="57" width="19" bestFit="1" customWidth="1"/>
  </cols>
  <sheetData>
    <row r="1" spans="2:58" x14ac:dyDescent="0.25">
      <c r="B1"/>
      <c r="C1" s="171"/>
      <c r="D1"/>
      <c r="E1"/>
      <c r="F1"/>
      <c r="G1"/>
      <c r="H1"/>
      <c r="I1"/>
      <c r="J1"/>
      <c r="K1" s="173"/>
      <c r="L1" s="174">
        <v>43952</v>
      </c>
      <c r="M1" s="175">
        <f>COUNTA(B:B)+4</f>
        <v>10</v>
      </c>
      <c r="N1" s="176">
        <f>L1-1</f>
        <v>43951</v>
      </c>
      <c r="O1" s="147"/>
      <c r="P1" s="148"/>
      <c r="Q1" s="149" t="e">
        <f>IF(Y1=L1,AD1,AA1-AB1+AC1+AD1)</f>
        <v>#N/A</v>
      </c>
      <c r="R1" s="148" t="s">
        <v>180</v>
      </c>
      <c r="S1" s="148"/>
      <c r="T1" s="148"/>
      <c r="U1" s="148"/>
      <c r="V1" s="148">
        <v>1</v>
      </c>
      <c r="W1" s="150" t="s">
        <v>177</v>
      </c>
      <c r="X1" s="157" t="s">
        <v>180</v>
      </c>
      <c r="Y1" s="157" t="str">
        <f>AUX_03!B1</f>
        <v>01/01/2021</v>
      </c>
      <c r="Z1" s="157">
        <f>L1-1</f>
        <v>43951</v>
      </c>
      <c r="AA1" s="158">
        <f>IF(X1="Todos",SUMIFS(LANÇAMENTOS_01!J:J,LANÇAMENTOS_01!L:L,"&gt;="&amp;RELATORIO_08!Y1,LANÇAMENTOS_01!L:L,"&lt;="&amp;RELATORIO_08!Z1),SUMIFS(LANÇAMENTOS_01!J:J,LANÇAMENTOS_01!L:L,"&gt;="&amp;RELATORIO_08!Y1,LANÇAMENTOS_01!L:L,"&lt;="&amp;RELATORIO_08!Z1,LANÇAMENTOS_01!G:G,RELATORIO_08!X1))</f>
        <v>0</v>
      </c>
      <c r="AB1" s="158">
        <f>IF(X1="Todos",SUMIFS(LANÇAMENTOS_02!J:J,LANÇAMENTOS_02!L:L,"&gt;="&amp;RELATORIO_08!Y1,LANÇAMENTOS_02!L:L,"&lt;="&amp;RELATORIO_08!Z1),SUMIFS(LANÇAMENTOS_02!J:J,LANÇAMENTOS_02!L:L,"&gt;="&amp;RELATORIO_08!Y1,LANÇAMENTOS_02!L:L,"&lt;="&amp;RELATORIO_08!Z1,LANÇAMENTOS_02!G:G,RELATORIO_08!X1))</f>
        <v>0</v>
      </c>
      <c r="AC1" s="159">
        <f>IF(X1="Todos",SUMIFS(LANÇAMENTOS_03!J:J,LANÇAMENTOS_03!L:L,"&gt;="&amp;RELATORIO_08!Y1,LANÇAMENTOS_03!L:L,"&lt;="&amp;RELATORIO_08!Z1),SUMIFS(LANÇAMENTOS_03!J:J,LANÇAMENTOS_03!L:L,"&gt;="&amp;RELATORIO_08!Y1,LANÇAMENTOS_03!L:L,"&lt;="&amp;RELATORIO_08!Z1,LANÇAMENTOS_03!G:G,RELATORIO_08!X1))</f>
        <v>0</v>
      </c>
      <c r="AD1" s="160" t="e">
        <f>IF(X1="Todos",SUM(CADASTRO_04!C:C),VLOOKUP(X1,CADASTRO_AUX!V2:W46,2,0))</f>
        <v>#N/A</v>
      </c>
      <c r="BA1" t="s">
        <v>149</v>
      </c>
      <c r="BB1" t="str">
        <f>"C3:N"&amp;COUNTA(C:C)+2</f>
        <v>C3:N3</v>
      </c>
      <c r="BC1">
        <v>2</v>
      </c>
      <c r="BD1" t="s">
        <v>150</v>
      </c>
      <c r="BE1" t="str">
        <f>LEFT(C3,20)</f>
        <v/>
      </c>
      <c r="BF1">
        <v>1</v>
      </c>
    </row>
    <row r="2" spans="2:58" ht="28.5" customHeight="1" x14ac:dyDescent="0.25">
      <c r="B2"/>
      <c r="C2" s="171"/>
      <c r="D2"/>
      <c r="E2"/>
      <c r="F2"/>
      <c r="G2"/>
      <c r="H2"/>
      <c r="I2"/>
      <c r="J2"/>
      <c r="K2" s="173"/>
      <c r="L2" s="177"/>
      <c r="M2" s="177"/>
      <c r="N2" s="173"/>
    </row>
    <row r="3" spans="2:58" x14ac:dyDescent="0.25">
      <c r="B3" s="33">
        <v>1</v>
      </c>
      <c r="C3" s="171"/>
      <c r="D3"/>
      <c r="E3"/>
      <c r="F3"/>
      <c r="G3"/>
      <c r="H3"/>
      <c r="I3"/>
      <c r="J3"/>
      <c r="K3" s="173"/>
      <c r="L3" s="177"/>
      <c r="M3" s="177"/>
      <c r="N3" s="173"/>
    </row>
    <row r="4" spans="2:58" ht="31.5" customHeight="1" x14ac:dyDescent="0.25">
      <c r="B4" s="97" t="s">
        <v>8</v>
      </c>
      <c r="C4" s="141" t="s">
        <v>19</v>
      </c>
      <c r="D4" s="97" t="s">
        <v>2</v>
      </c>
      <c r="E4" s="97" t="s">
        <v>3</v>
      </c>
      <c r="F4" s="97" t="s">
        <v>83</v>
      </c>
      <c r="G4" s="97" t="s">
        <v>7</v>
      </c>
      <c r="H4" s="97" t="s">
        <v>84</v>
      </c>
      <c r="I4" s="97" t="s">
        <v>4</v>
      </c>
      <c r="J4" s="97" t="s">
        <v>85</v>
      </c>
      <c r="K4" s="99" t="s">
        <v>23</v>
      </c>
      <c r="L4" s="141" t="s">
        <v>24</v>
      </c>
      <c r="M4" s="141" t="s">
        <v>86</v>
      </c>
      <c r="N4" s="99" t="s">
        <v>87</v>
      </c>
    </row>
    <row r="5" spans="2:58" x14ac:dyDescent="0.25">
      <c r="B5" s="154">
        <v>1</v>
      </c>
      <c r="N5" s="180"/>
      <c r="O5" s="144"/>
    </row>
    <row r="6" spans="2:58" x14ac:dyDescent="0.25">
      <c r="B6" s="154">
        <v>1</v>
      </c>
      <c r="N6" s="180"/>
    </row>
    <row r="7" spans="2:58" x14ac:dyDescent="0.25">
      <c r="B7" s="154">
        <v>1</v>
      </c>
      <c r="N7" s="180"/>
    </row>
    <row r="8" spans="2:58" x14ac:dyDescent="0.25">
      <c r="B8" s="100">
        <v>1</v>
      </c>
      <c r="C8" s="101"/>
      <c r="D8" s="102"/>
      <c r="E8" s="102"/>
      <c r="F8" s="102"/>
      <c r="G8" s="102"/>
      <c r="H8" s="102"/>
      <c r="I8" s="102"/>
      <c r="J8" s="102"/>
      <c r="K8" s="178"/>
      <c r="L8" s="179"/>
      <c r="M8" s="179"/>
      <c r="N8" s="180"/>
    </row>
    <row r="9" spans="2:58" x14ac:dyDescent="0.25">
      <c r="N9" s="180"/>
    </row>
    <row r="10" spans="2:58" x14ac:dyDescent="0.25">
      <c r="N10" s="180"/>
    </row>
    <row r="11" spans="2:58" x14ac:dyDescent="0.25">
      <c r="N11" s="180"/>
    </row>
    <row r="12" spans="2:58" x14ac:dyDescent="0.25">
      <c r="N12" s="180"/>
    </row>
    <row r="13" spans="2:58" x14ac:dyDescent="0.25">
      <c r="N13" s="180"/>
    </row>
    <row r="14" spans="2:58" x14ac:dyDescent="0.25">
      <c r="N14" s="180"/>
    </row>
    <row r="15" spans="2:58" x14ac:dyDescent="0.25">
      <c r="N15" s="180"/>
    </row>
    <row r="27" spans="2:13" x14ac:dyDescent="0.25">
      <c r="B27" s="100"/>
      <c r="C27" s="101"/>
      <c r="D27" s="102"/>
      <c r="E27" s="102"/>
      <c r="F27" s="102"/>
      <c r="G27" s="102"/>
      <c r="H27" s="102"/>
      <c r="I27" s="102"/>
      <c r="J27" s="102"/>
      <c r="K27" s="178"/>
      <c r="L27" s="179"/>
      <c r="M27" s="179"/>
    </row>
    <row r="37" spans="2:13" x14ac:dyDescent="0.25">
      <c r="B37" s="100"/>
      <c r="C37" s="101"/>
      <c r="D37" s="102"/>
      <c r="E37" s="102"/>
      <c r="F37" s="102"/>
      <c r="G37" s="102"/>
      <c r="H37" s="102"/>
      <c r="I37" s="102"/>
      <c r="J37" s="102"/>
      <c r="K37" s="178"/>
      <c r="L37" s="179"/>
      <c r="M37" s="179"/>
    </row>
    <row r="38" spans="2:13" x14ac:dyDescent="0.25">
      <c r="B38" s="100"/>
      <c r="C38" s="101"/>
      <c r="D38" s="102"/>
      <c r="E38" s="102"/>
      <c r="F38" s="102"/>
      <c r="G38" s="102"/>
      <c r="H38" s="102"/>
      <c r="I38" s="102"/>
      <c r="J38" s="102"/>
      <c r="K38" s="178"/>
      <c r="L38" s="179"/>
      <c r="M38" s="179"/>
    </row>
    <row r="39" spans="2:13" x14ac:dyDescent="0.25">
      <c r="B39" s="100"/>
      <c r="C39" s="101"/>
      <c r="D39" s="102"/>
      <c r="E39" s="102"/>
      <c r="F39" s="102"/>
      <c r="G39" s="102"/>
      <c r="H39" s="102"/>
      <c r="I39" s="102"/>
      <c r="J39" s="102"/>
      <c r="K39" s="178"/>
      <c r="L39" s="179"/>
      <c r="M39" s="179"/>
    </row>
    <row r="40" spans="2:13" x14ac:dyDescent="0.25">
      <c r="B40" s="100"/>
      <c r="C40" s="101"/>
      <c r="D40" s="102"/>
      <c r="E40" s="102"/>
      <c r="F40" s="102"/>
      <c r="G40" s="102"/>
      <c r="H40" s="102"/>
      <c r="I40" s="102"/>
      <c r="J40" s="102"/>
      <c r="K40" s="178"/>
      <c r="L40" s="179"/>
      <c r="M40" s="179"/>
    </row>
    <row r="42" spans="2:13" x14ac:dyDescent="0.25">
      <c r="B42" s="100"/>
      <c r="C42" s="101"/>
      <c r="D42" s="102"/>
      <c r="E42" s="102"/>
      <c r="F42" s="102"/>
      <c r="G42" s="102"/>
      <c r="H42" s="102"/>
      <c r="I42" s="102"/>
      <c r="J42" s="102"/>
      <c r="K42" s="178"/>
      <c r="L42" s="179"/>
      <c r="M42" s="179"/>
    </row>
    <row r="43" spans="2:13" x14ac:dyDescent="0.25">
      <c r="B43" s="100"/>
      <c r="C43" s="101"/>
      <c r="D43" s="102"/>
      <c r="E43" s="102"/>
      <c r="F43" s="102"/>
      <c r="G43" s="102"/>
      <c r="H43" s="102"/>
      <c r="I43" s="102"/>
      <c r="J43" s="102"/>
      <c r="K43" s="178"/>
      <c r="L43" s="179"/>
      <c r="M43" s="179"/>
    </row>
    <row r="44" spans="2:13" x14ac:dyDescent="0.25">
      <c r="B44" s="100"/>
      <c r="C44" s="101"/>
      <c r="D44" s="102"/>
      <c r="E44" s="102"/>
      <c r="F44" s="102"/>
      <c r="G44" s="102"/>
      <c r="H44" s="102"/>
      <c r="I44" s="102"/>
      <c r="J44" s="102"/>
      <c r="K44" s="178"/>
      <c r="L44" s="179"/>
      <c r="M44" s="179"/>
    </row>
    <row r="47" spans="2:13" x14ac:dyDescent="0.25">
      <c r="B47" s="100"/>
      <c r="C47" s="101"/>
      <c r="D47" s="102"/>
      <c r="E47" s="102"/>
      <c r="F47" s="102"/>
      <c r="G47" s="102"/>
      <c r="H47" s="102"/>
      <c r="I47" s="102"/>
      <c r="J47" s="102"/>
      <c r="K47" s="178"/>
      <c r="L47" s="179"/>
      <c r="M47" s="179"/>
    </row>
    <row r="122" spans="2:13" x14ac:dyDescent="0.25">
      <c r="B122" s="100"/>
      <c r="C122" s="101"/>
      <c r="D122" s="102"/>
      <c r="E122" s="102"/>
      <c r="F122" s="102"/>
      <c r="G122" s="102"/>
      <c r="H122" s="102"/>
      <c r="I122" s="102"/>
      <c r="J122" s="102"/>
      <c r="K122" s="178"/>
      <c r="L122" s="179"/>
      <c r="M122" s="179"/>
    </row>
  </sheetData>
  <autoFilter ref="B4:N47" xr:uid="{00000000-0009-0000-0000-000018000000}"/>
  <sortState xmlns:xlrd2="http://schemas.microsoft.com/office/spreadsheetml/2017/richdata2" ref="B5:M122">
    <sortCondition ref="L5"/>
  </sortState>
  <pageMargins left="0.25" right="0.25" top="0.75" bottom="0.75" header="0.3" footer="0.3"/>
  <pageSetup paperSize="9" scale="68" fitToHeight="0" orientation="landscape" cellComments="atEnd" r:id="rId1"/>
  <headerFooter>
    <oddHeader>&amp;R09/05/20 15:05</oddHeader>
    <oddFooter>&amp;RPágina &amp;P de &amp;N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6">
    <tabColor rgb="FFFFC000"/>
    <pageSetUpPr fitToPage="1"/>
  </sheetPr>
  <dimension ref="B1:BF21"/>
  <sheetViews>
    <sheetView showGridLines="0" showRowColHeaders="0" zoomScale="90" zoomScaleNormal="90" workbookViewId="0">
      <selection activeCell="D9" sqref="D9"/>
    </sheetView>
  </sheetViews>
  <sheetFormatPr defaultRowHeight="15" x14ac:dyDescent="0.25"/>
  <cols>
    <col min="1" max="1" width="30" customWidth="1"/>
    <col min="2" max="2" width="3.42578125" style="154" hidden="1" customWidth="1"/>
    <col min="3" max="3" width="11.140625" style="154" customWidth="1"/>
    <col min="4" max="4" width="24.7109375" style="154" customWidth="1"/>
    <col min="5" max="5" width="17" style="154" customWidth="1"/>
    <col min="6" max="6" width="21.42578125" style="154" customWidth="1"/>
    <col min="7" max="7" width="18.85546875" style="154" customWidth="1"/>
    <col min="8" max="8" width="20" style="154" customWidth="1"/>
    <col min="9" max="9" width="21.42578125" style="154" customWidth="1"/>
    <col min="10" max="10" width="24.140625" style="154" customWidth="1"/>
    <col min="11" max="11" width="15" style="154" customWidth="1"/>
    <col min="12" max="12" width="10.140625" style="154" customWidth="1"/>
    <col min="13" max="13" width="10.28515625" style="154" customWidth="1"/>
    <col min="14" max="14" width="6.7109375" style="154" customWidth="1"/>
    <col min="53" max="53" width="14.28515625" bestFit="1" customWidth="1"/>
    <col min="54" max="54" width="7.140625" bestFit="1" customWidth="1"/>
    <col min="56" max="56" width="22.42578125" bestFit="1" customWidth="1"/>
    <col min="57" max="57" width="12.28515625" bestFit="1" customWidth="1"/>
  </cols>
  <sheetData>
    <row r="1" spans="2:58" x14ac:dyDescent="0.25">
      <c r="B1"/>
      <c r="C1" s="82"/>
      <c r="D1"/>
      <c r="E1"/>
      <c r="F1"/>
      <c r="G1"/>
      <c r="H1"/>
      <c r="I1"/>
      <c r="J1"/>
      <c r="K1" s="144"/>
      <c r="L1" s="82"/>
      <c r="M1" s="156">
        <f>COUNTA(B:B)+4</f>
        <v>5</v>
      </c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 t="s">
        <v>156</v>
      </c>
      <c r="BB1" s="164" t="str">
        <f>"C3:N"&amp;COUNTA(C:C)+2</f>
        <v>C3:N3</v>
      </c>
      <c r="BC1" s="164">
        <v>2</v>
      </c>
      <c r="BD1" s="164" t="str">
        <f>"Relatório - "&amp;BE1</f>
        <v>Relatório - M.C. AUTOMACAO E SERVICOS LTDA</v>
      </c>
      <c r="BE1" s="164" t="s">
        <v>179</v>
      </c>
      <c r="BF1" s="164">
        <v>1</v>
      </c>
    </row>
    <row r="2" spans="2:58" x14ac:dyDescent="0.25">
      <c r="B2"/>
      <c r="C2" s="82"/>
      <c r="D2"/>
      <c r="E2"/>
      <c r="F2"/>
      <c r="G2"/>
      <c r="H2"/>
      <c r="I2"/>
      <c r="J2"/>
      <c r="K2" s="144"/>
      <c r="L2" s="82"/>
      <c r="M2"/>
      <c r="N2"/>
    </row>
    <row r="3" spans="2:58" x14ac:dyDescent="0.25">
      <c r="B3"/>
      <c r="C3" s="82"/>
      <c r="D3"/>
      <c r="E3"/>
      <c r="F3"/>
      <c r="G3"/>
      <c r="H3"/>
      <c r="I3"/>
      <c r="J3"/>
      <c r="K3" s="144"/>
      <c r="L3" s="82"/>
      <c r="M3"/>
      <c r="N3"/>
    </row>
    <row r="4" spans="2:58" ht="27" customHeight="1" x14ac:dyDescent="0.25">
      <c r="B4" s="97" t="s">
        <v>1</v>
      </c>
      <c r="C4" s="98" t="s">
        <v>19</v>
      </c>
      <c r="D4" s="97" t="s">
        <v>2</v>
      </c>
      <c r="E4" s="97" t="s">
        <v>3</v>
      </c>
      <c r="F4" s="97" t="s">
        <v>83</v>
      </c>
      <c r="G4" s="97" t="s">
        <v>7</v>
      </c>
      <c r="H4" s="97" t="s">
        <v>84</v>
      </c>
      <c r="I4" s="97" t="s">
        <v>4</v>
      </c>
      <c r="J4" s="97" t="s">
        <v>85</v>
      </c>
      <c r="K4" s="99" t="s">
        <v>23</v>
      </c>
      <c r="L4" s="141" t="s">
        <v>24</v>
      </c>
      <c r="M4" s="141" t="s">
        <v>86</v>
      </c>
      <c r="N4" s="141" t="s">
        <v>121</v>
      </c>
    </row>
    <row r="5" spans="2:58" x14ac:dyDescent="0.25">
      <c r="C5" s="153"/>
      <c r="L5" s="153"/>
      <c r="M5" s="153"/>
    </row>
    <row r="6" spans="2:58" x14ac:dyDescent="0.25">
      <c r="C6" s="153"/>
      <c r="L6" s="153"/>
      <c r="M6" s="153"/>
    </row>
    <row r="7" spans="2:58" x14ac:dyDescent="0.25">
      <c r="C7" s="153"/>
      <c r="L7" s="153"/>
      <c r="M7" s="153"/>
    </row>
    <row r="8" spans="2:58" x14ac:dyDescent="0.25">
      <c r="C8" s="153"/>
      <c r="L8" s="153"/>
      <c r="M8" s="153"/>
    </row>
    <row r="9" spans="2:58" x14ac:dyDescent="0.25">
      <c r="C9" s="153"/>
      <c r="L9" s="153"/>
      <c r="M9" s="153"/>
    </row>
    <row r="10" spans="2:58" x14ac:dyDescent="0.25">
      <c r="C10" s="153"/>
      <c r="L10" s="153"/>
      <c r="M10" s="153"/>
    </row>
    <row r="11" spans="2:58" x14ac:dyDescent="0.25">
      <c r="C11" s="153"/>
      <c r="L11" s="153"/>
      <c r="M11" s="153"/>
    </row>
    <row r="12" spans="2:58" x14ac:dyDescent="0.25">
      <c r="C12" s="153"/>
      <c r="L12" s="153"/>
      <c r="M12" s="195"/>
    </row>
    <row r="13" spans="2:58" x14ac:dyDescent="0.25">
      <c r="C13" s="153"/>
      <c r="L13" s="153"/>
      <c r="M13" s="195"/>
    </row>
    <row r="14" spans="2:58" x14ac:dyDescent="0.25">
      <c r="C14" s="153"/>
      <c r="L14" s="153"/>
      <c r="M14" s="153"/>
    </row>
    <row r="15" spans="2:58" x14ac:dyDescent="0.25">
      <c r="C15" s="153"/>
      <c r="L15" s="153"/>
      <c r="M15" s="153"/>
    </row>
    <row r="16" spans="2:58" x14ac:dyDescent="0.25">
      <c r="C16" s="153"/>
      <c r="L16" s="153"/>
      <c r="M16" s="153"/>
    </row>
    <row r="17" spans="3:13" x14ac:dyDescent="0.25">
      <c r="C17" s="153"/>
      <c r="L17" s="153"/>
      <c r="M17" s="153"/>
    </row>
    <row r="18" spans="3:13" x14ac:dyDescent="0.25">
      <c r="C18" s="153"/>
      <c r="L18" s="153"/>
      <c r="M18" s="195"/>
    </row>
    <row r="19" spans="3:13" x14ac:dyDescent="0.25">
      <c r="C19" s="153"/>
      <c r="L19" s="153"/>
      <c r="M19" s="153"/>
    </row>
    <row r="20" spans="3:13" x14ac:dyDescent="0.25">
      <c r="C20" s="153"/>
      <c r="L20" s="153"/>
      <c r="M20" s="195"/>
    </row>
    <row r="21" spans="3:13" x14ac:dyDescent="0.25">
      <c r="C21" s="153"/>
      <c r="L21" s="153"/>
      <c r="M21" s="195"/>
    </row>
  </sheetData>
  <autoFilter ref="B4:N4" xr:uid="{00000000-0009-0000-0000-000019000000}"/>
  <pageMargins left="0.25" right="0.25" top="0.75" bottom="0.75" header="0.3" footer="0.3"/>
  <pageSetup paperSize="9" scale="70" fitToHeight="0" orientation="landscape" r:id="rId1"/>
  <headerFooter>
    <oddHeader>&amp;R11/03/20 15:53</oddHeader>
    <oddFooter>&amp;RPágina &amp;P de &amp;N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7">
    <tabColor rgb="FFFFC000"/>
    <pageSetUpPr fitToPage="1"/>
  </sheetPr>
  <dimension ref="B1:BF273"/>
  <sheetViews>
    <sheetView showGridLines="0" showRowColHeaders="0" zoomScale="90" zoomScaleNormal="90" workbookViewId="0">
      <selection activeCell="P3" sqref="P3"/>
    </sheetView>
  </sheetViews>
  <sheetFormatPr defaultRowHeight="15" x14ac:dyDescent="0.25"/>
  <cols>
    <col min="1" max="1" width="30" customWidth="1"/>
    <col min="2" max="2" width="3.42578125" customWidth="1"/>
    <col min="3" max="3" width="26.28515625" customWidth="1"/>
    <col min="4" max="16" width="11" customWidth="1"/>
    <col min="19" max="26" width="0" hidden="1" customWidth="1"/>
    <col min="27" max="39" width="11.85546875" hidden="1" customWidth="1"/>
    <col min="40" max="44" width="0" hidden="1" customWidth="1"/>
  </cols>
  <sheetData>
    <row r="1" spans="2:58" ht="66" customHeight="1" x14ac:dyDescent="0.25">
      <c r="D1" s="226" t="s">
        <v>46</v>
      </c>
      <c r="E1" s="16"/>
      <c r="G1" s="79" t="s">
        <v>155</v>
      </c>
      <c r="H1" s="16"/>
      <c r="I1" s="197"/>
      <c r="K1" s="227" t="s">
        <v>151</v>
      </c>
      <c r="L1" s="17"/>
      <c r="M1" s="61"/>
      <c r="O1" s="164"/>
      <c r="P1" s="164"/>
      <c r="Q1" s="164"/>
      <c r="R1" s="164"/>
      <c r="S1" s="16">
        <v>1</v>
      </c>
      <c r="T1" s="16">
        <f>VLOOKUP(S1,CADASTRO_AUX!O1:P13,2,0)</f>
        <v>2021</v>
      </c>
      <c r="U1" s="16">
        <v>3</v>
      </c>
      <c r="V1" s="16" t="str">
        <f>VLOOKUP(U1,CADASTRO_AUX!R1:S46,2,0)</f>
        <v/>
      </c>
      <c r="W1" s="16"/>
      <c r="X1" s="63">
        <f>IF($Y$1=1,(IF($V$1="Todos",SUMIFS(LANÇAMENTOS_01!$J:$J,LANÇAMENTOS_01!$D:$D,$C8,LANÇAMENTOS_01!$L:$L,"&gt;="&amp;AA$1,LANÇAMENTOS_01!$L:$L,"&lt;="&amp;AA$2),SUMIFS(LANÇAMENTOS_01!$J:$J,LANÇAMENTOS_01!$D:$D,$C8,LANÇAMENTOS_01!$L:$L,"&gt;="&amp;AA$1,LANÇAMENTOS_01!$L:$L,"&lt;="&amp;AA$2,LANÇAMENTOS_01!$H:$H,$V$1))),IF($V$1="Todos",SUMIFS(LANÇAMENTOS_01!$J:$J,LANÇAMENTOS_01!$D:$D,$C8,LANÇAMENTOS_01!$K:$K,"&gt;="&amp;AA$1,LANÇAMENTOS_01!$K:$K,"&lt;="&amp;AA$2),SUMIFS(LANÇAMENTOS_01!$J:$J,LANÇAMENTOS_01!$D:$D,$C8,LANÇAMENTOS_01!$K:$K,"&gt;="&amp;AA$1,LANÇAMENTOS_01!$K:$K,"&lt;="&amp;AA$2,LANÇAMENTOS_01!$H:$H,$V$1)))</f>
        <v>0</v>
      </c>
      <c r="Y1" s="48">
        <v>1</v>
      </c>
      <c r="Z1" s="228">
        <v>2</v>
      </c>
      <c r="AA1" s="13" t="str">
        <f>"01/01/"&amp;T1</f>
        <v>01/01/2021</v>
      </c>
      <c r="AB1" s="13" t="str">
        <f>"01/02/"&amp;T1</f>
        <v>01/02/2021</v>
      </c>
      <c r="AC1" s="13" t="str">
        <f>"01/03/"&amp;T1</f>
        <v>01/03/2021</v>
      </c>
      <c r="AD1" s="13" t="str">
        <f>"01/04/"&amp;T1</f>
        <v>01/04/2021</v>
      </c>
      <c r="AE1" s="13" t="str">
        <f>"01/05/"&amp;T1</f>
        <v>01/05/2021</v>
      </c>
      <c r="AF1" s="13" t="str">
        <f>"01/06/"&amp;T1</f>
        <v>01/06/2021</v>
      </c>
      <c r="AG1" s="13" t="str">
        <f>"01/07/"&amp;T1</f>
        <v>01/07/2021</v>
      </c>
      <c r="AH1" s="13" t="str">
        <f>"01/08/"&amp;T1</f>
        <v>01/08/2021</v>
      </c>
      <c r="AI1" s="13" t="str">
        <f>"01/09/"&amp;T1</f>
        <v>01/09/2021</v>
      </c>
      <c r="AJ1" s="13" t="str">
        <f>"01/10/"&amp;T1</f>
        <v>01/10/2021</v>
      </c>
      <c r="AK1" s="13" t="str">
        <f>"01/11/"&amp;T1</f>
        <v>01/11/2021</v>
      </c>
      <c r="AL1" s="13" t="str">
        <f>"01/12/"&amp;T1</f>
        <v>01/12/2021</v>
      </c>
      <c r="AM1" s="60"/>
      <c r="AN1" s="164">
        <v>1</v>
      </c>
      <c r="AO1" s="164" t="s">
        <v>159</v>
      </c>
      <c r="AP1" s="164"/>
      <c r="AQ1" s="164">
        <v>1</v>
      </c>
      <c r="AR1" s="164" t="s">
        <v>166</v>
      </c>
      <c r="AS1" s="164"/>
      <c r="AT1" s="164"/>
      <c r="AU1" s="164"/>
      <c r="AV1" s="164"/>
      <c r="AW1" s="164"/>
      <c r="AX1" s="164"/>
      <c r="AY1" s="164"/>
      <c r="AZ1" s="164"/>
      <c r="BA1" s="164" t="s">
        <v>164</v>
      </c>
      <c r="BB1" s="164" t="str">
        <f>"C3:P"&amp;COUNTA(C:C)+5</f>
        <v>C3:P8</v>
      </c>
      <c r="BC1" s="164">
        <v>2</v>
      </c>
      <c r="BD1" s="164" t="str">
        <f>"Relatório - "&amp;BE1</f>
        <v xml:space="preserve">Relatório - </v>
      </c>
      <c r="BE1" s="164"/>
      <c r="BF1" s="164">
        <v>1</v>
      </c>
    </row>
    <row r="2" spans="2:58" ht="9" customHeight="1" x14ac:dyDescent="0.25">
      <c r="S2" s="48"/>
      <c r="T2" s="48"/>
      <c r="U2" s="66"/>
      <c r="V2" s="183" t="str">
        <f>IF($Y$1=1,"LANÇAMENTOS_01!$J:$J","LANÇAMENTOS_02!$J:$J")</f>
        <v>LANÇAMENTOS_01!$J:$J</v>
      </c>
      <c r="W2" s="183" t="str">
        <f>IF($Y$1=1,"LANÇAMENTOS_01!$F:$F","LANÇAMENTOS_02!$F:$F")</f>
        <v>LANÇAMENTOS_01!$F:$F</v>
      </c>
      <c r="X2" s="183" t="str">
        <f>IF($Y$1=1,"LANÇAMENTOS_01!$L:$L","LANÇAMENTOS_02!$L:$L")</f>
        <v>LANÇAMENTOS_01!$L:$L</v>
      </c>
      <c r="Y2" s="183" t="str">
        <f>IF($Y$1=1,"LANÇAMENTOS_01!$K:$K","LANÇAMENTOS_02!$K:$K")</f>
        <v>LANÇAMENTOS_01!$K:$K</v>
      </c>
      <c r="Z2" s="60"/>
      <c r="AA2" s="14">
        <f t="shared" ref="AA2:AK2" si="0">AB1-1</f>
        <v>44227</v>
      </c>
      <c r="AB2" s="14">
        <f t="shared" si="0"/>
        <v>44255</v>
      </c>
      <c r="AC2" s="14">
        <f t="shared" si="0"/>
        <v>44286</v>
      </c>
      <c r="AD2" s="14">
        <f t="shared" si="0"/>
        <v>44316</v>
      </c>
      <c r="AE2" s="14">
        <f t="shared" si="0"/>
        <v>44347</v>
      </c>
      <c r="AF2" s="14">
        <f t="shared" si="0"/>
        <v>44377</v>
      </c>
      <c r="AG2" s="14">
        <f t="shared" si="0"/>
        <v>44408</v>
      </c>
      <c r="AH2" s="14">
        <f t="shared" si="0"/>
        <v>44439</v>
      </c>
      <c r="AI2" s="14">
        <f t="shared" si="0"/>
        <v>44469</v>
      </c>
      <c r="AJ2" s="14">
        <f t="shared" si="0"/>
        <v>44500</v>
      </c>
      <c r="AK2" s="14">
        <f t="shared" si="0"/>
        <v>44530</v>
      </c>
      <c r="AL2" s="14">
        <f>AM2-1</f>
        <v>44561</v>
      </c>
      <c r="AM2" s="16" t="str">
        <f>"01/01/"&amp;T1+1</f>
        <v>01/01/2022</v>
      </c>
      <c r="AN2">
        <v>2</v>
      </c>
      <c r="AO2" t="s">
        <v>165</v>
      </c>
      <c r="AQ2">
        <v>2</v>
      </c>
      <c r="AR2" t="s">
        <v>163</v>
      </c>
    </row>
    <row r="3" spans="2:58" ht="21.75" customHeight="1" x14ac:dyDescent="0.25">
      <c r="B3" s="303"/>
      <c r="C3" s="304"/>
      <c r="D3" s="68" t="s">
        <v>33</v>
      </c>
      <c r="E3" s="68" t="s">
        <v>34</v>
      </c>
      <c r="F3" s="68" t="s">
        <v>35</v>
      </c>
      <c r="G3" s="68" t="s">
        <v>36</v>
      </c>
      <c r="H3" s="68" t="s">
        <v>37</v>
      </c>
      <c r="I3" s="68" t="s">
        <v>38</v>
      </c>
      <c r="J3" s="68" t="s">
        <v>39</v>
      </c>
      <c r="K3" s="68" t="s">
        <v>40</v>
      </c>
      <c r="L3" s="68" t="s">
        <v>41</v>
      </c>
      <c r="M3" s="68" t="s">
        <v>42</v>
      </c>
      <c r="N3" s="68" t="s">
        <v>43</v>
      </c>
      <c r="O3" s="68" t="s">
        <v>44</v>
      </c>
      <c r="P3" s="68" t="s">
        <v>62</v>
      </c>
    </row>
    <row r="4" spans="2:58" ht="27.75" customHeight="1" x14ac:dyDescent="0.25">
      <c r="B4" s="69"/>
      <c r="C4" s="70" t="str">
        <f>"Total "&amp;VLOOKUP(Y1,AN1:AO2,2,0)</f>
        <v>Total Entradas</v>
      </c>
      <c r="D4" s="71">
        <f>SUM(D8:D500)</f>
        <v>0</v>
      </c>
      <c r="E4" s="71">
        <f t="shared" ref="E4:O4" si="1">SUM(E8:E500)</f>
        <v>0</v>
      </c>
      <c r="F4" s="71">
        <f t="shared" si="1"/>
        <v>0</v>
      </c>
      <c r="G4" s="71">
        <f t="shared" si="1"/>
        <v>0</v>
      </c>
      <c r="H4" s="71">
        <f t="shared" si="1"/>
        <v>0</v>
      </c>
      <c r="I4" s="71">
        <f t="shared" si="1"/>
        <v>0</v>
      </c>
      <c r="J4" s="71">
        <f t="shared" si="1"/>
        <v>0</v>
      </c>
      <c r="K4" s="71">
        <f t="shared" si="1"/>
        <v>0</v>
      </c>
      <c r="L4" s="71">
        <f t="shared" si="1"/>
        <v>0</v>
      </c>
      <c r="M4" s="71">
        <f t="shared" si="1"/>
        <v>0</v>
      </c>
      <c r="N4" s="71">
        <f t="shared" si="1"/>
        <v>0</v>
      </c>
      <c r="O4" s="71">
        <f t="shared" si="1"/>
        <v>0</v>
      </c>
      <c r="P4" s="72">
        <f>SUM(D4:O4)</f>
        <v>0</v>
      </c>
    </row>
    <row r="5" spans="2:58" ht="15.75" hidden="1" x14ac:dyDescent="0.25">
      <c r="B5" s="67"/>
      <c r="D5" s="72">
        <f ca="1">IF($Z$1=1,(SUMIFS(INDIRECT($V$2),INDIRECT($W$2),RELATORIO_10!$C8,INDIRECT($X$2),"&gt;="&amp;RELATORIO_10!AA$1,INDIRECT($X$2),"&lt;="&amp;RELATORIO_10!AA$2)),SUMIFS(INDIRECT($V$2),INDIRECT($W$2),RELATORIO_10!$C8,INDIRECT($Y$2),"&gt;="&amp;RELATORIO_10!AA$1,INDIRECT($Y$2),"&lt;="&amp;RELATORIO_10!AA$2,INDIRECT($X$2),""))</f>
        <v>0</v>
      </c>
    </row>
    <row r="6" spans="2:58" ht="22.5" customHeight="1" x14ac:dyDescent="0.25">
      <c r="B6" s="67"/>
      <c r="C6" s="231" t="str">
        <f>"Relatório Formas de Pagamento -  "&amp;VLOOKUP(Y1,AN1:AO2,2,0)&amp;" - Lançamentos "&amp;VLOOKUP(Z1,AQ1:AR2,2,0)</f>
        <v>Relatório Formas de Pagamento -  Entradas - Lançamentos Em Aberto</v>
      </c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72">
        <f t="shared" ref="P6" si="2">SUM(D6:O6)</f>
        <v>0</v>
      </c>
    </row>
    <row r="7" spans="2:58" x14ac:dyDescent="0.25">
      <c r="C7" s="232" t="s">
        <v>167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72">
        <f>SUM(D7:O7)</f>
        <v>0</v>
      </c>
    </row>
    <row r="8" spans="2:58" x14ac:dyDescent="0.25">
      <c r="C8" s="230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72">
        <f>SUM(D8:O8)</f>
        <v>0</v>
      </c>
    </row>
    <row r="9" spans="2:58" x14ac:dyDescent="0.25">
      <c r="C9" s="230"/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72"/>
    </row>
    <row r="10" spans="2:58" x14ac:dyDescent="0.25">
      <c r="C10" s="230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72"/>
    </row>
    <row r="11" spans="2:58" x14ac:dyDescent="0.25"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72"/>
    </row>
    <row r="12" spans="2:58" x14ac:dyDescent="0.25">
      <c r="C12" s="230"/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72"/>
    </row>
    <row r="13" spans="2:58" x14ac:dyDescent="0.25">
      <c r="C13" s="230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72"/>
    </row>
    <row r="14" spans="2:58" x14ac:dyDescent="0.25">
      <c r="C14" s="230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72"/>
    </row>
    <row r="15" spans="2:58" x14ac:dyDescent="0.25">
      <c r="C15" s="230"/>
      <c r="D15" s="229"/>
      <c r="E15" s="229"/>
      <c r="F15" s="229"/>
      <c r="G15" s="229"/>
      <c r="H15" s="229"/>
      <c r="I15" s="229"/>
      <c r="J15" s="229"/>
      <c r="K15" s="229"/>
      <c r="L15" s="229"/>
      <c r="M15" s="229"/>
      <c r="N15" s="229"/>
      <c r="O15" s="229"/>
      <c r="P15" s="72"/>
    </row>
    <row r="16" spans="2:58" x14ac:dyDescent="0.25">
      <c r="C16" s="230"/>
      <c r="D16" s="229"/>
      <c r="E16" s="229"/>
      <c r="F16" s="229"/>
      <c r="G16" s="229"/>
      <c r="H16" s="229"/>
      <c r="I16" s="229"/>
      <c r="J16" s="229"/>
      <c r="K16" s="229"/>
      <c r="L16" s="229"/>
      <c r="M16" s="229"/>
      <c r="N16" s="229"/>
      <c r="O16" s="229"/>
      <c r="P16" s="72"/>
    </row>
    <row r="17" spans="3:16" x14ac:dyDescent="0.25">
      <c r="C17" s="230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29"/>
      <c r="O17" s="229"/>
      <c r="P17" s="72"/>
    </row>
    <row r="18" spans="3:16" x14ac:dyDescent="0.25">
      <c r="C18" s="230"/>
      <c r="D18" s="229"/>
      <c r="E18" s="229"/>
      <c r="F18" s="229"/>
      <c r="G18" s="229"/>
      <c r="H18" s="229"/>
      <c r="I18" s="229"/>
      <c r="J18" s="229"/>
      <c r="K18" s="229"/>
      <c r="L18" s="229"/>
      <c r="M18" s="229"/>
      <c r="N18" s="229"/>
      <c r="O18" s="229"/>
      <c r="P18" s="72"/>
    </row>
    <row r="19" spans="3:16" x14ac:dyDescent="0.25">
      <c r="C19" s="230"/>
      <c r="D19" s="229"/>
      <c r="E19" s="229"/>
      <c r="F19" s="229"/>
      <c r="G19" s="229"/>
      <c r="H19" s="229"/>
      <c r="I19" s="229"/>
      <c r="J19" s="229"/>
      <c r="K19" s="229"/>
      <c r="L19" s="229"/>
      <c r="M19" s="229"/>
      <c r="N19" s="229"/>
      <c r="O19" s="229"/>
      <c r="P19" s="72"/>
    </row>
    <row r="20" spans="3:16" x14ac:dyDescent="0.25">
      <c r="C20" s="230"/>
      <c r="D20" s="229"/>
      <c r="E20" s="229"/>
      <c r="F20" s="229"/>
      <c r="G20" s="229"/>
      <c r="H20" s="229"/>
      <c r="I20" s="229"/>
      <c r="J20" s="229"/>
      <c r="K20" s="229"/>
      <c r="L20" s="229"/>
      <c r="M20" s="229"/>
      <c r="N20" s="229"/>
      <c r="O20" s="229"/>
      <c r="P20" s="72"/>
    </row>
    <row r="21" spans="3:16" x14ac:dyDescent="0.25">
      <c r="C21" s="230"/>
      <c r="D21" s="229"/>
      <c r="E21" s="229"/>
      <c r="F21" s="229"/>
      <c r="G21" s="229"/>
      <c r="H21" s="229"/>
      <c r="I21" s="229"/>
      <c r="J21" s="229"/>
      <c r="K21" s="229"/>
      <c r="L21" s="229"/>
      <c r="M21" s="229"/>
      <c r="N21" s="229"/>
      <c r="O21" s="229"/>
      <c r="P21" s="72"/>
    </row>
    <row r="22" spans="3:16" x14ac:dyDescent="0.25">
      <c r="C22" s="230"/>
      <c r="D22" s="229"/>
      <c r="E22" s="229"/>
      <c r="F22" s="229"/>
      <c r="G22" s="229"/>
      <c r="H22" s="229"/>
      <c r="I22" s="229"/>
      <c r="J22" s="229"/>
      <c r="K22" s="229"/>
      <c r="L22" s="229"/>
      <c r="M22" s="229"/>
      <c r="N22" s="229"/>
      <c r="O22" s="229"/>
      <c r="P22" s="72"/>
    </row>
    <row r="23" spans="3:16" x14ac:dyDescent="0.25">
      <c r="C23" s="230"/>
      <c r="D23" s="229"/>
      <c r="E23" s="229"/>
      <c r="F23" s="229"/>
      <c r="G23" s="229"/>
      <c r="H23" s="229"/>
      <c r="I23" s="229"/>
      <c r="J23" s="229"/>
      <c r="K23" s="229"/>
      <c r="L23" s="229"/>
      <c r="M23" s="229"/>
      <c r="N23" s="229"/>
      <c r="O23" s="229"/>
      <c r="P23" s="229"/>
    </row>
    <row r="24" spans="3:16" x14ac:dyDescent="0.25">
      <c r="C24" s="230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</row>
    <row r="25" spans="3:16" x14ac:dyDescent="0.25">
      <c r="C25" s="230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</row>
    <row r="26" spans="3:16" x14ac:dyDescent="0.25">
      <c r="C26" s="230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/>
      <c r="P26" s="229"/>
    </row>
    <row r="27" spans="3:16" x14ac:dyDescent="0.25">
      <c r="C27" s="230"/>
      <c r="D27" s="229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29"/>
      <c r="P27" s="229"/>
    </row>
    <row r="28" spans="3:16" x14ac:dyDescent="0.25">
      <c r="C28" s="230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29"/>
      <c r="P28" s="229"/>
    </row>
    <row r="29" spans="3:16" x14ac:dyDescent="0.25">
      <c r="C29" s="230"/>
      <c r="D29" s="229"/>
      <c r="E29" s="229"/>
      <c r="F29" s="229"/>
      <c r="G29" s="229"/>
      <c r="H29" s="229"/>
      <c r="I29" s="229"/>
      <c r="J29" s="229"/>
      <c r="K29" s="229"/>
      <c r="L29" s="229"/>
      <c r="M29" s="229"/>
      <c r="N29" s="229"/>
      <c r="O29" s="229"/>
      <c r="P29" s="229"/>
    </row>
    <row r="30" spans="3:16" x14ac:dyDescent="0.25">
      <c r="C30" s="230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</row>
    <row r="31" spans="3:16" x14ac:dyDescent="0.25">
      <c r="C31" s="230"/>
      <c r="D31" s="229"/>
      <c r="E31" s="229"/>
      <c r="F31" s="229"/>
      <c r="G31" s="229"/>
      <c r="H31" s="229"/>
      <c r="I31" s="229"/>
      <c r="J31" s="229"/>
      <c r="K31" s="229"/>
      <c r="L31" s="229"/>
      <c r="M31" s="229"/>
      <c r="N31" s="229"/>
      <c r="O31" s="229"/>
      <c r="P31" s="229"/>
    </row>
    <row r="32" spans="3:16" x14ac:dyDescent="0.25">
      <c r="C32" s="230"/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</row>
    <row r="33" spans="3:16" x14ac:dyDescent="0.25">
      <c r="C33" s="230"/>
      <c r="D33" s="229"/>
      <c r="E33" s="229"/>
      <c r="F33" s="229"/>
      <c r="G33" s="229"/>
      <c r="H33" s="229"/>
      <c r="I33" s="229"/>
      <c r="J33" s="229"/>
      <c r="K33" s="229"/>
      <c r="L33" s="229"/>
      <c r="M33" s="229"/>
      <c r="N33" s="229"/>
      <c r="O33" s="229"/>
      <c r="P33" s="229"/>
    </row>
    <row r="34" spans="3:16" x14ac:dyDescent="0.25">
      <c r="C34" s="230"/>
      <c r="D34" s="229"/>
      <c r="E34" s="229"/>
      <c r="F34" s="229"/>
      <c r="G34" s="229"/>
      <c r="H34" s="229"/>
      <c r="I34" s="229"/>
      <c r="J34" s="229"/>
      <c r="K34" s="229"/>
      <c r="L34" s="229"/>
      <c r="M34" s="229"/>
      <c r="N34" s="229"/>
      <c r="O34" s="229"/>
      <c r="P34" s="229"/>
    </row>
    <row r="35" spans="3:16" x14ac:dyDescent="0.25">
      <c r="C35" s="230"/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</row>
    <row r="36" spans="3:16" x14ac:dyDescent="0.25">
      <c r="C36" s="230"/>
      <c r="D36" s="229"/>
      <c r="E36" s="229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</row>
    <row r="37" spans="3:16" x14ac:dyDescent="0.25">
      <c r="C37" s="230"/>
      <c r="D37" s="229"/>
      <c r="E37" s="229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</row>
    <row r="38" spans="3:16" x14ac:dyDescent="0.25">
      <c r="C38" s="230"/>
      <c r="D38" s="229"/>
      <c r="E38" s="229"/>
      <c r="F38" s="229"/>
      <c r="G38" s="229"/>
      <c r="H38" s="229"/>
      <c r="I38" s="229"/>
      <c r="J38" s="229"/>
      <c r="K38" s="229"/>
      <c r="L38" s="229"/>
      <c r="M38" s="229"/>
      <c r="N38" s="229"/>
      <c r="O38" s="229"/>
      <c r="P38" s="229"/>
    </row>
    <row r="39" spans="3:16" x14ac:dyDescent="0.25">
      <c r="C39" s="230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29"/>
      <c r="P39" s="229"/>
    </row>
    <row r="40" spans="3:16" x14ac:dyDescent="0.25">
      <c r="C40" s="230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29"/>
      <c r="P40" s="229"/>
    </row>
    <row r="41" spans="3:16" x14ac:dyDescent="0.25">
      <c r="C41" s="230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</row>
    <row r="42" spans="3:16" x14ac:dyDescent="0.25">
      <c r="C42" s="230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</row>
    <row r="43" spans="3:16" x14ac:dyDescent="0.25">
      <c r="C43" s="230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</row>
    <row r="44" spans="3:16" x14ac:dyDescent="0.25">
      <c r="C44" s="230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</row>
    <row r="45" spans="3:16" x14ac:dyDescent="0.25">
      <c r="C45" s="230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29"/>
      <c r="P45" s="229"/>
    </row>
    <row r="46" spans="3:16" x14ac:dyDescent="0.25">
      <c r="C46" s="230"/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</row>
    <row r="47" spans="3:16" x14ac:dyDescent="0.25">
      <c r="C47" s="230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29"/>
      <c r="P47" s="229"/>
    </row>
    <row r="48" spans="3:16" x14ac:dyDescent="0.25">
      <c r="C48" s="230"/>
      <c r="D48" s="229"/>
      <c r="E48" s="229"/>
      <c r="F48" s="229"/>
      <c r="G48" s="229"/>
      <c r="H48" s="229"/>
      <c r="I48" s="229"/>
      <c r="J48" s="229"/>
      <c r="K48" s="229"/>
      <c r="L48" s="229"/>
      <c r="M48" s="229"/>
      <c r="N48" s="229"/>
      <c r="O48" s="229"/>
      <c r="P48" s="229"/>
    </row>
    <row r="49" spans="3:16" x14ac:dyDescent="0.25">
      <c r="C49" s="230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</row>
    <row r="50" spans="3:16" x14ac:dyDescent="0.25">
      <c r="C50" s="230"/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</row>
    <row r="51" spans="3:16" x14ac:dyDescent="0.25">
      <c r="C51" s="230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</row>
    <row r="52" spans="3:16" x14ac:dyDescent="0.25">
      <c r="C52" s="230"/>
      <c r="D52" s="229"/>
      <c r="E52" s="229"/>
      <c r="F52" s="229"/>
      <c r="G52" s="229"/>
      <c r="H52" s="229"/>
      <c r="I52" s="229"/>
      <c r="J52" s="229"/>
      <c r="K52" s="229"/>
      <c r="L52" s="229"/>
      <c r="M52" s="229"/>
      <c r="N52" s="229"/>
      <c r="O52" s="229"/>
      <c r="P52" s="229"/>
    </row>
    <row r="53" spans="3:16" x14ac:dyDescent="0.25">
      <c r="C53" s="230"/>
      <c r="D53" s="229"/>
      <c r="E53" s="229"/>
      <c r="F53" s="229"/>
      <c r="G53" s="229"/>
      <c r="H53" s="229"/>
      <c r="I53" s="229"/>
      <c r="J53" s="229"/>
      <c r="K53" s="229"/>
      <c r="L53" s="229"/>
      <c r="M53" s="229"/>
      <c r="N53" s="229"/>
      <c r="O53" s="229"/>
      <c r="P53" s="229"/>
    </row>
    <row r="54" spans="3:16" x14ac:dyDescent="0.25">
      <c r="C54" s="230"/>
      <c r="D54" s="229"/>
      <c r="E54" s="229"/>
      <c r="F54" s="229"/>
      <c r="G54" s="229"/>
      <c r="H54" s="229"/>
      <c r="I54" s="229"/>
      <c r="J54" s="229"/>
      <c r="K54" s="229"/>
      <c r="L54" s="229"/>
      <c r="M54" s="229"/>
      <c r="N54" s="229"/>
      <c r="O54" s="229"/>
      <c r="P54" s="229"/>
    </row>
    <row r="55" spans="3:16" x14ac:dyDescent="0.25">
      <c r="C55" s="230"/>
      <c r="D55" s="229"/>
      <c r="E55" s="229"/>
      <c r="F55" s="229"/>
      <c r="G55" s="229"/>
      <c r="H55" s="229"/>
      <c r="I55" s="229"/>
      <c r="J55" s="229"/>
      <c r="K55" s="229"/>
      <c r="L55" s="229"/>
      <c r="M55" s="229"/>
      <c r="N55" s="229"/>
      <c r="O55" s="229"/>
      <c r="P55" s="229"/>
    </row>
    <row r="56" spans="3:16" x14ac:dyDescent="0.25">
      <c r="C56" s="230"/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  <c r="P56" s="229"/>
    </row>
    <row r="57" spans="3:16" x14ac:dyDescent="0.25">
      <c r="C57" s="230"/>
      <c r="D57" s="229"/>
      <c r="E57" s="229"/>
      <c r="F57" s="229"/>
      <c r="G57" s="229"/>
      <c r="H57" s="229"/>
      <c r="I57" s="229"/>
      <c r="J57" s="229"/>
      <c r="K57" s="229"/>
      <c r="L57" s="229"/>
      <c r="M57" s="229"/>
      <c r="N57" s="229"/>
      <c r="O57" s="229"/>
      <c r="P57" s="229"/>
    </row>
    <row r="58" spans="3:16" x14ac:dyDescent="0.25">
      <c r="C58" s="230"/>
      <c r="D58" s="229"/>
      <c r="E58" s="229"/>
      <c r="F58" s="229"/>
      <c r="G58" s="229"/>
      <c r="H58" s="229"/>
      <c r="I58" s="229"/>
      <c r="J58" s="229"/>
      <c r="K58" s="229"/>
      <c r="L58" s="229"/>
      <c r="M58" s="229"/>
      <c r="N58" s="229"/>
      <c r="O58" s="229"/>
      <c r="P58" s="229"/>
    </row>
    <row r="59" spans="3:16" x14ac:dyDescent="0.25">
      <c r="C59" s="230"/>
      <c r="D59" s="229"/>
      <c r="E59" s="229"/>
      <c r="F59" s="229"/>
      <c r="G59" s="229"/>
      <c r="H59" s="229"/>
      <c r="I59" s="229"/>
      <c r="J59" s="229"/>
      <c r="K59" s="229"/>
      <c r="L59" s="229"/>
      <c r="M59" s="229"/>
      <c r="N59" s="229"/>
      <c r="O59" s="229"/>
      <c r="P59" s="229"/>
    </row>
    <row r="60" spans="3:16" x14ac:dyDescent="0.25">
      <c r="C60" s="230"/>
      <c r="D60" s="229"/>
      <c r="E60" s="229"/>
      <c r="F60" s="229"/>
      <c r="G60" s="229"/>
      <c r="H60" s="229"/>
      <c r="I60" s="229"/>
      <c r="J60" s="229"/>
      <c r="K60" s="229"/>
      <c r="L60" s="229"/>
      <c r="M60" s="229"/>
      <c r="N60" s="229"/>
      <c r="O60" s="229"/>
      <c r="P60" s="229"/>
    </row>
    <row r="61" spans="3:16" x14ac:dyDescent="0.25">
      <c r="C61" s="230"/>
      <c r="D61" s="229"/>
      <c r="E61" s="229"/>
      <c r="F61" s="229"/>
      <c r="G61" s="229"/>
      <c r="H61" s="229"/>
      <c r="I61" s="229"/>
      <c r="J61" s="229"/>
      <c r="K61" s="229"/>
      <c r="L61" s="229"/>
      <c r="M61" s="229"/>
      <c r="N61" s="229"/>
      <c r="O61" s="229"/>
      <c r="P61" s="229"/>
    </row>
    <row r="62" spans="3:16" x14ac:dyDescent="0.25">
      <c r="C62" s="230"/>
      <c r="D62" s="229"/>
      <c r="E62" s="229"/>
      <c r="F62" s="229"/>
      <c r="G62" s="229"/>
      <c r="H62" s="229"/>
      <c r="I62" s="229"/>
      <c r="J62" s="229"/>
      <c r="K62" s="229"/>
      <c r="L62" s="229"/>
      <c r="M62" s="229"/>
      <c r="N62" s="229"/>
      <c r="O62" s="229"/>
      <c r="P62" s="229"/>
    </row>
    <row r="63" spans="3:16" x14ac:dyDescent="0.25">
      <c r="C63" s="230"/>
      <c r="D63" s="229"/>
      <c r="E63" s="229"/>
      <c r="F63" s="229"/>
      <c r="G63" s="229"/>
      <c r="H63" s="229"/>
      <c r="I63" s="229"/>
      <c r="J63" s="229"/>
      <c r="K63" s="229"/>
      <c r="L63" s="229"/>
      <c r="M63" s="229"/>
      <c r="N63" s="229"/>
      <c r="O63" s="229"/>
      <c r="P63" s="229"/>
    </row>
    <row r="64" spans="3:16" x14ac:dyDescent="0.25">
      <c r="C64" s="230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29"/>
      <c r="P64" s="229"/>
    </row>
    <row r="65" spans="3:16" x14ac:dyDescent="0.25">
      <c r="C65" s="230"/>
      <c r="D65" s="229"/>
      <c r="E65" s="229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29"/>
    </row>
    <row r="66" spans="3:16" x14ac:dyDescent="0.25">
      <c r="C66" s="230"/>
      <c r="D66" s="229"/>
      <c r="E66" s="229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29"/>
    </row>
    <row r="67" spans="3:16" x14ac:dyDescent="0.25">
      <c r="C67" s="230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29"/>
    </row>
    <row r="68" spans="3:16" x14ac:dyDescent="0.25">
      <c r="C68" s="230"/>
      <c r="D68" s="229"/>
      <c r="E68" s="229"/>
      <c r="F68" s="229"/>
      <c r="G68" s="229"/>
      <c r="H68" s="229"/>
      <c r="I68" s="229"/>
      <c r="J68" s="229"/>
      <c r="K68" s="229"/>
      <c r="L68" s="229"/>
      <c r="M68" s="229"/>
      <c r="N68" s="229"/>
      <c r="O68" s="229"/>
      <c r="P68" s="229"/>
    </row>
    <row r="69" spans="3:16" x14ac:dyDescent="0.25">
      <c r="C69" s="230"/>
      <c r="D69" s="229"/>
      <c r="E69" s="229"/>
      <c r="F69" s="229"/>
      <c r="G69" s="229"/>
      <c r="H69" s="229"/>
      <c r="I69" s="229"/>
      <c r="J69" s="229"/>
      <c r="K69" s="229"/>
      <c r="L69" s="229"/>
      <c r="M69" s="229"/>
      <c r="N69" s="229"/>
      <c r="O69" s="229"/>
      <c r="P69" s="229"/>
    </row>
    <row r="70" spans="3:16" x14ac:dyDescent="0.25">
      <c r="C70" s="230"/>
      <c r="D70" s="229"/>
      <c r="E70" s="229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29"/>
    </row>
    <row r="71" spans="3:16" x14ac:dyDescent="0.25">
      <c r="C71" s="230"/>
      <c r="D71" s="229"/>
      <c r="E71" s="229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29"/>
    </row>
    <row r="72" spans="3:16" x14ac:dyDescent="0.25">
      <c r="C72" s="230"/>
      <c r="D72" s="229"/>
      <c r="E72" s="229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29"/>
    </row>
    <row r="73" spans="3:16" x14ac:dyDescent="0.25">
      <c r="C73" s="230"/>
      <c r="D73" s="229"/>
      <c r="E73" s="229"/>
      <c r="F73" s="229"/>
      <c r="G73" s="229"/>
      <c r="H73" s="229"/>
      <c r="I73" s="229"/>
      <c r="J73" s="229"/>
      <c r="K73" s="229"/>
      <c r="L73" s="229"/>
      <c r="M73" s="229"/>
      <c r="N73" s="229"/>
      <c r="O73" s="229"/>
      <c r="P73" s="229"/>
    </row>
    <row r="74" spans="3:16" x14ac:dyDescent="0.25">
      <c r="C74" s="230"/>
      <c r="D74" s="229"/>
      <c r="E74" s="229"/>
      <c r="F74" s="229"/>
      <c r="G74" s="229"/>
      <c r="H74" s="229"/>
      <c r="I74" s="229"/>
      <c r="J74" s="229"/>
      <c r="K74" s="229"/>
      <c r="L74" s="229"/>
      <c r="M74" s="229"/>
      <c r="N74" s="229"/>
      <c r="O74" s="229"/>
      <c r="P74" s="229"/>
    </row>
    <row r="75" spans="3:16" x14ac:dyDescent="0.25">
      <c r="C75" s="230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29"/>
      <c r="P75" s="229"/>
    </row>
    <row r="76" spans="3:16" x14ac:dyDescent="0.25">
      <c r="C76" s="230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</row>
    <row r="77" spans="3:16" x14ac:dyDescent="0.25">
      <c r="C77" s="230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</row>
    <row r="78" spans="3:16" x14ac:dyDescent="0.25">
      <c r="D78" s="229"/>
      <c r="E78" s="229"/>
      <c r="F78" s="229"/>
      <c r="G78" s="229"/>
      <c r="H78" s="229"/>
      <c r="I78" s="229"/>
      <c r="J78" s="229"/>
      <c r="K78" s="229"/>
      <c r="L78" s="229"/>
      <c r="M78" s="229"/>
      <c r="N78" s="229"/>
      <c r="O78" s="229"/>
      <c r="P78" s="229"/>
    </row>
    <row r="79" spans="3:16" x14ac:dyDescent="0.25">
      <c r="D79" s="229"/>
      <c r="E79" s="229"/>
      <c r="F79" s="229"/>
      <c r="G79" s="229"/>
      <c r="H79" s="229"/>
      <c r="I79" s="229"/>
      <c r="J79" s="229"/>
      <c r="K79" s="229"/>
      <c r="L79" s="229"/>
      <c r="M79" s="229"/>
      <c r="N79" s="229"/>
      <c r="O79" s="229"/>
      <c r="P79" s="229"/>
    </row>
    <row r="80" spans="3:16" x14ac:dyDescent="0.25">
      <c r="D80" s="229"/>
      <c r="E80" s="229"/>
      <c r="F80" s="229"/>
      <c r="G80" s="229"/>
      <c r="H80" s="229"/>
      <c r="I80" s="229"/>
      <c r="J80" s="229"/>
      <c r="K80" s="229"/>
      <c r="L80" s="229"/>
      <c r="M80" s="229"/>
      <c r="N80" s="229"/>
      <c r="O80" s="229"/>
      <c r="P80" s="229"/>
    </row>
    <row r="81" spans="4:16" x14ac:dyDescent="0.25"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29"/>
      <c r="P81" s="229"/>
    </row>
    <row r="82" spans="4:16" x14ac:dyDescent="0.25">
      <c r="D82" s="229"/>
      <c r="E82" s="229"/>
      <c r="F82" s="229"/>
      <c r="G82" s="229"/>
      <c r="H82" s="229"/>
      <c r="I82" s="229"/>
      <c r="J82" s="229"/>
      <c r="K82" s="229"/>
      <c r="L82" s="229"/>
      <c r="M82" s="229"/>
      <c r="N82" s="229"/>
      <c r="O82" s="229"/>
      <c r="P82" s="229"/>
    </row>
    <row r="83" spans="4:16" x14ac:dyDescent="0.25">
      <c r="D83" s="229"/>
      <c r="E83" s="229"/>
      <c r="F83" s="229"/>
      <c r="G83" s="229"/>
      <c r="H83" s="229"/>
      <c r="I83" s="229"/>
      <c r="J83" s="229"/>
      <c r="K83" s="229"/>
      <c r="L83" s="229"/>
      <c r="M83" s="229"/>
      <c r="N83" s="229"/>
      <c r="O83" s="229"/>
      <c r="P83" s="229"/>
    </row>
    <row r="84" spans="4:16" x14ac:dyDescent="0.25">
      <c r="D84" s="229"/>
      <c r="E84" s="229"/>
      <c r="F84" s="229"/>
      <c r="G84" s="229"/>
      <c r="H84" s="229"/>
      <c r="I84" s="229"/>
      <c r="J84" s="229"/>
      <c r="K84" s="229"/>
      <c r="L84" s="229"/>
      <c r="M84" s="229"/>
      <c r="N84" s="229"/>
      <c r="O84" s="229"/>
      <c r="P84" s="229"/>
    </row>
    <row r="85" spans="4:16" x14ac:dyDescent="0.25">
      <c r="D85" s="229"/>
      <c r="E85" s="229"/>
      <c r="F85" s="229"/>
      <c r="G85" s="229"/>
      <c r="H85" s="229"/>
      <c r="I85" s="229"/>
      <c r="J85" s="229"/>
      <c r="K85" s="229"/>
      <c r="L85" s="229"/>
      <c r="M85" s="229"/>
      <c r="N85" s="229"/>
      <c r="O85" s="229"/>
      <c r="P85" s="229"/>
    </row>
    <row r="86" spans="4:16" x14ac:dyDescent="0.25">
      <c r="D86" s="229"/>
      <c r="E86" s="229"/>
      <c r="F86" s="229"/>
      <c r="G86" s="229"/>
      <c r="H86" s="229"/>
      <c r="I86" s="229"/>
      <c r="J86" s="229"/>
      <c r="K86" s="229"/>
      <c r="L86" s="229"/>
      <c r="M86" s="229"/>
      <c r="N86" s="229"/>
      <c r="O86" s="229"/>
      <c r="P86" s="229"/>
    </row>
    <row r="87" spans="4:16" x14ac:dyDescent="0.25">
      <c r="D87" s="229"/>
      <c r="E87" s="229"/>
      <c r="F87" s="229"/>
      <c r="G87" s="229"/>
      <c r="H87" s="229"/>
      <c r="I87" s="229"/>
      <c r="J87" s="229"/>
      <c r="K87" s="229"/>
      <c r="L87" s="229"/>
      <c r="M87" s="229"/>
      <c r="N87" s="229"/>
      <c r="O87" s="229"/>
      <c r="P87" s="229"/>
    </row>
    <row r="88" spans="4:16" x14ac:dyDescent="0.25">
      <c r="D88" s="229"/>
      <c r="E88" s="229"/>
      <c r="F88" s="229"/>
      <c r="G88" s="229"/>
      <c r="H88" s="229"/>
      <c r="I88" s="229"/>
      <c r="J88" s="229"/>
      <c r="K88" s="229"/>
      <c r="L88" s="229"/>
      <c r="M88" s="229"/>
      <c r="N88" s="229"/>
      <c r="O88" s="229"/>
      <c r="P88" s="229"/>
    </row>
    <row r="89" spans="4:16" x14ac:dyDescent="0.25">
      <c r="D89" s="229"/>
      <c r="E89" s="229"/>
      <c r="F89" s="229"/>
      <c r="G89" s="229"/>
      <c r="H89" s="229"/>
      <c r="I89" s="229"/>
      <c r="J89" s="229"/>
      <c r="K89" s="229"/>
      <c r="L89" s="229"/>
      <c r="M89" s="229"/>
      <c r="N89" s="229"/>
      <c r="O89" s="229"/>
      <c r="P89" s="229"/>
    </row>
    <row r="90" spans="4:16" x14ac:dyDescent="0.25">
      <c r="D90" s="229"/>
      <c r="E90" s="229"/>
      <c r="F90" s="229"/>
      <c r="G90" s="229"/>
      <c r="H90" s="229"/>
      <c r="I90" s="229"/>
      <c r="J90" s="229"/>
      <c r="K90" s="229"/>
      <c r="L90" s="229"/>
      <c r="M90" s="229"/>
      <c r="N90" s="229"/>
      <c r="O90" s="229"/>
      <c r="P90" s="229"/>
    </row>
    <row r="91" spans="4:16" x14ac:dyDescent="0.25">
      <c r="D91" s="229"/>
      <c r="E91" s="229"/>
      <c r="F91" s="229"/>
      <c r="G91" s="229"/>
      <c r="H91" s="229"/>
      <c r="I91" s="229"/>
      <c r="J91" s="229"/>
      <c r="K91" s="229"/>
      <c r="L91" s="229"/>
      <c r="M91" s="229"/>
      <c r="N91" s="229"/>
      <c r="O91" s="229"/>
      <c r="P91" s="229"/>
    </row>
    <row r="92" spans="4:16" x14ac:dyDescent="0.25">
      <c r="D92" s="229"/>
      <c r="E92" s="229"/>
      <c r="F92" s="229"/>
      <c r="G92" s="229"/>
      <c r="H92" s="229"/>
      <c r="I92" s="229"/>
      <c r="J92" s="229"/>
      <c r="K92" s="229"/>
      <c r="L92" s="229"/>
      <c r="M92" s="229"/>
      <c r="N92" s="229"/>
      <c r="O92" s="229"/>
      <c r="P92" s="229"/>
    </row>
    <row r="93" spans="4:16" x14ac:dyDescent="0.25">
      <c r="D93" s="229"/>
      <c r="E93" s="229"/>
      <c r="F93" s="229"/>
      <c r="G93" s="229"/>
      <c r="H93" s="229"/>
      <c r="I93" s="229"/>
      <c r="J93" s="229"/>
      <c r="K93" s="229"/>
      <c r="L93" s="229"/>
      <c r="M93" s="229"/>
      <c r="N93" s="229"/>
      <c r="O93" s="229"/>
      <c r="P93" s="229"/>
    </row>
    <row r="94" spans="4:16" x14ac:dyDescent="0.25"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29"/>
      <c r="P94" s="229"/>
    </row>
    <row r="95" spans="4:16" x14ac:dyDescent="0.25">
      <c r="D95" s="229"/>
      <c r="E95" s="229"/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</row>
    <row r="96" spans="4:16" x14ac:dyDescent="0.25">
      <c r="D96" s="229"/>
      <c r="E96" s="229"/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</row>
    <row r="97" spans="4:16" x14ac:dyDescent="0.25">
      <c r="D97" s="229"/>
      <c r="E97" s="229"/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</row>
    <row r="98" spans="4:16" x14ac:dyDescent="0.25"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29"/>
      <c r="P98" s="229"/>
    </row>
    <row r="99" spans="4:16" x14ac:dyDescent="0.25">
      <c r="D99" s="229"/>
      <c r="E99" s="229"/>
      <c r="F99" s="229"/>
      <c r="G99" s="229"/>
      <c r="H99" s="229"/>
      <c r="I99" s="229"/>
      <c r="J99" s="229"/>
      <c r="K99" s="229"/>
      <c r="L99" s="229"/>
      <c r="M99" s="229"/>
      <c r="N99" s="229"/>
      <c r="O99" s="229"/>
      <c r="P99" s="229"/>
    </row>
    <row r="100" spans="4:16" x14ac:dyDescent="0.25">
      <c r="D100" s="229"/>
      <c r="E100" s="229"/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</row>
    <row r="101" spans="4:16" x14ac:dyDescent="0.25">
      <c r="D101" s="229"/>
      <c r="E101" s="229"/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</row>
    <row r="102" spans="4:16" x14ac:dyDescent="0.25">
      <c r="D102" s="229"/>
      <c r="E102" s="229"/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</row>
    <row r="103" spans="4:16" x14ac:dyDescent="0.25">
      <c r="D103" s="229"/>
      <c r="E103" s="229"/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</row>
    <row r="104" spans="4:16" x14ac:dyDescent="0.25">
      <c r="D104" s="229"/>
      <c r="E104" s="229"/>
      <c r="F104" s="229"/>
      <c r="G104" s="229"/>
      <c r="H104" s="229"/>
      <c r="I104" s="229"/>
      <c r="J104" s="229"/>
      <c r="K104" s="229"/>
      <c r="L104" s="229"/>
      <c r="M104" s="229"/>
      <c r="N104" s="229"/>
      <c r="O104" s="229"/>
      <c r="P104" s="229"/>
    </row>
    <row r="105" spans="4:16" x14ac:dyDescent="0.25">
      <c r="D105" s="229"/>
      <c r="E105" s="229"/>
      <c r="F105" s="229"/>
      <c r="G105" s="229"/>
      <c r="H105" s="229"/>
      <c r="I105" s="229"/>
      <c r="J105" s="229"/>
      <c r="K105" s="229"/>
      <c r="L105" s="229"/>
      <c r="M105" s="229"/>
      <c r="N105" s="229"/>
      <c r="O105" s="229"/>
      <c r="P105" s="229"/>
    </row>
    <row r="106" spans="4:16" x14ac:dyDescent="0.25">
      <c r="D106" s="229"/>
      <c r="E106" s="229"/>
      <c r="F106" s="229"/>
      <c r="G106" s="229"/>
      <c r="H106" s="229"/>
      <c r="I106" s="229"/>
      <c r="J106" s="229"/>
      <c r="K106" s="229"/>
      <c r="L106" s="229"/>
      <c r="M106" s="229"/>
      <c r="N106" s="229"/>
      <c r="O106" s="229"/>
      <c r="P106" s="229"/>
    </row>
    <row r="107" spans="4:16" x14ac:dyDescent="0.25">
      <c r="D107" s="229"/>
      <c r="E107" s="229"/>
      <c r="F107" s="229"/>
      <c r="G107" s="229"/>
      <c r="H107" s="229"/>
      <c r="I107" s="229"/>
      <c r="J107" s="229"/>
      <c r="K107" s="229"/>
      <c r="L107" s="229"/>
      <c r="M107" s="229"/>
      <c r="N107" s="229"/>
      <c r="O107" s="229"/>
      <c r="P107" s="229"/>
    </row>
    <row r="108" spans="4:16" x14ac:dyDescent="0.25">
      <c r="D108" s="229"/>
      <c r="E108" s="229"/>
      <c r="F108" s="229"/>
      <c r="G108" s="229"/>
      <c r="H108" s="229"/>
      <c r="I108" s="229"/>
      <c r="J108" s="229"/>
      <c r="K108" s="229"/>
      <c r="L108" s="229"/>
      <c r="M108" s="229"/>
      <c r="N108" s="229"/>
      <c r="O108" s="229"/>
      <c r="P108" s="229"/>
    </row>
    <row r="109" spans="4:16" x14ac:dyDescent="0.25"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29"/>
      <c r="P109" s="229"/>
    </row>
    <row r="110" spans="4:16" x14ac:dyDescent="0.25">
      <c r="D110" s="229"/>
      <c r="E110" s="229"/>
      <c r="F110" s="229"/>
      <c r="G110" s="229"/>
      <c r="H110" s="229"/>
      <c r="I110" s="229"/>
      <c r="J110" s="229"/>
      <c r="K110" s="229"/>
      <c r="L110" s="229"/>
      <c r="M110" s="229"/>
      <c r="N110" s="229"/>
      <c r="O110" s="229"/>
      <c r="P110" s="229"/>
    </row>
    <row r="111" spans="4:16" x14ac:dyDescent="0.25">
      <c r="D111" s="229"/>
      <c r="E111" s="229"/>
      <c r="F111" s="229"/>
      <c r="G111" s="229"/>
      <c r="H111" s="229"/>
      <c r="I111" s="229"/>
      <c r="J111" s="229"/>
      <c r="K111" s="229"/>
      <c r="L111" s="229"/>
      <c r="M111" s="229"/>
      <c r="N111" s="229"/>
      <c r="O111" s="229"/>
      <c r="P111" s="229"/>
    </row>
    <row r="112" spans="4:16" x14ac:dyDescent="0.25">
      <c r="D112" s="229"/>
      <c r="E112" s="229"/>
      <c r="F112" s="229"/>
      <c r="G112" s="229"/>
      <c r="H112" s="229"/>
      <c r="I112" s="229"/>
      <c r="J112" s="229"/>
      <c r="K112" s="229"/>
      <c r="L112" s="229"/>
      <c r="M112" s="229"/>
      <c r="N112" s="229"/>
      <c r="O112" s="229"/>
      <c r="P112" s="229"/>
    </row>
    <row r="113" spans="4:16" x14ac:dyDescent="0.25"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</row>
    <row r="114" spans="4:16" x14ac:dyDescent="0.25">
      <c r="D114" s="164"/>
      <c r="E114" s="164"/>
      <c r="F114" s="164"/>
      <c r="G114" s="164"/>
      <c r="H114" s="164"/>
      <c r="I114" s="164"/>
      <c r="J114" s="164"/>
      <c r="K114" s="164"/>
      <c r="L114" s="164"/>
      <c r="M114" s="164"/>
      <c r="N114" s="164"/>
      <c r="O114" s="164"/>
      <c r="P114" s="164"/>
    </row>
    <row r="115" spans="4:16" x14ac:dyDescent="0.25">
      <c r="D115" s="164"/>
      <c r="E115" s="164"/>
      <c r="F115" s="164"/>
      <c r="G115" s="164"/>
      <c r="H115" s="164"/>
      <c r="I115" s="164"/>
      <c r="J115" s="164"/>
      <c r="K115" s="164"/>
      <c r="L115" s="164"/>
      <c r="M115" s="164"/>
      <c r="N115" s="164"/>
      <c r="O115" s="164"/>
      <c r="P115" s="164"/>
    </row>
    <row r="116" spans="4:16" x14ac:dyDescent="0.25">
      <c r="D116" s="164"/>
      <c r="E116" s="164"/>
      <c r="F116" s="164"/>
      <c r="G116" s="164"/>
      <c r="H116" s="164"/>
      <c r="I116" s="164"/>
      <c r="J116" s="164"/>
      <c r="K116" s="164"/>
      <c r="L116" s="164"/>
      <c r="M116" s="164"/>
      <c r="N116" s="164"/>
      <c r="O116" s="164"/>
      <c r="P116" s="164"/>
    </row>
    <row r="117" spans="4:16" x14ac:dyDescent="0.25"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</row>
    <row r="118" spans="4:16" x14ac:dyDescent="0.25">
      <c r="D118" s="164"/>
      <c r="E118" s="164"/>
      <c r="F118" s="164"/>
      <c r="G118" s="164"/>
      <c r="H118" s="164"/>
      <c r="I118" s="164"/>
      <c r="J118" s="164"/>
      <c r="K118" s="164"/>
      <c r="L118" s="164"/>
      <c r="M118" s="164"/>
      <c r="N118" s="164"/>
      <c r="O118" s="164"/>
      <c r="P118" s="164"/>
    </row>
    <row r="119" spans="4:16" x14ac:dyDescent="0.25">
      <c r="D119" s="164"/>
      <c r="E119" s="164"/>
      <c r="F119" s="164"/>
      <c r="G119" s="164"/>
      <c r="H119" s="164"/>
      <c r="I119" s="164"/>
      <c r="J119" s="164"/>
      <c r="K119" s="164"/>
      <c r="L119" s="164"/>
      <c r="M119" s="164"/>
      <c r="N119" s="164"/>
      <c r="O119" s="164"/>
      <c r="P119" s="164"/>
    </row>
    <row r="120" spans="4:16" x14ac:dyDescent="0.25">
      <c r="D120" s="164"/>
      <c r="E120" s="164"/>
      <c r="F120" s="164"/>
      <c r="G120" s="164"/>
      <c r="H120" s="164"/>
      <c r="I120" s="164"/>
      <c r="J120" s="164"/>
      <c r="K120" s="164"/>
      <c r="L120" s="164"/>
      <c r="M120" s="164"/>
      <c r="N120" s="164"/>
      <c r="O120" s="164"/>
      <c r="P120" s="164"/>
    </row>
    <row r="121" spans="4:16" x14ac:dyDescent="0.25"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4"/>
      <c r="P121" s="164"/>
    </row>
    <row r="122" spans="4:16" x14ac:dyDescent="0.25">
      <c r="D122" s="164"/>
      <c r="E122" s="164"/>
      <c r="F122" s="164"/>
      <c r="G122" s="164"/>
      <c r="H122" s="164"/>
      <c r="I122" s="164"/>
      <c r="J122" s="164"/>
      <c r="K122" s="164"/>
      <c r="L122" s="164"/>
      <c r="M122" s="164"/>
      <c r="N122" s="164"/>
      <c r="O122" s="164"/>
      <c r="P122" s="164"/>
    </row>
    <row r="123" spans="4:16" x14ac:dyDescent="0.25">
      <c r="D123" s="164"/>
      <c r="E123" s="164"/>
      <c r="F123" s="164"/>
      <c r="G123" s="164"/>
      <c r="H123" s="164"/>
      <c r="I123" s="164"/>
      <c r="J123" s="164"/>
      <c r="K123" s="164"/>
      <c r="L123" s="164"/>
      <c r="M123" s="164"/>
      <c r="N123" s="164"/>
      <c r="O123" s="164"/>
      <c r="P123" s="164"/>
    </row>
    <row r="124" spans="4:16" x14ac:dyDescent="0.25">
      <c r="D124" s="164"/>
      <c r="E124" s="164"/>
      <c r="F124" s="164"/>
      <c r="G124" s="164"/>
      <c r="H124" s="164"/>
      <c r="I124" s="164"/>
      <c r="J124" s="164"/>
      <c r="K124" s="164"/>
      <c r="L124" s="164"/>
      <c r="M124" s="164"/>
      <c r="N124" s="164"/>
      <c r="O124" s="164"/>
      <c r="P124" s="164"/>
    </row>
    <row r="125" spans="4:16" x14ac:dyDescent="0.25">
      <c r="D125" s="164"/>
      <c r="E125" s="164"/>
      <c r="F125" s="164"/>
      <c r="G125" s="164"/>
      <c r="H125" s="164"/>
      <c r="I125" s="164"/>
      <c r="J125" s="164"/>
      <c r="K125" s="164"/>
      <c r="L125" s="164"/>
      <c r="M125" s="164"/>
      <c r="N125" s="164"/>
      <c r="O125" s="164"/>
      <c r="P125" s="164"/>
    </row>
    <row r="126" spans="4:16" x14ac:dyDescent="0.25">
      <c r="D126" s="164"/>
      <c r="E126" s="164"/>
      <c r="F126" s="164"/>
      <c r="G126" s="164"/>
      <c r="H126" s="164"/>
      <c r="I126" s="164"/>
      <c r="J126" s="164"/>
      <c r="K126" s="164"/>
      <c r="L126" s="164"/>
      <c r="M126" s="164"/>
      <c r="N126" s="164"/>
      <c r="O126" s="164"/>
      <c r="P126" s="164"/>
    </row>
    <row r="127" spans="4:16" x14ac:dyDescent="0.25">
      <c r="D127" s="164"/>
      <c r="E127" s="164"/>
      <c r="F127" s="164"/>
      <c r="G127" s="164"/>
      <c r="H127" s="164"/>
      <c r="I127" s="164"/>
      <c r="J127" s="164"/>
      <c r="K127" s="164"/>
      <c r="L127" s="164"/>
      <c r="M127" s="164"/>
      <c r="N127" s="164"/>
      <c r="O127" s="164"/>
      <c r="P127" s="164"/>
    </row>
    <row r="128" spans="4:16" x14ac:dyDescent="0.25">
      <c r="D128" s="164"/>
      <c r="E128" s="164"/>
      <c r="F128" s="164"/>
      <c r="G128" s="164"/>
      <c r="H128" s="164"/>
      <c r="I128" s="164"/>
      <c r="J128" s="164"/>
      <c r="K128" s="164"/>
      <c r="L128" s="164"/>
      <c r="M128" s="164"/>
      <c r="N128" s="164"/>
      <c r="O128" s="164"/>
      <c r="P128" s="164"/>
    </row>
    <row r="129" spans="4:16" x14ac:dyDescent="0.25">
      <c r="D129" s="164"/>
      <c r="E129" s="164"/>
      <c r="F129" s="164"/>
      <c r="G129" s="164"/>
      <c r="H129" s="164"/>
      <c r="I129" s="164"/>
      <c r="J129" s="164"/>
      <c r="K129" s="164"/>
      <c r="L129" s="164"/>
      <c r="M129" s="164"/>
      <c r="N129" s="164"/>
      <c r="O129" s="164"/>
      <c r="P129" s="164"/>
    </row>
    <row r="130" spans="4:16" x14ac:dyDescent="0.25">
      <c r="D130" s="164"/>
      <c r="E130" s="164"/>
      <c r="F130" s="164"/>
      <c r="G130" s="164"/>
      <c r="H130" s="164"/>
      <c r="I130" s="164"/>
      <c r="J130" s="164"/>
      <c r="K130" s="164"/>
      <c r="L130" s="164"/>
      <c r="M130" s="164"/>
      <c r="N130" s="164"/>
      <c r="O130" s="164"/>
      <c r="P130" s="164"/>
    </row>
    <row r="131" spans="4:16" x14ac:dyDescent="0.25">
      <c r="D131" s="164"/>
      <c r="E131" s="164"/>
      <c r="F131" s="164"/>
      <c r="G131" s="164"/>
      <c r="H131" s="164"/>
      <c r="I131" s="164"/>
      <c r="J131" s="164"/>
      <c r="K131" s="164"/>
      <c r="L131" s="164"/>
      <c r="M131" s="164"/>
      <c r="N131" s="164"/>
      <c r="O131" s="164"/>
      <c r="P131" s="164"/>
    </row>
    <row r="132" spans="4:16" x14ac:dyDescent="0.25">
      <c r="D132" s="164"/>
      <c r="E132" s="164"/>
      <c r="F132" s="164"/>
      <c r="G132" s="164"/>
      <c r="H132" s="164"/>
      <c r="I132" s="164"/>
      <c r="J132" s="164"/>
      <c r="K132" s="164"/>
      <c r="L132" s="164"/>
      <c r="M132" s="164"/>
      <c r="N132" s="164"/>
      <c r="O132" s="164"/>
      <c r="P132" s="164"/>
    </row>
    <row r="133" spans="4:16" x14ac:dyDescent="0.25">
      <c r="D133" s="164"/>
      <c r="E133" s="164"/>
      <c r="F133" s="164"/>
      <c r="G133" s="164"/>
      <c r="H133" s="164"/>
      <c r="I133" s="164"/>
      <c r="J133" s="164"/>
      <c r="K133" s="164"/>
      <c r="L133" s="164"/>
      <c r="M133" s="164"/>
      <c r="N133" s="164"/>
      <c r="O133" s="164"/>
      <c r="P133" s="164"/>
    </row>
    <row r="134" spans="4:16" x14ac:dyDescent="0.25">
      <c r="D134" s="164"/>
      <c r="E134" s="164"/>
      <c r="F134" s="164"/>
      <c r="G134" s="164"/>
      <c r="H134" s="164"/>
      <c r="I134" s="164"/>
      <c r="J134" s="164"/>
      <c r="K134" s="164"/>
      <c r="L134" s="164"/>
      <c r="M134" s="164"/>
      <c r="N134" s="164"/>
      <c r="O134" s="164"/>
      <c r="P134" s="164"/>
    </row>
    <row r="135" spans="4:16" x14ac:dyDescent="0.25">
      <c r="D135" s="164"/>
      <c r="E135" s="164"/>
      <c r="F135" s="164"/>
      <c r="G135" s="164"/>
      <c r="H135" s="164"/>
      <c r="I135" s="164"/>
      <c r="J135" s="164"/>
      <c r="K135" s="164"/>
      <c r="L135" s="164"/>
      <c r="M135" s="164"/>
      <c r="N135" s="164"/>
      <c r="O135" s="164"/>
      <c r="P135" s="164"/>
    </row>
    <row r="136" spans="4:16" x14ac:dyDescent="0.25">
      <c r="D136" s="164"/>
      <c r="E136" s="164"/>
      <c r="F136" s="164"/>
      <c r="G136" s="164"/>
      <c r="H136" s="164"/>
      <c r="I136" s="164"/>
      <c r="J136" s="164"/>
      <c r="K136" s="164"/>
      <c r="L136" s="164"/>
      <c r="M136" s="164"/>
      <c r="N136" s="164"/>
      <c r="O136" s="164"/>
      <c r="P136" s="164"/>
    </row>
    <row r="137" spans="4:16" x14ac:dyDescent="0.25">
      <c r="D137" s="164"/>
      <c r="E137" s="164"/>
      <c r="F137" s="164"/>
      <c r="G137" s="164"/>
      <c r="H137" s="164"/>
      <c r="I137" s="164"/>
      <c r="J137" s="164"/>
      <c r="K137" s="164"/>
      <c r="L137" s="164"/>
      <c r="M137" s="164"/>
      <c r="N137" s="164"/>
      <c r="O137" s="164"/>
      <c r="P137" s="164"/>
    </row>
    <row r="138" spans="4:16" x14ac:dyDescent="0.25">
      <c r="D138" s="164"/>
      <c r="E138" s="164"/>
      <c r="F138" s="164"/>
      <c r="G138" s="164"/>
      <c r="H138" s="164"/>
      <c r="I138" s="164"/>
      <c r="J138" s="164"/>
      <c r="K138" s="164"/>
      <c r="L138" s="164"/>
      <c r="M138" s="164"/>
      <c r="N138" s="164"/>
      <c r="O138" s="164"/>
      <c r="P138" s="164"/>
    </row>
    <row r="139" spans="4:16" x14ac:dyDescent="0.25">
      <c r="D139" s="164"/>
      <c r="E139" s="164"/>
      <c r="F139" s="164"/>
      <c r="G139" s="164"/>
      <c r="H139" s="164"/>
      <c r="I139" s="164"/>
      <c r="J139" s="164"/>
      <c r="K139" s="164"/>
      <c r="L139" s="164"/>
      <c r="M139" s="164"/>
      <c r="N139" s="164"/>
      <c r="O139" s="164"/>
      <c r="P139" s="164"/>
    </row>
    <row r="140" spans="4:16" x14ac:dyDescent="0.25">
      <c r="D140" s="164"/>
      <c r="E140" s="164"/>
      <c r="F140" s="164"/>
      <c r="G140" s="164"/>
      <c r="H140" s="164"/>
      <c r="I140" s="164"/>
      <c r="J140" s="164"/>
      <c r="K140" s="164"/>
      <c r="L140" s="164"/>
      <c r="M140" s="164"/>
      <c r="N140" s="164"/>
      <c r="O140" s="164"/>
      <c r="P140" s="164"/>
    </row>
    <row r="141" spans="4:16" x14ac:dyDescent="0.25">
      <c r="D141" s="164"/>
      <c r="E141" s="164"/>
      <c r="F141" s="164"/>
      <c r="G141" s="164"/>
      <c r="H141" s="164"/>
      <c r="I141" s="164"/>
      <c r="J141" s="164"/>
      <c r="K141" s="164"/>
      <c r="L141" s="164"/>
      <c r="M141" s="164"/>
      <c r="N141" s="164"/>
      <c r="O141" s="164"/>
      <c r="P141" s="164"/>
    </row>
    <row r="142" spans="4:16" x14ac:dyDescent="0.25">
      <c r="D142" s="164"/>
      <c r="E142" s="164"/>
      <c r="F142" s="164"/>
      <c r="G142" s="164"/>
      <c r="H142" s="164"/>
      <c r="I142" s="164"/>
      <c r="J142" s="164"/>
      <c r="K142" s="164"/>
      <c r="L142" s="164"/>
      <c r="M142" s="164"/>
      <c r="N142" s="164"/>
      <c r="O142" s="164"/>
      <c r="P142" s="164"/>
    </row>
    <row r="143" spans="4:16" x14ac:dyDescent="0.25">
      <c r="D143" s="164"/>
      <c r="E143" s="164"/>
      <c r="F143" s="164"/>
      <c r="G143" s="164"/>
      <c r="H143" s="164"/>
      <c r="I143" s="164"/>
      <c r="J143" s="164"/>
      <c r="K143" s="164"/>
      <c r="L143" s="164"/>
      <c r="M143" s="164"/>
      <c r="N143" s="164"/>
      <c r="O143" s="164"/>
      <c r="P143" s="164"/>
    </row>
    <row r="144" spans="4:16" x14ac:dyDescent="0.25">
      <c r="D144" s="164"/>
      <c r="E144" s="164"/>
      <c r="F144" s="164"/>
      <c r="G144" s="164"/>
      <c r="H144" s="164"/>
      <c r="I144" s="164"/>
      <c r="J144" s="164"/>
      <c r="K144" s="164"/>
      <c r="L144" s="164"/>
      <c r="M144" s="164"/>
      <c r="N144" s="164"/>
      <c r="O144" s="164"/>
      <c r="P144" s="164"/>
    </row>
    <row r="145" spans="4:16" x14ac:dyDescent="0.25">
      <c r="D145" s="164"/>
      <c r="E145" s="164"/>
      <c r="F145" s="164"/>
      <c r="G145" s="164"/>
      <c r="H145" s="164"/>
      <c r="I145" s="164"/>
      <c r="J145" s="164"/>
      <c r="K145" s="164"/>
      <c r="L145" s="164"/>
      <c r="M145" s="164"/>
      <c r="N145" s="164"/>
      <c r="O145" s="164"/>
      <c r="P145" s="164"/>
    </row>
    <row r="146" spans="4:16" x14ac:dyDescent="0.25">
      <c r="D146" s="164"/>
      <c r="E146" s="164"/>
      <c r="F146" s="164"/>
      <c r="G146" s="164"/>
      <c r="H146" s="164"/>
      <c r="I146" s="164"/>
      <c r="J146" s="164"/>
      <c r="K146" s="164"/>
      <c r="L146" s="164"/>
      <c r="M146" s="164"/>
      <c r="N146" s="164"/>
      <c r="O146" s="164"/>
      <c r="P146" s="164"/>
    </row>
    <row r="147" spans="4:16" x14ac:dyDescent="0.25">
      <c r="D147" s="164"/>
      <c r="E147" s="164"/>
      <c r="F147" s="164"/>
      <c r="G147" s="164"/>
      <c r="H147" s="164"/>
      <c r="I147" s="164"/>
      <c r="J147" s="164"/>
      <c r="K147" s="164"/>
      <c r="L147" s="164"/>
      <c r="M147" s="164"/>
      <c r="N147" s="164"/>
      <c r="O147" s="164"/>
      <c r="P147" s="164"/>
    </row>
    <row r="148" spans="4:16" x14ac:dyDescent="0.25"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4"/>
      <c r="P148" s="164"/>
    </row>
    <row r="149" spans="4:16" x14ac:dyDescent="0.25">
      <c r="D149" s="164"/>
      <c r="E149" s="164"/>
      <c r="F149" s="164"/>
      <c r="G149" s="164"/>
      <c r="H149" s="164"/>
      <c r="I149" s="164"/>
      <c r="J149" s="164"/>
      <c r="K149" s="164"/>
      <c r="L149" s="164"/>
      <c r="M149" s="164"/>
      <c r="N149" s="164"/>
      <c r="O149" s="164"/>
      <c r="P149" s="164"/>
    </row>
    <row r="150" spans="4:16" x14ac:dyDescent="0.25">
      <c r="D150" s="164"/>
      <c r="E150" s="164"/>
      <c r="F150" s="164"/>
      <c r="G150" s="164"/>
      <c r="H150" s="164"/>
      <c r="I150" s="164"/>
      <c r="J150" s="164"/>
      <c r="K150" s="164"/>
      <c r="L150" s="164"/>
      <c r="M150" s="164"/>
      <c r="N150" s="164"/>
      <c r="O150" s="164"/>
      <c r="P150" s="164"/>
    </row>
    <row r="151" spans="4:16" x14ac:dyDescent="0.25">
      <c r="D151" s="164"/>
      <c r="E151" s="164"/>
      <c r="F151" s="164"/>
      <c r="G151" s="164"/>
      <c r="H151" s="164"/>
      <c r="I151" s="164"/>
      <c r="J151" s="164"/>
      <c r="K151" s="164"/>
      <c r="L151" s="164"/>
      <c r="M151" s="164"/>
      <c r="N151" s="164"/>
      <c r="O151" s="164"/>
      <c r="P151" s="164"/>
    </row>
    <row r="152" spans="4:16" x14ac:dyDescent="0.25">
      <c r="D152" s="164"/>
      <c r="E152" s="164"/>
      <c r="F152" s="164"/>
      <c r="G152" s="164"/>
      <c r="H152" s="164"/>
      <c r="I152" s="164"/>
      <c r="J152" s="164"/>
      <c r="K152" s="164"/>
      <c r="L152" s="164"/>
      <c r="M152" s="164"/>
      <c r="N152" s="164"/>
      <c r="O152" s="164"/>
      <c r="P152" s="164"/>
    </row>
    <row r="153" spans="4:16" x14ac:dyDescent="0.25">
      <c r="D153" s="164"/>
      <c r="E153" s="164"/>
      <c r="F153" s="164"/>
      <c r="G153" s="164"/>
      <c r="H153" s="164"/>
      <c r="I153" s="164"/>
      <c r="J153" s="164"/>
      <c r="K153" s="164"/>
      <c r="L153" s="164"/>
      <c r="M153" s="164"/>
      <c r="N153" s="164"/>
      <c r="O153" s="164"/>
      <c r="P153" s="164"/>
    </row>
    <row r="154" spans="4:16" x14ac:dyDescent="0.25">
      <c r="D154" s="164"/>
      <c r="E154" s="164"/>
      <c r="F154" s="164"/>
      <c r="G154" s="164"/>
      <c r="H154" s="164"/>
      <c r="I154" s="164"/>
      <c r="J154" s="164"/>
      <c r="K154" s="164"/>
      <c r="L154" s="164"/>
      <c r="M154" s="164"/>
      <c r="N154" s="164"/>
      <c r="O154" s="164"/>
      <c r="P154" s="164"/>
    </row>
    <row r="155" spans="4:16" x14ac:dyDescent="0.25">
      <c r="D155" s="164"/>
      <c r="E155" s="164"/>
      <c r="F155" s="164"/>
      <c r="G155" s="164"/>
      <c r="H155" s="164"/>
      <c r="I155" s="164"/>
      <c r="J155" s="164"/>
      <c r="K155" s="164"/>
      <c r="L155" s="164"/>
      <c r="M155" s="164"/>
      <c r="N155" s="164"/>
      <c r="O155" s="164"/>
      <c r="P155" s="164"/>
    </row>
    <row r="156" spans="4:16" x14ac:dyDescent="0.25">
      <c r="D156" s="164"/>
      <c r="E156" s="164"/>
      <c r="F156" s="164"/>
      <c r="G156" s="164"/>
      <c r="H156" s="164"/>
      <c r="I156" s="164"/>
      <c r="J156" s="164"/>
      <c r="K156" s="164"/>
      <c r="L156" s="164"/>
      <c r="M156" s="164"/>
      <c r="N156" s="164"/>
      <c r="O156" s="164"/>
      <c r="P156" s="164"/>
    </row>
    <row r="157" spans="4:16" x14ac:dyDescent="0.25">
      <c r="D157" s="164"/>
      <c r="E157" s="164"/>
      <c r="F157" s="164"/>
      <c r="G157" s="164"/>
      <c r="H157" s="164"/>
      <c r="I157" s="164"/>
      <c r="J157" s="164"/>
      <c r="K157" s="164"/>
      <c r="L157" s="164"/>
      <c r="M157" s="164"/>
      <c r="N157" s="164"/>
      <c r="O157" s="164"/>
      <c r="P157" s="164"/>
    </row>
    <row r="158" spans="4:16" x14ac:dyDescent="0.25">
      <c r="D158" s="164"/>
      <c r="E158" s="164"/>
      <c r="F158" s="164"/>
      <c r="G158" s="164"/>
      <c r="H158" s="164"/>
      <c r="I158" s="164"/>
      <c r="J158" s="164"/>
      <c r="K158" s="164"/>
      <c r="L158" s="164"/>
      <c r="M158" s="164"/>
      <c r="N158" s="164"/>
      <c r="O158" s="164"/>
      <c r="P158" s="164"/>
    </row>
    <row r="159" spans="4:16" x14ac:dyDescent="0.25">
      <c r="D159" s="164"/>
      <c r="E159" s="164"/>
      <c r="F159" s="164"/>
      <c r="G159" s="164"/>
      <c r="H159" s="164"/>
      <c r="I159" s="164"/>
      <c r="J159" s="164"/>
      <c r="K159" s="164"/>
      <c r="L159" s="164"/>
      <c r="M159" s="164"/>
      <c r="N159" s="164"/>
      <c r="O159" s="164"/>
      <c r="P159" s="164"/>
    </row>
    <row r="160" spans="4:16" x14ac:dyDescent="0.25">
      <c r="D160" s="164"/>
      <c r="E160" s="164"/>
      <c r="F160" s="164"/>
      <c r="G160" s="164"/>
      <c r="H160" s="164"/>
      <c r="I160" s="164"/>
      <c r="J160" s="164"/>
      <c r="K160" s="164"/>
      <c r="L160" s="164"/>
      <c r="M160" s="164"/>
      <c r="N160" s="164"/>
      <c r="O160" s="164"/>
      <c r="P160" s="164"/>
    </row>
    <row r="161" spans="4:16" x14ac:dyDescent="0.25">
      <c r="D161" s="164"/>
      <c r="E161" s="164"/>
      <c r="F161" s="164"/>
      <c r="G161" s="164"/>
      <c r="H161" s="164"/>
      <c r="I161" s="164"/>
      <c r="J161" s="164"/>
      <c r="K161" s="164"/>
      <c r="L161" s="164"/>
      <c r="M161" s="164"/>
      <c r="N161" s="164"/>
      <c r="O161" s="164"/>
      <c r="P161" s="164"/>
    </row>
    <row r="162" spans="4:16" x14ac:dyDescent="0.25">
      <c r="D162" s="164"/>
      <c r="E162" s="164"/>
      <c r="F162" s="164"/>
      <c r="G162" s="164"/>
      <c r="H162" s="164"/>
      <c r="I162" s="164"/>
      <c r="J162" s="164"/>
      <c r="K162" s="164"/>
      <c r="L162" s="164"/>
      <c r="M162" s="164"/>
      <c r="N162" s="164"/>
      <c r="O162" s="164"/>
      <c r="P162" s="164"/>
    </row>
    <row r="163" spans="4:16" x14ac:dyDescent="0.25">
      <c r="D163" s="164"/>
      <c r="E163" s="164"/>
      <c r="F163" s="164"/>
      <c r="G163" s="164"/>
      <c r="H163" s="164"/>
      <c r="I163" s="164"/>
      <c r="J163" s="164"/>
      <c r="K163" s="164"/>
      <c r="L163" s="164"/>
      <c r="M163" s="164"/>
      <c r="N163" s="164"/>
      <c r="O163" s="164"/>
      <c r="P163" s="164"/>
    </row>
    <row r="164" spans="4:16" x14ac:dyDescent="0.25">
      <c r="D164" s="164"/>
      <c r="E164" s="164"/>
      <c r="F164" s="164"/>
      <c r="G164" s="164"/>
      <c r="H164" s="164"/>
      <c r="I164" s="164"/>
      <c r="J164" s="164"/>
      <c r="K164" s="164"/>
      <c r="L164" s="164"/>
      <c r="M164" s="164"/>
      <c r="N164" s="164"/>
      <c r="O164" s="164"/>
      <c r="P164" s="164"/>
    </row>
    <row r="165" spans="4:16" x14ac:dyDescent="0.25">
      <c r="D165" s="164"/>
      <c r="E165" s="164"/>
      <c r="F165" s="164"/>
      <c r="G165" s="164"/>
      <c r="H165" s="164"/>
      <c r="I165" s="164"/>
      <c r="J165" s="164"/>
      <c r="K165" s="164"/>
      <c r="L165" s="164"/>
      <c r="M165" s="164"/>
      <c r="N165" s="164"/>
      <c r="O165" s="164"/>
      <c r="P165" s="164"/>
    </row>
    <row r="166" spans="4:16" x14ac:dyDescent="0.25">
      <c r="D166" s="164"/>
      <c r="E166" s="164"/>
      <c r="F166" s="164"/>
      <c r="G166" s="164"/>
      <c r="H166" s="164"/>
      <c r="I166" s="164"/>
      <c r="J166" s="164"/>
      <c r="K166" s="164"/>
      <c r="L166" s="164"/>
      <c r="M166" s="164"/>
      <c r="N166" s="164"/>
      <c r="O166" s="164"/>
      <c r="P166" s="164"/>
    </row>
    <row r="167" spans="4:16" x14ac:dyDescent="0.25">
      <c r="D167" s="164"/>
      <c r="E167" s="164"/>
      <c r="F167" s="164"/>
      <c r="G167" s="164"/>
      <c r="H167" s="164"/>
      <c r="I167" s="164"/>
      <c r="J167" s="164"/>
      <c r="K167" s="164"/>
      <c r="L167" s="164"/>
      <c r="M167" s="164"/>
      <c r="N167" s="164"/>
      <c r="O167" s="164"/>
      <c r="P167" s="164"/>
    </row>
    <row r="168" spans="4:16" x14ac:dyDescent="0.25">
      <c r="D168" s="164"/>
      <c r="E168" s="164"/>
      <c r="F168" s="164"/>
      <c r="G168" s="164"/>
      <c r="H168" s="164"/>
      <c r="I168" s="164"/>
      <c r="J168" s="164"/>
      <c r="K168" s="164"/>
      <c r="L168" s="164"/>
      <c r="M168" s="164"/>
      <c r="N168" s="164"/>
      <c r="O168" s="164"/>
      <c r="P168" s="164"/>
    </row>
    <row r="169" spans="4:16" x14ac:dyDescent="0.25">
      <c r="D169" s="164"/>
      <c r="E169" s="164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</row>
    <row r="170" spans="4:16" x14ac:dyDescent="0.25">
      <c r="D170" s="164"/>
      <c r="E170" s="164"/>
      <c r="F170" s="164"/>
      <c r="G170" s="164"/>
      <c r="H170" s="164"/>
      <c r="I170" s="164"/>
      <c r="J170" s="164"/>
      <c r="K170" s="164"/>
      <c r="L170" s="164"/>
      <c r="M170" s="164"/>
      <c r="N170" s="164"/>
      <c r="O170" s="164"/>
      <c r="P170" s="164"/>
    </row>
    <row r="171" spans="4:16" x14ac:dyDescent="0.25">
      <c r="D171" s="164"/>
      <c r="E171" s="164"/>
      <c r="F171" s="164"/>
      <c r="G171" s="164"/>
      <c r="H171" s="164"/>
      <c r="I171" s="164"/>
      <c r="J171" s="164"/>
      <c r="K171" s="164"/>
      <c r="L171" s="164"/>
      <c r="M171" s="164"/>
      <c r="N171" s="164"/>
      <c r="O171" s="164"/>
      <c r="P171" s="164"/>
    </row>
    <row r="172" spans="4:16" x14ac:dyDescent="0.25">
      <c r="D172" s="164"/>
      <c r="E172" s="164"/>
      <c r="F172" s="164"/>
      <c r="G172" s="164"/>
      <c r="H172" s="164"/>
      <c r="I172" s="164"/>
      <c r="J172" s="164"/>
      <c r="K172" s="164"/>
      <c r="L172" s="164"/>
      <c r="M172" s="164"/>
      <c r="N172" s="164"/>
      <c r="O172" s="164"/>
      <c r="P172" s="164"/>
    </row>
    <row r="173" spans="4:16" x14ac:dyDescent="0.25">
      <c r="D173" s="164"/>
      <c r="E173" s="164"/>
      <c r="F173" s="164"/>
      <c r="G173" s="164"/>
      <c r="H173" s="164"/>
      <c r="I173" s="164"/>
      <c r="J173" s="164"/>
      <c r="K173" s="164"/>
      <c r="L173" s="164"/>
      <c r="M173" s="164"/>
      <c r="N173" s="164"/>
      <c r="O173" s="164"/>
      <c r="P173" s="164"/>
    </row>
    <row r="174" spans="4:16" x14ac:dyDescent="0.25">
      <c r="D174" s="164"/>
      <c r="E174" s="164"/>
      <c r="F174" s="164"/>
      <c r="G174" s="164"/>
      <c r="H174" s="164"/>
      <c r="I174" s="164"/>
      <c r="J174" s="164"/>
      <c r="K174" s="164"/>
      <c r="L174" s="164"/>
      <c r="M174" s="164"/>
      <c r="N174" s="164"/>
      <c r="O174" s="164"/>
      <c r="P174" s="164"/>
    </row>
    <row r="175" spans="4:16" x14ac:dyDescent="0.25"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4"/>
      <c r="P175" s="164"/>
    </row>
    <row r="176" spans="4:16" x14ac:dyDescent="0.25">
      <c r="D176" s="164"/>
      <c r="E176" s="164"/>
      <c r="F176" s="164"/>
      <c r="G176" s="164"/>
      <c r="H176" s="164"/>
      <c r="I176" s="164"/>
      <c r="J176" s="164"/>
      <c r="K176" s="164"/>
      <c r="L176" s="164"/>
      <c r="M176" s="164"/>
      <c r="N176" s="164"/>
      <c r="O176" s="164"/>
      <c r="P176" s="164"/>
    </row>
    <row r="177" spans="4:16" x14ac:dyDescent="0.25">
      <c r="D177" s="164"/>
      <c r="E177" s="164"/>
      <c r="F177" s="164"/>
      <c r="G177" s="164"/>
      <c r="H177" s="164"/>
      <c r="I177" s="164"/>
      <c r="J177" s="164"/>
      <c r="K177" s="164"/>
      <c r="L177" s="164"/>
      <c r="M177" s="164"/>
      <c r="N177" s="164"/>
      <c r="O177" s="164"/>
      <c r="P177" s="164"/>
    </row>
    <row r="178" spans="4:16" x14ac:dyDescent="0.25">
      <c r="D178" s="164"/>
      <c r="E178" s="164"/>
      <c r="F178" s="164"/>
      <c r="G178" s="164"/>
      <c r="H178" s="164"/>
      <c r="I178" s="164"/>
      <c r="J178" s="164"/>
      <c r="K178" s="164"/>
      <c r="L178" s="164"/>
      <c r="M178" s="164"/>
      <c r="N178" s="164"/>
      <c r="O178" s="164"/>
      <c r="P178" s="164"/>
    </row>
    <row r="179" spans="4:16" x14ac:dyDescent="0.25">
      <c r="D179" s="164"/>
      <c r="E179" s="164"/>
      <c r="F179" s="164"/>
      <c r="G179" s="164"/>
      <c r="H179" s="164"/>
      <c r="I179" s="164"/>
      <c r="J179" s="164"/>
      <c r="K179" s="164"/>
      <c r="L179" s="164"/>
      <c r="M179" s="164"/>
      <c r="N179" s="164"/>
      <c r="O179" s="164"/>
      <c r="P179" s="164"/>
    </row>
    <row r="180" spans="4:16" x14ac:dyDescent="0.25">
      <c r="D180" s="164"/>
      <c r="E180" s="164"/>
      <c r="F180" s="164"/>
      <c r="G180" s="164"/>
      <c r="H180" s="164"/>
      <c r="I180" s="164"/>
      <c r="J180" s="164"/>
      <c r="K180" s="164"/>
      <c r="L180" s="164"/>
      <c r="M180" s="164"/>
      <c r="N180" s="164"/>
      <c r="O180" s="164"/>
      <c r="P180" s="164"/>
    </row>
    <row r="181" spans="4:16" x14ac:dyDescent="0.25">
      <c r="D181" s="164"/>
      <c r="E181" s="164"/>
      <c r="F181" s="164"/>
      <c r="G181" s="164"/>
      <c r="H181" s="164"/>
      <c r="I181" s="164"/>
      <c r="J181" s="164"/>
      <c r="K181" s="164"/>
      <c r="L181" s="164"/>
      <c r="M181" s="164"/>
      <c r="N181" s="164"/>
      <c r="O181" s="164"/>
      <c r="P181" s="164"/>
    </row>
    <row r="182" spans="4:16" x14ac:dyDescent="0.25">
      <c r="D182" s="164"/>
      <c r="E182" s="164"/>
      <c r="F182" s="164"/>
      <c r="G182" s="164"/>
      <c r="H182" s="164"/>
      <c r="I182" s="164"/>
      <c r="J182" s="164"/>
      <c r="K182" s="164"/>
      <c r="L182" s="164"/>
      <c r="M182" s="164"/>
      <c r="N182" s="164"/>
      <c r="O182" s="164"/>
      <c r="P182" s="164"/>
    </row>
    <row r="183" spans="4:16" x14ac:dyDescent="0.25">
      <c r="D183" s="164"/>
      <c r="E183" s="164"/>
      <c r="F183" s="164"/>
      <c r="G183" s="164"/>
      <c r="H183" s="164"/>
      <c r="I183" s="164"/>
      <c r="J183" s="164"/>
      <c r="K183" s="164"/>
      <c r="L183" s="164"/>
      <c r="M183" s="164"/>
      <c r="N183" s="164"/>
      <c r="O183" s="164"/>
      <c r="P183" s="164"/>
    </row>
    <row r="184" spans="4:16" x14ac:dyDescent="0.25">
      <c r="D184" s="164"/>
      <c r="E184" s="164"/>
      <c r="F184" s="164"/>
      <c r="G184" s="164"/>
      <c r="H184" s="164"/>
      <c r="I184" s="164"/>
      <c r="J184" s="164"/>
      <c r="K184" s="164"/>
      <c r="L184" s="164"/>
      <c r="M184" s="164"/>
      <c r="N184" s="164"/>
      <c r="O184" s="164"/>
      <c r="P184" s="164"/>
    </row>
    <row r="185" spans="4:16" x14ac:dyDescent="0.25">
      <c r="D185" s="164"/>
      <c r="E185" s="164"/>
      <c r="F185" s="164"/>
      <c r="G185" s="164"/>
      <c r="H185" s="164"/>
      <c r="I185" s="164"/>
      <c r="J185" s="164"/>
      <c r="K185" s="164"/>
      <c r="L185" s="164"/>
      <c r="M185" s="164"/>
      <c r="N185" s="164"/>
      <c r="O185" s="164"/>
      <c r="P185" s="164"/>
    </row>
    <row r="186" spans="4:16" x14ac:dyDescent="0.25">
      <c r="D186" s="164"/>
      <c r="E186" s="164"/>
      <c r="F186" s="164"/>
      <c r="G186" s="164"/>
      <c r="H186" s="164"/>
      <c r="I186" s="164"/>
      <c r="J186" s="164"/>
      <c r="K186" s="164"/>
      <c r="L186" s="164"/>
      <c r="M186" s="164"/>
      <c r="N186" s="164"/>
      <c r="O186" s="164"/>
      <c r="P186" s="164"/>
    </row>
    <row r="187" spans="4:16" x14ac:dyDescent="0.25">
      <c r="D187" s="164"/>
      <c r="E187" s="164"/>
      <c r="F187" s="164"/>
      <c r="G187" s="164"/>
      <c r="H187" s="164"/>
      <c r="I187" s="164"/>
      <c r="J187" s="164"/>
      <c r="K187" s="164"/>
      <c r="L187" s="164"/>
      <c r="M187" s="164"/>
      <c r="N187" s="164"/>
      <c r="O187" s="164"/>
      <c r="P187" s="164"/>
    </row>
    <row r="188" spans="4:16" x14ac:dyDescent="0.25">
      <c r="D188" s="164"/>
      <c r="E188" s="164"/>
      <c r="F188" s="164"/>
      <c r="G188" s="164"/>
      <c r="H188" s="164"/>
      <c r="I188" s="164"/>
      <c r="J188" s="164"/>
      <c r="K188" s="164"/>
      <c r="L188" s="164"/>
      <c r="M188" s="164"/>
      <c r="N188" s="164"/>
      <c r="O188" s="164"/>
      <c r="P188" s="164"/>
    </row>
    <row r="189" spans="4:16" x14ac:dyDescent="0.25">
      <c r="D189" s="164"/>
      <c r="E189" s="164"/>
      <c r="F189" s="164"/>
      <c r="G189" s="164"/>
      <c r="H189" s="164"/>
      <c r="I189" s="164"/>
      <c r="J189" s="164"/>
      <c r="K189" s="164"/>
      <c r="L189" s="164"/>
      <c r="M189" s="164"/>
      <c r="N189" s="164"/>
      <c r="O189" s="164"/>
      <c r="P189" s="164"/>
    </row>
    <row r="190" spans="4:16" x14ac:dyDescent="0.25">
      <c r="D190" s="164"/>
      <c r="E190" s="164"/>
      <c r="F190" s="164"/>
      <c r="G190" s="164"/>
      <c r="H190" s="164"/>
      <c r="I190" s="164"/>
      <c r="J190" s="164"/>
      <c r="K190" s="164"/>
      <c r="L190" s="164"/>
      <c r="M190" s="164"/>
      <c r="N190" s="164"/>
      <c r="O190" s="164"/>
      <c r="P190" s="164"/>
    </row>
    <row r="191" spans="4:16" x14ac:dyDescent="0.25">
      <c r="D191" s="164"/>
      <c r="E191" s="164"/>
      <c r="F191" s="164"/>
      <c r="G191" s="164"/>
      <c r="H191" s="164"/>
      <c r="I191" s="164"/>
      <c r="J191" s="164"/>
      <c r="K191" s="164"/>
      <c r="L191" s="164"/>
      <c r="M191" s="164"/>
      <c r="N191" s="164"/>
      <c r="O191" s="164"/>
      <c r="P191" s="164"/>
    </row>
    <row r="192" spans="4:16" x14ac:dyDescent="0.25">
      <c r="D192" s="164"/>
      <c r="E192" s="164"/>
      <c r="F192" s="164"/>
      <c r="G192" s="164"/>
      <c r="H192" s="164"/>
      <c r="I192" s="164"/>
      <c r="J192" s="164"/>
      <c r="K192" s="164"/>
      <c r="L192" s="164"/>
      <c r="M192" s="164"/>
      <c r="N192" s="164"/>
      <c r="O192" s="164"/>
      <c r="P192" s="164"/>
    </row>
    <row r="193" spans="4:16" x14ac:dyDescent="0.25">
      <c r="D193" s="164"/>
      <c r="E193" s="164"/>
      <c r="F193" s="164"/>
      <c r="G193" s="164"/>
      <c r="H193" s="164"/>
      <c r="I193" s="164"/>
      <c r="J193" s="164"/>
      <c r="K193" s="164"/>
      <c r="L193" s="164"/>
      <c r="M193" s="164"/>
      <c r="N193" s="164"/>
      <c r="O193" s="164"/>
      <c r="P193" s="164"/>
    </row>
    <row r="194" spans="4:16" x14ac:dyDescent="0.25">
      <c r="D194" s="164"/>
      <c r="E194" s="164"/>
      <c r="F194" s="164"/>
      <c r="G194" s="164"/>
      <c r="H194" s="164"/>
      <c r="I194" s="164"/>
      <c r="J194" s="164"/>
      <c r="K194" s="164"/>
      <c r="L194" s="164"/>
      <c r="M194" s="164"/>
      <c r="N194" s="164"/>
      <c r="O194" s="164"/>
      <c r="P194" s="164"/>
    </row>
    <row r="195" spans="4:16" x14ac:dyDescent="0.25">
      <c r="D195" s="164"/>
      <c r="E195" s="164"/>
      <c r="F195" s="164"/>
      <c r="G195" s="164"/>
      <c r="H195" s="164"/>
      <c r="I195" s="164"/>
      <c r="J195" s="164"/>
      <c r="K195" s="164"/>
      <c r="L195" s="164"/>
      <c r="M195" s="164"/>
      <c r="N195" s="164"/>
      <c r="O195" s="164"/>
      <c r="P195" s="164"/>
    </row>
    <row r="196" spans="4:16" x14ac:dyDescent="0.25">
      <c r="D196" s="164"/>
      <c r="E196" s="164"/>
      <c r="F196" s="164"/>
      <c r="G196" s="164"/>
      <c r="H196" s="164"/>
      <c r="I196" s="164"/>
      <c r="J196" s="164"/>
      <c r="K196" s="164"/>
      <c r="L196" s="164"/>
      <c r="M196" s="164"/>
      <c r="N196" s="164"/>
      <c r="O196" s="164"/>
      <c r="P196" s="164"/>
    </row>
    <row r="197" spans="4:16" x14ac:dyDescent="0.25">
      <c r="D197" s="164"/>
      <c r="E197" s="164"/>
      <c r="F197" s="164"/>
      <c r="G197" s="164"/>
      <c r="H197" s="164"/>
      <c r="I197" s="164"/>
      <c r="J197" s="164"/>
      <c r="K197" s="164"/>
      <c r="L197" s="164"/>
      <c r="M197" s="164"/>
      <c r="N197" s="164"/>
      <c r="O197" s="164"/>
      <c r="P197" s="164"/>
    </row>
    <row r="198" spans="4:16" x14ac:dyDescent="0.25">
      <c r="D198" s="164"/>
      <c r="E198" s="164"/>
      <c r="F198" s="164"/>
      <c r="G198" s="164"/>
      <c r="H198" s="164"/>
      <c r="I198" s="164"/>
      <c r="J198" s="164"/>
      <c r="K198" s="164"/>
      <c r="L198" s="164"/>
      <c r="M198" s="164"/>
      <c r="N198" s="164"/>
      <c r="O198" s="164"/>
      <c r="P198" s="164"/>
    </row>
    <row r="199" spans="4:16" x14ac:dyDescent="0.25">
      <c r="D199" s="164"/>
      <c r="E199" s="164"/>
      <c r="F199" s="164"/>
      <c r="G199" s="164"/>
      <c r="H199" s="164"/>
      <c r="I199" s="164"/>
      <c r="J199" s="164"/>
      <c r="K199" s="164"/>
      <c r="L199" s="164"/>
      <c r="M199" s="164"/>
      <c r="N199" s="164"/>
      <c r="O199" s="164"/>
      <c r="P199" s="164"/>
    </row>
    <row r="200" spans="4:16" x14ac:dyDescent="0.25">
      <c r="D200" s="164"/>
      <c r="E200" s="164"/>
      <c r="F200" s="164"/>
      <c r="G200" s="164"/>
      <c r="H200" s="164"/>
      <c r="I200" s="164"/>
      <c r="J200" s="164"/>
      <c r="K200" s="164"/>
      <c r="L200" s="164"/>
      <c r="M200" s="164"/>
      <c r="N200" s="164"/>
      <c r="O200" s="164"/>
      <c r="P200" s="164"/>
    </row>
    <row r="201" spans="4:16" x14ac:dyDescent="0.25">
      <c r="D201" s="164"/>
      <c r="E201" s="164"/>
      <c r="F201" s="164"/>
      <c r="G201" s="164"/>
      <c r="H201" s="164"/>
      <c r="I201" s="164"/>
      <c r="J201" s="164"/>
      <c r="K201" s="164"/>
      <c r="L201" s="164"/>
      <c r="M201" s="164"/>
      <c r="N201" s="164"/>
      <c r="O201" s="164"/>
      <c r="P201" s="164"/>
    </row>
    <row r="202" spans="4:16" x14ac:dyDescent="0.25">
      <c r="D202" s="164"/>
      <c r="E202" s="164"/>
      <c r="F202" s="164"/>
      <c r="G202" s="164"/>
      <c r="H202" s="164"/>
      <c r="I202" s="164"/>
      <c r="J202" s="164"/>
      <c r="K202" s="164"/>
      <c r="L202" s="164"/>
      <c r="M202" s="164"/>
      <c r="N202" s="164"/>
      <c r="O202" s="164"/>
      <c r="P202" s="164"/>
    </row>
    <row r="203" spans="4:16" x14ac:dyDescent="0.25">
      <c r="D203" s="164"/>
      <c r="E203" s="164"/>
      <c r="F203" s="164"/>
      <c r="G203" s="164"/>
      <c r="H203" s="164"/>
      <c r="I203" s="164"/>
      <c r="J203" s="164"/>
      <c r="K203" s="164"/>
      <c r="L203" s="164"/>
      <c r="M203" s="164"/>
      <c r="N203" s="164"/>
      <c r="O203" s="164"/>
      <c r="P203" s="164"/>
    </row>
    <row r="204" spans="4:16" x14ac:dyDescent="0.25">
      <c r="D204" s="164"/>
      <c r="E204" s="164"/>
      <c r="F204" s="164"/>
      <c r="G204" s="164"/>
      <c r="H204" s="164"/>
      <c r="I204" s="164"/>
      <c r="J204" s="164"/>
      <c r="K204" s="164"/>
      <c r="L204" s="164"/>
      <c r="M204" s="164"/>
      <c r="N204" s="164"/>
      <c r="O204" s="164"/>
      <c r="P204" s="164"/>
    </row>
    <row r="205" spans="4:16" x14ac:dyDescent="0.25">
      <c r="D205" s="164"/>
      <c r="E205" s="164"/>
      <c r="F205" s="164"/>
      <c r="G205" s="164"/>
      <c r="H205" s="164"/>
      <c r="I205" s="164"/>
      <c r="J205" s="164"/>
      <c r="K205" s="164"/>
      <c r="L205" s="164"/>
      <c r="M205" s="164"/>
      <c r="N205" s="164"/>
      <c r="O205" s="164"/>
      <c r="P205" s="164"/>
    </row>
    <row r="206" spans="4:16" x14ac:dyDescent="0.25">
      <c r="D206" s="164"/>
      <c r="E206" s="164"/>
      <c r="F206" s="164"/>
      <c r="G206" s="164"/>
      <c r="H206" s="164"/>
      <c r="I206" s="164"/>
      <c r="J206" s="164"/>
      <c r="K206" s="164"/>
      <c r="L206" s="164"/>
      <c r="M206" s="164"/>
      <c r="N206" s="164"/>
      <c r="O206" s="164"/>
      <c r="P206" s="164"/>
    </row>
    <row r="207" spans="4:16" x14ac:dyDescent="0.25">
      <c r="D207" s="164"/>
      <c r="E207" s="164"/>
      <c r="F207" s="164"/>
      <c r="G207" s="164"/>
      <c r="H207" s="164"/>
      <c r="I207" s="164"/>
      <c r="J207" s="164"/>
      <c r="K207" s="164"/>
      <c r="L207" s="164"/>
      <c r="M207" s="164"/>
      <c r="N207" s="164"/>
      <c r="O207" s="164"/>
      <c r="P207" s="164"/>
    </row>
    <row r="208" spans="4:16" x14ac:dyDescent="0.25">
      <c r="D208" s="164"/>
      <c r="E208" s="164"/>
      <c r="F208" s="164"/>
      <c r="G208" s="164"/>
      <c r="H208" s="164"/>
      <c r="I208" s="164"/>
      <c r="J208" s="164"/>
      <c r="K208" s="164"/>
      <c r="L208" s="164"/>
      <c r="M208" s="164"/>
      <c r="N208" s="164"/>
      <c r="O208" s="164"/>
      <c r="P208" s="164"/>
    </row>
    <row r="209" spans="4:16" x14ac:dyDescent="0.25">
      <c r="D209" s="164"/>
      <c r="E209" s="164"/>
      <c r="F209" s="164"/>
      <c r="G209" s="164"/>
      <c r="H209" s="164"/>
      <c r="I209" s="164"/>
      <c r="J209" s="164"/>
      <c r="K209" s="164"/>
      <c r="L209" s="164"/>
      <c r="M209" s="164"/>
      <c r="N209" s="164"/>
      <c r="O209" s="164"/>
      <c r="P209" s="164"/>
    </row>
    <row r="210" spans="4:16" x14ac:dyDescent="0.25">
      <c r="D210" s="164"/>
      <c r="E210" s="164"/>
      <c r="F210" s="164"/>
      <c r="G210" s="164"/>
      <c r="H210" s="164"/>
      <c r="I210" s="164"/>
      <c r="J210" s="164"/>
      <c r="K210" s="164"/>
      <c r="L210" s="164"/>
      <c r="M210" s="164"/>
      <c r="N210" s="164"/>
      <c r="O210" s="164"/>
      <c r="P210" s="164"/>
    </row>
    <row r="211" spans="4:16" x14ac:dyDescent="0.25">
      <c r="D211" s="164"/>
      <c r="E211" s="164"/>
      <c r="F211" s="164"/>
      <c r="G211" s="164"/>
      <c r="H211" s="164"/>
      <c r="I211" s="164"/>
      <c r="J211" s="164"/>
      <c r="K211" s="164"/>
      <c r="L211" s="164"/>
      <c r="M211" s="164"/>
      <c r="N211" s="164"/>
      <c r="O211" s="164"/>
      <c r="P211" s="164"/>
    </row>
    <row r="212" spans="4:16" x14ac:dyDescent="0.25">
      <c r="D212" s="164"/>
      <c r="E212" s="164"/>
      <c r="F212" s="164"/>
      <c r="G212" s="164"/>
      <c r="H212" s="164"/>
      <c r="I212" s="164"/>
      <c r="J212" s="164"/>
      <c r="K212" s="164"/>
      <c r="L212" s="164"/>
      <c r="M212" s="164"/>
      <c r="N212" s="164"/>
      <c r="O212" s="164"/>
      <c r="P212" s="164"/>
    </row>
    <row r="213" spans="4:16" x14ac:dyDescent="0.25">
      <c r="D213" s="164"/>
      <c r="E213" s="164"/>
      <c r="F213" s="164"/>
      <c r="G213" s="164"/>
      <c r="H213" s="164"/>
      <c r="I213" s="164"/>
      <c r="J213" s="164"/>
      <c r="K213" s="164"/>
      <c r="L213" s="164"/>
      <c r="M213" s="164"/>
      <c r="N213" s="164"/>
      <c r="O213" s="164"/>
      <c r="P213" s="164"/>
    </row>
    <row r="214" spans="4:16" x14ac:dyDescent="0.25">
      <c r="D214" s="164"/>
      <c r="E214" s="164"/>
      <c r="F214" s="164"/>
      <c r="G214" s="164"/>
      <c r="H214" s="164"/>
      <c r="I214" s="164"/>
      <c r="J214" s="164"/>
      <c r="K214" s="164"/>
      <c r="L214" s="164"/>
      <c r="M214" s="164"/>
      <c r="N214" s="164"/>
      <c r="O214" s="164"/>
      <c r="P214" s="164"/>
    </row>
    <row r="215" spans="4:16" x14ac:dyDescent="0.25">
      <c r="D215" s="164"/>
      <c r="E215" s="164"/>
      <c r="F215" s="164"/>
      <c r="G215" s="164"/>
      <c r="H215" s="164"/>
      <c r="I215" s="164"/>
      <c r="J215" s="164"/>
      <c r="K215" s="164"/>
      <c r="L215" s="164"/>
      <c r="M215" s="164"/>
      <c r="N215" s="164"/>
      <c r="O215" s="164"/>
      <c r="P215" s="164"/>
    </row>
    <row r="216" spans="4:16" x14ac:dyDescent="0.25">
      <c r="D216" s="164"/>
      <c r="E216" s="164"/>
      <c r="F216" s="164"/>
      <c r="G216" s="164"/>
      <c r="H216" s="164"/>
      <c r="I216" s="164"/>
      <c r="J216" s="164"/>
      <c r="K216" s="164"/>
      <c r="L216" s="164"/>
      <c r="M216" s="164"/>
      <c r="N216" s="164"/>
      <c r="O216" s="164"/>
      <c r="P216" s="164"/>
    </row>
    <row r="217" spans="4:16" x14ac:dyDescent="0.25">
      <c r="D217" s="164"/>
      <c r="E217" s="164"/>
      <c r="F217" s="164"/>
      <c r="G217" s="164"/>
      <c r="H217" s="164"/>
      <c r="I217" s="164"/>
      <c r="J217" s="164"/>
      <c r="K217" s="164"/>
      <c r="L217" s="164"/>
      <c r="M217" s="164"/>
      <c r="N217" s="164"/>
      <c r="O217" s="164"/>
      <c r="P217" s="164"/>
    </row>
    <row r="218" spans="4:16" x14ac:dyDescent="0.25">
      <c r="D218" s="164"/>
      <c r="E218" s="164"/>
      <c r="F218" s="164"/>
      <c r="G218" s="164"/>
      <c r="H218" s="164"/>
      <c r="I218" s="164"/>
      <c r="J218" s="164"/>
      <c r="K218" s="164"/>
      <c r="L218" s="164"/>
      <c r="M218" s="164"/>
      <c r="N218" s="164"/>
      <c r="O218" s="164"/>
      <c r="P218" s="164"/>
    </row>
    <row r="219" spans="4:16" x14ac:dyDescent="0.25">
      <c r="D219" s="164"/>
      <c r="E219" s="164"/>
      <c r="F219" s="164"/>
      <c r="G219" s="164"/>
      <c r="H219" s="164"/>
      <c r="I219" s="164"/>
      <c r="J219" s="164"/>
      <c r="K219" s="164"/>
      <c r="L219" s="164"/>
      <c r="M219" s="164"/>
      <c r="N219" s="164"/>
      <c r="O219" s="164"/>
      <c r="P219" s="164"/>
    </row>
    <row r="220" spans="4:16" x14ac:dyDescent="0.25"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</row>
    <row r="221" spans="4:16" x14ac:dyDescent="0.25">
      <c r="D221" s="164"/>
      <c r="E221" s="164"/>
      <c r="F221" s="164"/>
      <c r="G221" s="164"/>
      <c r="H221" s="164"/>
      <c r="I221" s="164"/>
      <c r="J221" s="164"/>
      <c r="K221" s="164"/>
      <c r="L221" s="164"/>
      <c r="M221" s="164"/>
      <c r="N221" s="164"/>
      <c r="O221" s="164"/>
      <c r="P221" s="164"/>
    </row>
    <row r="222" spans="4:16" x14ac:dyDescent="0.25">
      <c r="D222" s="164"/>
      <c r="E222" s="164"/>
      <c r="F222" s="164"/>
      <c r="G222" s="164"/>
      <c r="H222" s="164"/>
      <c r="I222" s="164"/>
      <c r="J222" s="164"/>
      <c r="K222" s="164"/>
      <c r="L222" s="164"/>
      <c r="M222" s="164"/>
      <c r="N222" s="164"/>
      <c r="O222" s="164"/>
      <c r="P222" s="164"/>
    </row>
    <row r="223" spans="4:16" x14ac:dyDescent="0.25">
      <c r="D223" s="164"/>
      <c r="E223" s="164"/>
      <c r="F223" s="164"/>
      <c r="G223" s="164"/>
      <c r="H223" s="164"/>
      <c r="I223" s="164"/>
      <c r="J223" s="164"/>
      <c r="K223" s="164"/>
      <c r="L223" s="164"/>
      <c r="M223" s="164"/>
      <c r="N223" s="164"/>
      <c r="O223" s="164"/>
      <c r="P223" s="164"/>
    </row>
    <row r="224" spans="4:16" x14ac:dyDescent="0.25"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</row>
    <row r="225" spans="4:16" x14ac:dyDescent="0.25">
      <c r="D225" s="164"/>
      <c r="E225" s="164"/>
      <c r="F225" s="164"/>
      <c r="G225" s="164"/>
      <c r="H225" s="164"/>
      <c r="I225" s="164"/>
      <c r="J225" s="164"/>
      <c r="K225" s="164"/>
      <c r="L225" s="164"/>
      <c r="M225" s="164"/>
      <c r="N225" s="164"/>
      <c r="O225" s="164"/>
      <c r="P225" s="164"/>
    </row>
    <row r="226" spans="4:16" x14ac:dyDescent="0.25">
      <c r="D226" s="164"/>
      <c r="E226" s="164"/>
      <c r="F226" s="164"/>
      <c r="G226" s="164"/>
      <c r="H226" s="164"/>
      <c r="I226" s="164"/>
      <c r="J226" s="164"/>
      <c r="K226" s="164"/>
      <c r="L226" s="164"/>
      <c r="M226" s="164"/>
      <c r="N226" s="164"/>
      <c r="O226" s="164"/>
      <c r="P226" s="164"/>
    </row>
    <row r="227" spans="4:16" x14ac:dyDescent="0.25">
      <c r="D227" s="164"/>
      <c r="E227" s="164"/>
      <c r="F227" s="164"/>
      <c r="G227" s="164"/>
      <c r="H227" s="164"/>
      <c r="I227" s="164"/>
      <c r="J227" s="164"/>
      <c r="K227" s="164"/>
      <c r="L227" s="164"/>
      <c r="M227" s="164"/>
      <c r="N227" s="164"/>
      <c r="O227" s="164"/>
      <c r="P227" s="164"/>
    </row>
    <row r="228" spans="4:16" x14ac:dyDescent="0.25">
      <c r="D228" s="164"/>
      <c r="E228" s="164"/>
      <c r="F228" s="164"/>
      <c r="G228" s="164"/>
      <c r="H228" s="164"/>
      <c r="I228" s="164"/>
      <c r="J228" s="164"/>
      <c r="K228" s="164"/>
      <c r="L228" s="164"/>
      <c r="M228" s="164"/>
      <c r="N228" s="164"/>
      <c r="O228" s="164"/>
      <c r="P228" s="164"/>
    </row>
    <row r="229" spans="4:16" x14ac:dyDescent="0.25">
      <c r="D229" s="164"/>
      <c r="E229" s="164"/>
      <c r="F229" s="164"/>
      <c r="G229" s="164"/>
      <c r="H229" s="164"/>
      <c r="I229" s="164"/>
      <c r="J229" s="164"/>
      <c r="K229" s="164"/>
      <c r="L229" s="164"/>
      <c r="M229" s="164"/>
      <c r="N229" s="164"/>
      <c r="O229" s="164"/>
      <c r="P229" s="164"/>
    </row>
    <row r="230" spans="4:16" x14ac:dyDescent="0.25">
      <c r="D230" s="164"/>
      <c r="E230" s="164"/>
      <c r="F230" s="164"/>
      <c r="G230" s="164"/>
      <c r="H230" s="164"/>
      <c r="I230" s="164"/>
      <c r="J230" s="164"/>
      <c r="K230" s="164"/>
      <c r="L230" s="164"/>
      <c r="M230" s="164"/>
      <c r="N230" s="164"/>
      <c r="O230" s="164"/>
      <c r="P230" s="164"/>
    </row>
    <row r="231" spans="4:16" x14ac:dyDescent="0.25">
      <c r="D231" s="164"/>
      <c r="E231" s="164"/>
      <c r="F231" s="164"/>
      <c r="G231" s="164"/>
      <c r="H231" s="164"/>
      <c r="I231" s="164"/>
      <c r="J231" s="164"/>
      <c r="K231" s="164"/>
      <c r="L231" s="164"/>
      <c r="M231" s="164"/>
      <c r="N231" s="164"/>
      <c r="O231" s="164"/>
      <c r="P231" s="164"/>
    </row>
    <row r="232" spans="4:16" x14ac:dyDescent="0.25">
      <c r="D232" s="164"/>
      <c r="E232" s="164"/>
      <c r="F232" s="164"/>
      <c r="G232" s="164"/>
      <c r="H232" s="164"/>
      <c r="I232" s="164"/>
      <c r="J232" s="164"/>
      <c r="K232" s="164"/>
      <c r="L232" s="164"/>
      <c r="M232" s="164"/>
      <c r="N232" s="164"/>
      <c r="O232" s="164"/>
      <c r="P232" s="164"/>
    </row>
    <row r="233" spans="4:16" x14ac:dyDescent="0.25">
      <c r="D233" s="164"/>
      <c r="E233" s="164"/>
      <c r="F233" s="164"/>
      <c r="G233" s="164"/>
      <c r="H233" s="164"/>
      <c r="I233" s="164"/>
      <c r="J233" s="164"/>
      <c r="K233" s="164"/>
      <c r="L233" s="164"/>
      <c r="M233" s="164"/>
      <c r="N233" s="164"/>
      <c r="O233" s="164"/>
      <c r="P233" s="164"/>
    </row>
    <row r="234" spans="4:16" x14ac:dyDescent="0.25">
      <c r="D234" s="164"/>
      <c r="E234" s="164"/>
      <c r="F234" s="164"/>
      <c r="G234" s="164"/>
      <c r="H234" s="164"/>
      <c r="I234" s="164"/>
      <c r="J234" s="164"/>
      <c r="K234" s="164"/>
      <c r="L234" s="164"/>
      <c r="M234" s="164"/>
      <c r="N234" s="164"/>
      <c r="O234" s="164"/>
      <c r="P234" s="164"/>
    </row>
    <row r="235" spans="4:16" x14ac:dyDescent="0.25">
      <c r="D235" s="164"/>
      <c r="E235" s="164"/>
      <c r="F235" s="164"/>
      <c r="G235" s="164"/>
      <c r="H235" s="164"/>
      <c r="I235" s="164"/>
      <c r="J235" s="164"/>
      <c r="K235" s="164"/>
      <c r="L235" s="164"/>
      <c r="M235" s="164"/>
      <c r="N235" s="164"/>
      <c r="O235" s="164"/>
      <c r="P235" s="164"/>
    </row>
    <row r="236" spans="4:16" x14ac:dyDescent="0.25">
      <c r="D236" s="164"/>
      <c r="E236" s="164"/>
      <c r="F236" s="164"/>
      <c r="G236" s="164"/>
      <c r="H236" s="164"/>
      <c r="I236" s="164"/>
      <c r="J236" s="164"/>
      <c r="K236" s="164"/>
      <c r="L236" s="164"/>
      <c r="M236" s="164"/>
      <c r="N236" s="164"/>
      <c r="O236" s="164"/>
      <c r="P236" s="164"/>
    </row>
    <row r="237" spans="4:16" x14ac:dyDescent="0.25">
      <c r="D237" s="164"/>
      <c r="E237" s="164"/>
      <c r="F237" s="164"/>
      <c r="G237" s="164"/>
      <c r="H237" s="164"/>
      <c r="I237" s="164"/>
      <c r="J237" s="164"/>
      <c r="K237" s="164"/>
      <c r="L237" s="164"/>
      <c r="M237" s="164"/>
      <c r="N237" s="164"/>
      <c r="O237" s="164"/>
      <c r="P237" s="164"/>
    </row>
    <row r="238" spans="4:16" x14ac:dyDescent="0.25">
      <c r="D238" s="164"/>
      <c r="E238" s="164"/>
      <c r="F238" s="164"/>
      <c r="G238" s="164"/>
      <c r="H238" s="164"/>
      <c r="I238" s="164"/>
      <c r="J238" s="164"/>
      <c r="K238" s="164"/>
      <c r="L238" s="164"/>
      <c r="M238" s="164"/>
      <c r="N238" s="164"/>
      <c r="O238" s="164"/>
      <c r="P238" s="164"/>
    </row>
    <row r="239" spans="4:16" x14ac:dyDescent="0.25">
      <c r="D239" s="164"/>
      <c r="E239" s="164"/>
      <c r="F239" s="164"/>
      <c r="G239" s="164"/>
      <c r="H239" s="164"/>
      <c r="I239" s="164"/>
      <c r="J239" s="164"/>
      <c r="K239" s="164"/>
      <c r="L239" s="164"/>
      <c r="M239" s="164"/>
      <c r="N239" s="164"/>
      <c r="O239" s="164"/>
      <c r="P239" s="164"/>
    </row>
    <row r="240" spans="4:16" x14ac:dyDescent="0.25">
      <c r="D240" s="164"/>
      <c r="E240" s="164"/>
      <c r="F240" s="164"/>
      <c r="G240" s="164"/>
      <c r="H240" s="164"/>
      <c r="I240" s="164"/>
      <c r="J240" s="164"/>
      <c r="K240" s="164"/>
      <c r="L240" s="164"/>
      <c r="M240" s="164"/>
      <c r="N240" s="164"/>
      <c r="O240" s="164"/>
      <c r="P240" s="164"/>
    </row>
    <row r="241" spans="4:16" x14ac:dyDescent="0.25">
      <c r="D241" s="164"/>
      <c r="E241" s="164"/>
      <c r="F241" s="164"/>
      <c r="G241" s="164"/>
      <c r="H241" s="164"/>
      <c r="I241" s="164"/>
      <c r="J241" s="164"/>
      <c r="K241" s="164"/>
      <c r="L241" s="164"/>
      <c r="M241" s="164"/>
      <c r="N241" s="164"/>
      <c r="O241" s="164"/>
      <c r="P241" s="164"/>
    </row>
    <row r="242" spans="4:16" x14ac:dyDescent="0.25">
      <c r="D242" s="164"/>
      <c r="E242" s="164"/>
      <c r="F242" s="164"/>
      <c r="G242" s="164"/>
      <c r="H242" s="164"/>
      <c r="I242" s="164"/>
      <c r="J242" s="164"/>
      <c r="K242" s="164"/>
      <c r="L242" s="164"/>
      <c r="M242" s="164"/>
      <c r="N242" s="164"/>
      <c r="O242" s="164"/>
      <c r="P242" s="164"/>
    </row>
    <row r="243" spans="4:16" x14ac:dyDescent="0.25">
      <c r="D243" s="164"/>
      <c r="E243" s="164"/>
      <c r="F243" s="164"/>
      <c r="G243" s="164"/>
      <c r="H243" s="164"/>
      <c r="I243" s="164"/>
      <c r="J243" s="164"/>
      <c r="K243" s="164"/>
      <c r="L243" s="164"/>
      <c r="M243" s="164"/>
      <c r="N243" s="164"/>
      <c r="O243" s="164"/>
      <c r="P243" s="164"/>
    </row>
    <row r="244" spans="4:16" x14ac:dyDescent="0.25">
      <c r="D244" s="164"/>
      <c r="E244" s="164"/>
      <c r="F244" s="164"/>
      <c r="G244" s="164"/>
      <c r="H244" s="164"/>
      <c r="I244" s="164"/>
      <c r="J244" s="164"/>
      <c r="K244" s="164"/>
      <c r="L244" s="164"/>
      <c r="M244" s="164"/>
      <c r="N244" s="164"/>
      <c r="O244" s="164"/>
      <c r="P244" s="164"/>
    </row>
    <row r="245" spans="4:16" x14ac:dyDescent="0.25">
      <c r="D245" s="164"/>
      <c r="E245" s="164"/>
      <c r="F245" s="164"/>
      <c r="G245" s="164"/>
      <c r="H245" s="164"/>
      <c r="I245" s="164"/>
      <c r="J245" s="164"/>
      <c r="K245" s="164"/>
      <c r="L245" s="164"/>
      <c r="M245" s="164"/>
      <c r="N245" s="164"/>
      <c r="O245" s="164"/>
      <c r="P245" s="164"/>
    </row>
    <row r="246" spans="4:16" x14ac:dyDescent="0.25">
      <c r="D246" s="164"/>
      <c r="E246" s="164"/>
      <c r="F246" s="164"/>
      <c r="G246" s="164"/>
      <c r="H246" s="164"/>
      <c r="I246" s="164"/>
      <c r="J246" s="164"/>
      <c r="K246" s="164"/>
      <c r="L246" s="164"/>
      <c r="M246" s="164"/>
      <c r="N246" s="164"/>
      <c r="O246" s="164"/>
      <c r="P246" s="164"/>
    </row>
    <row r="247" spans="4:16" x14ac:dyDescent="0.25">
      <c r="D247" s="164"/>
      <c r="E247" s="164"/>
      <c r="F247" s="164"/>
      <c r="G247" s="164"/>
      <c r="H247" s="164"/>
      <c r="I247" s="164"/>
      <c r="J247" s="164"/>
      <c r="K247" s="164"/>
      <c r="L247" s="164"/>
      <c r="M247" s="164"/>
      <c r="N247" s="164"/>
      <c r="O247" s="164"/>
      <c r="P247" s="164"/>
    </row>
    <row r="248" spans="4:16" x14ac:dyDescent="0.25">
      <c r="D248" s="164"/>
      <c r="E248" s="164"/>
      <c r="F248" s="164"/>
      <c r="G248" s="164"/>
      <c r="H248" s="164"/>
      <c r="I248" s="164"/>
      <c r="J248" s="164"/>
      <c r="K248" s="164"/>
      <c r="L248" s="164"/>
      <c r="M248" s="164"/>
      <c r="N248" s="164"/>
      <c r="O248" s="164"/>
      <c r="P248" s="164"/>
    </row>
    <row r="249" spans="4:16" x14ac:dyDescent="0.25">
      <c r="D249" s="164"/>
      <c r="E249" s="164"/>
      <c r="F249" s="164"/>
      <c r="G249" s="164"/>
      <c r="H249" s="164"/>
      <c r="I249" s="164"/>
      <c r="J249" s="164"/>
      <c r="K249" s="164"/>
      <c r="L249" s="164"/>
      <c r="M249" s="164"/>
      <c r="N249" s="164"/>
      <c r="O249" s="164"/>
      <c r="P249" s="164"/>
    </row>
    <row r="250" spans="4:16" x14ac:dyDescent="0.25">
      <c r="D250" s="164"/>
      <c r="E250" s="164"/>
      <c r="F250" s="164"/>
      <c r="G250" s="164"/>
      <c r="H250" s="164"/>
      <c r="I250" s="164"/>
      <c r="J250" s="164"/>
      <c r="K250" s="164"/>
      <c r="L250" s="164"/>
      <c r="M250" s="164"/>
      <c r="N250" s="164"/>
      <c r="O250" s="164"/>
      <c r="P250" s="164"/>
    </row>
    <row r="251" spans="4:16" x14ac:dyDescent="0.25">
      <c r="D251" s="164"/>
      <c r="E251" s="164"/>
      <c r="F251" s="164"/>
      <c r="G251" s="164"/>
      <c r="H251" s="164"/>
      <c r="I251" s="164"/>
      <c r="J251" s="164"/>
      <c r="K251" s="164"/>
      <c r="L251" s="164"/>
      <c r="M251" s="164"/>
      <c r="N251" s="164"/>
      <c r="O251" s="164"/>
      <c r="P251" s="164"/>
    </row>
    <row r="252" spans="4:16" x14ac:dyDescent="0.25">
      <c r="D252" s="164"/>
      <c r="E252" s="164"/>
      <c r="F252" s="164"/>
      <c r="G252" s="164"/>
      <c r="H252" s="164"/>
      <c r="I252" s="164"/>
      <c r="J252" s="164"/>
      <c r="K252" s="164"/>
      <c r="L252" s="164"/>
      <c r="M252" s="164"/>
      <c r="N252" s="164"/>
      <c r="O252" s="164"/>
      <c r="P252" s="164"/>
    </row>
    <row r="253" spans="4:16" x14ac:dyDescent="0.25">
      <c r="D253" s="164"/>
      <c r="E253" s="164"/>
      <c r="F253" s="164"/>
      <c r="G253" s="164"/>
      <c r="H253" s="164"/>
      <c r="I253" s="164"/>
      <c r="J253" s="164"/>
      <c r="K253" s="164"/>
      <c r="L253" s="164"/>
      <c r="M253" s="164"/>
      <c r="N253" s="164"/>
      <c r="O253" s="164"/>
      <c r="P253" s="164"/>
    </row>
    <row r="254" spans="4:16" x14ac:dyDescent="0.25">
      <c r="D254" s="164"/>
      <c r="E254" s="164"/>
      <c r="F254" s="164"/>
      <c r="G254" s="164"/>
      <c r="H254" s="164"/>
      <c r="I254" s="164"/>
      <c r="J254" s="164"/>
      <c r="K254" s="164"/>
      <c r="L254" s="164"/>
      <c r="M254" s="164"/>
      <c r="N254" s="164"/>
      <c r="O254" s="164"/>
      <c r="P254" s="164"/>
    </row>
    <row r="255" spans="4:16" x14ac:dyDescent="0.25">
      <c r="D255" s="164"/>
      <c r="E255" s="164"/>
      <c r="F255" s="164"/>
      <c r="G255" s="164"/>
      <c r="H255" s="164"/>
      <c r="I255" s="164"/>
      <c r="J255" s="164"/>
      <c r="K255" s="164"/>
      <c r="L255" s="164"/>
      <c r="M255" s="164"/>
      <c r="N255" s="164"/>
      <c r="O255" s="164"/>
      <c r="P255" s="164"/>
    </row>
    <row r="256" spans="4:16" x14ac:dyDescent="0.25"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</row>
    <row r="257" spans="4:16" x14ac:dyDescent="0.25">
      <c r="D257" s="164"/>
      <c r="E257" s="164"/>
      <c r="F257" s="164"/>
      <c r="G257" s="164"/>
      <c r="H257" s="164"/>
      <c r="I257" s="164"/>
      <c r="J257" s="164"/>
      <c r="K257" s="164"/>
      <c r="L257" s="164"/>
      <c r="M257" s="164"/>
      <c r="N257" s="164"/>
      <c r="O257" s="164"/>
      <c r="P257" s="164"/>
    </row>
    <row r="258" spans="4:16" x14ac:dyDescent="0.25">
      <c r="D258" s="164"/>
      <c r="E258" s="164"/>
      <c r="F258" s="164"/>
      <c r="G258" s="164"/>
      <c r="H258" s="164"/>
      <c r="I258" s="164"/>
      <c r="J258" s="164"/>
      <c r="K258" s="164"/>
      <c r="L258" s="164"/>
      <c r="M258" s="164"/>
      <c r="N258" s="164"/>
      <c r="O258" s="164"/>
      <c r="P258" s="164"/>
    </row>
    <row r="259" spans="4:16" x14ac:dyDescent="0.25">
      <c r="D259" s="164"/>
      <c r="E259" s="164"/>
      <c r="F259" s="164"/>
      <c r="G259" s="164"/>
      <c r="H259" s="164"/>
      <c r="I259" s="164"/>
      <c r="J259" s="164"/>
      <c r="K259" s="164"/>
      <c r="L259" s="164"/>
      <c r="M259" s="164"/>
      <c r="N259" s="164"/>
      <c r="O259" s="164"/>
      <c r="P259" s="164"/>
    </row>
    <row r="260" spans="4:16" x14ac:dyDescent="0.25">
      <c r="D260" s="164"/>
      <c r="E260" s="164"/>
      <c r="F260" s="164"/>
      <c r="G260" s="164"/>
      <c r="H260" s="164"/>
      <c r="I260" s="164"/>
      <c r="J260" s="164"/>
      <c r="K260" s="164"/>
      <c r="L260" s="164"/>
      <c r="M260" s="164"/>
      <c r="N260" s="164"/>
      <c r="O260" s="164"/>
      <c r="P260" s="164"/>
    </row>
    <row r="261" spans="4:16" x14ac:dyDescent="0.25">
      <c r="D261" s="164"/>
      <c r="E261" s="164"/>
      <c r="F261" s="164"/>
      <c r="G261" s="164"/>
      <c r="H261" s="164"/>
      <c r="I261" s="164"/>
      <c r="J261" s="164"/>
      <c r="K261" s="164"/>
      <c r="L261" s="164"/>
      <c r="M261" s="164"/>
      <c r="N261" s="164"/>
      <c r="O261" s="164"/>
      <c r="P261" s="164"/>
    </row>
    <row r="262" spans="4:16" x14ac:dyDescent="0.25">
      <c r="D262" s="164"/>
      <c r="E262" s="164"/>
      <c r="F262" s="164"/>
      <c r="G262" s="164"/>
      <c r="H262" s="164"/>
      <c r="I262" s="164"/>
      <c r="J262" s="164"/>
      <c r="K262" s="164"/>
      <c r="L262" s="164"/>
      <c r="M262" s="164"/>
      <c r="N262" s="164"/>
      <c r="O262" s="164"/>
      <c r="P262" s="164"/>
    </row>
    <row r="263" spans="4:16" x14ac:dyDescent="0.25">
      <c r="D263" s="164"/>
      <c r="E263" s="164"/>
      <c r="F263" s="164"/>
      <c r="G263" s="164"/>
      <c r="H263" s="164"/>
      <c r="I263" s="164"/>
      <c r="J263" s="164"/>
      <c r="K263" s="164"/>
      <c r="L263" s="164"/>
      <c r="M263" s="164"/>
      <c r="N263" s="164"/>
      <c r="O263" s="164"/>
      <c r="P263" s="164"/>
    </row>
    <row r="264" spans="4:16" x14ac:dyDescent="0.25">
      <c r="D264" s="164"/>
      <c r="E264" s="164"/>
      <c r="F264" s="164"/>
      <c r="G264" s="164"/>
      <c r="H264" s="164"/>
      <c r="I264" s="164"/>
      <c r="J264" s="164"/>
      <c r="K264" s="164"/>
      <c r="L264" s="164"/>
      <c r="M264" s="164"/>
      <c r="N264" s="164"/>
      <c r="O264" s="164"/>
      <c r="P264" s="164"/>
    </row>
    <row r="265" spans="4:16" x14ac:dyDescent="0.25">
      <c r="D265" s="164"/>
      <c r="E265" s="164"/>
      <c r="F265" s="164"/>
      <c r="G265" s="164"/>
      <c r="H265" s="164"/>
      <c r="I265" s="164"/>
      <c r="J265" s="164"/>
      <c r="K265" s="164"/>
      <c r="L265" s="164"/>
      <c r="M265" s="164"/>
      <c r="N265" s="164"/>
      <c r="O265" s="164"/>
      <c r="P265" s="164"/>
    </row>
    <row r="266" spans="4:16" x14ac:dyDescent="0.25">
      <c r="D266" s="164"/>
      <c r="E266" s="164"/>
      <c r="F266" s="164"/>
      <c r="G266" s="164"/>
      <c r="H266" s="164"/>
      <c r="I266" s="164"/>
      <c r="J266" s="164"/>
      <c r="K266" s="164"/>
      <c r="L266" s="164"/>
      <c r="M266" s="164"/>
      <c r="N266" s="164"/>
      <c r="O266" s="164"/>
      <c r="P266" s="164"/>
    </row>
    <row r="267" spans="4:16" x14ac:dyDescent="0.25">
      <c r="D267" s="164"/>
      <c r="E267" s="164"/>
      <c r="F267" s="164"/>
      <c r="G267" s="164"/>
      <c r="H267" s="164"/>
      <c r="I267" s="164"/>
      <c r="J267" s="164"/>
      <c r="K267" s="164"/>
      <c r="L267" s="164"/>
      <c r="M267" s="164"/>
      <c r="N267" s="164"/>
      <c r="O267" s="164"/>
      <c r="P267" s="164"/>
    </row>
    <row r="268" spans="4:16" x14ac:dyDescent="0.25">
      <c r="D268" s="164"/>
      <c r="E268" s="164"/>
      <c r="F268" s="164"/>
      <c r="G268" s="164"/>
      <c r="H268" s="164"/>
      <c r="I268" s="164"/>
      <c r="J268" s="164"/>
      <c r="K268" s="164"/>
      <c r="L268" s="164"/>
      <c r="M268" s="164"/>
      <c r="N268" s="164"/>
      <c r="O268" s="164"/>
      <c r="P268" s="164"/>
    </row>
    <row r="269" spans="4:16" x14ac:dyDescent="0.25">
      <c r="D269" s="164"/>
      <c r="E269" s="164"/>
      <c r="F269" s="164"/>
      <c r="G269" s="164"/>
      <c r="H269" s="164"/>
      <c r="I269" s="164"/>
      <c r="J269" s="164"/>
      <c r="K269" s="164"/>
      <c r="L269" s="164"/>
      <c r="M269" s="164"/>
      <c r="N269" s="164"/>
      <c r="O269" s="164"/>
      <c r="P269" s="164"/>
    </row>
    <row r="270" spans="4:16" x14ac:dyDescent="0.25">
      <c r="D270" s="164"/>
      <c r="E270" s="164"/>
      <c r="F270" s="164"/>
      <c r="G270" s="164"/>
      <c r="H270" s="164"/>
      <c r="I270" s="164"/>
      <c r="J270" s="164"/>
      <c r="K270" s="164"/>
      <c r="L270" s="164"/>
      <c r="M270" s="164"/>
      <c r="N270" s="164"/>
      <c r="O270" s="164"/>
      <c r="P270" s="164"/>
    </row>
    <row r="271" spans="4:16" x14ac:dyDescent="0.25">
      <c r="D271" s="164"/>
      <c r="E271" s="164"/>
      <c r="F271" s="164"/>
      <c r="G271" s="164"/>
      <c r="H271" s="164"/>
      <c r="I271" s="164"/>
      <c r="J271" s="164"/>
      <c r="K271" s="164"/>
      <c r="L271" s="164"/>
      <c r="M271" s="164"/>
      <c r="N271" s="164"/>
      <c r="O271" s="164"/>
      <c r="P271" s="164"/>
    </row>
    <row r="272" spans="4:16" x14ac:dyDescent="0.25">
      <c r="D272" s="164"/>
      <c r="E272" s="164"/>
      <c r="F272" s="164"/>
      <c r="G272" s="164"/>
      <c r="H272" s="164"/>
      <c r="I272" s="164"/>
      <c r="J272" s="164"/>
      <c r="K272" s="164"/>
      <c r="L272" s="164"/>
      <c r="M272" s="164"/>
      <c r="N272" s="164"/>
      <c r="O272" s="164"/>
      <c r="P272" s="164"/>
    </row>
    <row r="273" spans="4:16" x14ac:dyDescent="0.25">
      <c r="D273" s="164"/>
      <c r="E273" s="164"/>
      <c r="F273" s="164"/>
      <c r="G273" s="164"/>
      <c r="H273" s="164"/>
      <c r="I273" s="164"/>
      <c r="J273" s="164"/>
      <c r="K273" s="164"/>
      <c r="L273" s="164"/>
      <c r="M273" s="164"/>
      <c r="N273" s="164"/>
      <c r="O273" s="164"/>
      <c r="P273" s="164"/>
    </row>
  </sheetData>
  <mergeCells count="1">
    <mergeCell ref="B3:C3"/>
  </mergeCells>
  <conditionalFormatting sqref="C6 C8:O21 D23:P35 C36:P112 D9:O22 D6:O7">
    <cfRule type="cellIs" dxfId="7" priority="13" operator="equal">
      <formula>""</formula>
    </cfRule>
  </conditionalFormatting>
  <conditionalFormatting sqref="C22:C35">
    <cfRule type="cellIs" dxfId="6" priority="12" operator="equal">
      <formula>""</formula>
    </cfRule>
  </conditionalFormatting>
  <conditionalFormatting sqref="C22:P689 C8:O21 D6:O7">
    <cfRule type="cellIs" dxfId="5" priority="11" operator="greaterThan">
      <formula>0</formula>
    </cfRule>
  </conditionalFormatting>
  <conditionalFormatting sqref="D4:P4">
    <cfRule type="cellIs" dxfId="4" priority="10" operator="greaterThan">
      <formula>0</formula>
    </cfRule>
  </conditionalFormatting>
  <conditionalFormatting sqref="P18:P21">
    <cfRule type="cellIs" dxfId="3" priority="9" operator="greaterThan">
      <formula>0</formula>
    </cfRule>
  </conditionalFormatting>
  <conditionalFormatting sqref="P6">
    <cfRule type="cellIs" dxfId="2" priority="8" operator="greaterThan">
      <formula>0</formula>
    </cfRule>
  </conditionalFormatting>
  <conditionalFormatting sqref="P9:P17">
    <cfRule type="cellIs" dxfId="1" priority="2" operator="greaterThan">
      <formula>0</formula>
    </cfRule>
  </conditionalFormatting>
  <conditionalFormatting sqref="P7:P8">
    <cfRule type="cellIs" dxfId="0" priority="1" operator="greaterThan">
      <formula>0</formula>
    </cfRule>
  </conditionalFormatting>
  <pageMargins left="0.25" right="0.25" top="0.75" bottom="0.75" header="0.3" footer="0.3"/>
  <pageSetup paperSize="9" scale="84" fitToHeight="0" orientation="landscape" horizontalDpi="300" verticalDpi="300" r:id="rId1"/>
  <headerFooter>
    <oddHeader>&amp;R10/05/20 21:38</oddHeader>
    <oddFooter>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Drop Down 1">
              <controlPr defaultSize="0" autoLine="0" autoPict="0">
                <anchor>
                  <from>
                    <xdr:col>4</xdr:col>
                    <xdr:colOff>47625</xdr:colOff>
                    <xdr:row>0</xdr:row>
                    <xdr:rowOff>628650</xdr:rowOff>
                  </from>
                  <to>
                    <xdr:col>4</xdr:col>
                    <xdr:colOff>666750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Drop Down 3">
              <controlPr defaultSize="0" autoLine="0" autoPict="0">
                <anchor>
                  <from>
                    <xdr:col>10</xdr:col>
                    <xdr:colOff>619125</xdr:colOff>
                    <xdr:row>0</xdr:row>
                    <xdr:rowOff>609600</xdr:rowOff>
                  </from>
                  <to>
                    <xdr:col>12</xdr:col>
                    <xdr:colOff>95250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Drop Down 4">
              <controlPr defaultSize="0" autoLine="0" autoPict="0">
                <anchor>
                  <from>
                    <xdr:col>7</xdr:col>
                    <xdr:colOff>28575</xdr:colOff>
                    <xdr:row>0</xdr:row>
                    <xdr:rowOff>609600</xdr:rowOff>
                  </from>
                  <to>
                    <xdr:col>8</xdr:col>
                    <xdr:colOff>209550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8">
    <tabColor rgb="FFFFC000"/>
    <pageSetUpPr fitToPage="1"/>
  </sheetPr>
  <dimension ref="B1:BF8"/>
  <sheetViews>
    <sheetView showGridLines="0" showRowColHeaders="0" zoomScale="90" zoomScaleNormal="90" workbookViewId="0"/>
  </sheetViews>
  <sheetFormatPr defaultRowHeight="15" x14ac:dyDescent="0.25"/>
  <cols>
    <col min="1" max="1" width="29.7109375" customWidth="1"/>
    <col min="2" max="2" width="4.28515625" hidden="1" customWidth="1"/>
    <col min="3" max="3" width="12.85546875" customWidth="1"/>
    <col min="4" max="4" width="23" customWidth="1"/>
    <col min="5" max="5" width="17.5703125" customWidth="1"/>
    <col min="6" max="6" width="21.28515625" customWidth="1"/>
    <col min="7" max="7" width="19.5703125" customWidth="1"/>
    <col min="8" max="8" width="19.7109375" customWidth="1"/>
    <col min="9" max="9" width="21.42578125" customWidth="1"/>
    <col min="10" max="10" width="23.7109375" customWidth="1"/>
    <col min="11" max="11" width="15.5703125" customWidth="1"/>
    <col min="12" max="13" width="15" style="82" customWidth="1"/>
    <col min="14" max="14" width="10" customWidth="1"/>
    <col min="56" max="56" width="31.5703125" bestFit="1" customWidth="1"/>
  </cols>
  <sheetData>
    <row r="1" spans="2:58" ht="16.5" customHeight="1" x14ac:dyDescent="0.25">
      <c r="C1" s="82"/>
      <c r="K1" s="144"/>
      <c r="M1" s="156">
        <f>COUNTA(B:B)+4</f>
        <v>9</v>
      </c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 t="s">
        <v>168</v>
      </c>
      <c r="BB1" s="164" t="str">
        <f>"C3:N"&amp;COUNTA(C:C)+2</f>
        <v>C3:N3</v>
      </c>
      <c r="BC1" s="164">
        <v>2</v>
      </c>
      <c r="BD1" s="164" t="str">
        <f>"Relatório - Forma de Pagamento"&amp;BE1</f>
        <v>Relatório - Forma de Pagamento</v>
      </c>
      <c r="BE1" s="164"/>
      <c r="BF1" s="164">
        <v>1</v>
      </c>
    </row>
    <row r="2" spans="2:58" ht="16.5" customHeight="1" x14ac:dyDescent="0.25">
      <c r="C2" s="82"/>
      <c r="K2" s="144"/>
      <c r="M2"/>
    </row>
    <row r="3" spans="2:58" ht="54" customHeight="1" x14ac:dyDescent="0.25">
      <c r="C3" s="82"/>
      <c r="K3" s="144"/>
      <c r="M3"/>
    </row>
    <row r="4" spans="2:58" ht="42" customHeight="1" x14ac:dyDescent="0.25">
      <c r="B4" s="236" t="s">
        <v>1</v>
      </c>
      <c r="C4" s="276" t="s">
        <v>19</v>
      </c>
      <c r="D4" s="236" t="s">
        <v>2</v>
      </c>
      <c r="E4" s="236" t="s">
        <v>3</v>
      </c>
      <c r="F4" s="236" t="s">
        <v>83</v>
      </c>
      <c r="G4" s="236" t="s">
        <v>7</v>
      </c>
      <c r="H4" s="236" t="s">
        <v>84</v>
      </c>
      <c r="I4" s="236" t="s">
        <v>4</v>
      </c>
      <c r="J4" s="236" t="s">
        <v>85</v>
      </c>
      <c r="K4" s="237" t="s">
        <v>23</v>
      </c>
      <c r="L4" s="141" t="s">
        <v>24</v>
      </c>
      <c r="M4" s="141" t="s">
        <v>86</v>
      </c>
      <c r="N4" s="141" t="s">
        <v>121</v>
      </c>
    </row>
    <row r="5" spans="2:58" x14ac:dyDescent="0.25">
      <c r="B5">
        <v>5</v>
      </c>
      <c r="C5" s="82"/>
    </row>
    <row r="6" spans="2:58" x14ac:dyDescent="0.25">
      <c r="B6">
        <v>6</v>
      </c>
      <c r="C6" s="82"/>
    </row>
    <row r="7" spans="2:58" x14ac:dyDescent="0.25">
      <c r="B7">
        <v>7</v>
      </c>
      <c r="C7" s="82"/>
    </row>
    <row r="8" spans="2:58" x14ac:dyDescent="0.25">
      <c r="B8">
        <v>8</v>
      </c>
      <c r="C8" s="82"/>
    </row>
  </sheetData>
  <autoFilter ref="B4:N4" xr:uid="{00000000-0009-0000-0000-00001B000000}"/>
  <sortState xmlns:xlrd2="http://schemas.microsoft.com/office/spreadsheetml/2017/richdata2" ref="B5:N8">
    <sortCondition ref="M5"/>
  </sortState>
  <pageMargins left="0.25" right="0.25" top="0.75" bottom="0.75" header="0.3" footer="0.3"/>
  <pageSetup paperSize="9" scale="66" fitToHeight="0" orientation="landscape" horizontalDpi="300" verticalDpi="300" r:id="rId1"/>
  <headerFooter>
    <oddHeader>&amp;R20/03/20 12:12</oddHeader>
    <oddFooter>&amp;RPágina &amp;P de &amp;N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29">
    <tabColor rgb="FFFFC000"/>
  </sheetPr>
  <dimension ref="B1:BF9"/>
  <sheetViews>
    <sheetView showGridLines="0" showRowColHeaders="0" zoomScale="90" zoomScaleNormal="90" workbookViewId="0"/>
  </sheetViews>
  <sheetFormatPr defaultRowHeight="15" x14ac:dyDescent="0.25"/>
  <cols>
    <col min="1" max="1" width="29.7109375" customWidth="1"/>
    <col min="2" max="2" width="4.28515625" hidden="1" customWidth="1"/>
    <col min="3" max="3" width="12.42578125" customWidth="1"/>
    <col min="4" max="4" width="25" customWidth="1"/>
    <col min="5" max="5" width="23" customWidth="1"/>
    <col min="6" max="6" width="21.28515625" customWidth="1"/>
    <col min="7" max="7" width="22" customWidth="1"/>
    <col min="8" max="8" width="19.7109375" customWidth="1"/>
    <col min="9" max="9" width="21.42578125" customWidth="1"/>
    <col min="10" max="10" width="23.7109375" customWidth="1"/>
    <col min="11" max="11" width="15.5703125" customWidth="1"/>
    <col min="12" max="12" width="12.85546875" customWidth="1"/>
    <col min="13" max="13" width="12.140625" customWidth="1"/>
    <col min="56" max="56" width="26.28515625" bestFit="1" customWidth="1"/>
  </cols>
  <sheetData>
    <row r="1" spans="2:58" ht="16.5" customHeight="1" x14ac:dyDescent="0.25">
      <c r="C1" s="82"/>
      <c r="K1" s="144"/>
      <c r="L1" s="82"/>
      <c r="M1" s="156">
        <f>COUNTA(B:B)+4</f>
        <v>10</v>
      </c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 t="s">
        <v>178</v>
      </c>
      <c r="BB1" s="164" t="str">
        <f>"C3:N"&amp;COUNTA(C:C)+2</f>
        <v>C3:N3</v>
      </c>
      <c r="BC1" s="164">
        <v>2</v>
      </c>
      <c r="BD1" s="164" t="str">
        <f>"Relatório - Grupo de Contas "&amp;BE1</f>
        <v xml:space="preserve">Relatório - Grupo de Contas </v>
      </c>
      <c r="BE1" s="164"/>
      <c r="BF1" s="164">
        <v>1</v>
      </c>
    </row>
    <row r="2" spans="2:58" ht="16.5" customHeight="1" x14ac:dyDescent="0.25">
      <c r="C2" s="82"/>
      <c r="K2" s="144"/>
      <c r="L2" s="82"/>
    </row>
    <row r="3" spans="2:58" ht="54" customHeight="1" x14ac:dyDescent="0.25">
      <c r="C3" s="82"/>
      <c r="K3" s="144"/>
      <c r="L3" s="82"/>
    </row>
    <row r="4" spans="2:58" ht="25.5" x14ac:dyDescent="0.25">
      <c r="B4" s="97" t="s">
        <v>1</v>
      </c>
      <c r="C4" s="98" t="s">
        <v>19</v>
      </c>
      <c r="D4" s="97" t="s">
        <v>2</v>
      </c>
      <c r="E4" s="97" t="s">
        <v>3</v>
      </c>
      <c r="F4" s="97" t="s">
        <v>83</v>
      </c>
      <c r="G4" s="97" t="s">
        <v>7</v>
      </c>
      <c r="H4" s="97" t="s">
        <v>84</v>
      </c>
      <c r="I4" s="97" t="s">
        <v>4</v>
      </c>
      <c r="J4" s="97" t="s">
        <v>85</v>
      </c>
      <c r="K4" s="99" t="s">
        <v>23</v>
      </c>
      <c r="L4" s="141" t="s">
        <v>24</v>
      </c>
      <c r="M4" s="141" t="s">
        <v>86</v>
      </c>
      <c r="N4" s="98" t="s">
        <v>121</v>
      </c>
    </row>
    <row r="5" spans="2:58" x14ac:dyDescent="0.25">
      <c r="B5">
        <v>1</v>
      </c>
      <c r="C5" s="82"/>
      <c r="L5" s="82"/>
      <c r="M5" s="82"/>
    </row>
    <row r="6" spans="2:58" x14ac:dyDescent="0.25">
      <c r="B6">
        <v>1</v>
      </c>
      <c r="C6" s="82"/>
      <c r="L6" s="82"/>
      <c r="M6" s="82"/>
    </row>
    <row r="7" spans="2:58" x14ac:dyDescent="0.25">
      <c r="B7">
        <v>2</v>
      </c>
      <c r="C7" s="82"/>
      <c r="L7" s="82"/>
      <c r="M7" s="82"/>
    </row>
    <row r="8" spans="2:58" x14ac:dyDescent="0.25">
      <c r="B8">
        <v>2</v>
      </c>
      <c r="C8" s="82"/>
      <c r="L8" s="82"/>
      <c r="M8" s="82"/>
    </row>
    <row r="9" spans="2:58" x14ac:dyDescent="0.25">
      <c r="B9">
        <v>1</v>
      </c>
      <c r="C9" s="82"/>
      <c r="L9" s="82"/>
      <c r="M9" s="82"/>
    </row>
  </sheetData>
  <autoFilter ref="B4:N4" xr:uid="{00000000-0009-0000-0000-00001C000000}"/>
  <sortState xmlns:xlrd2="http://schemas.microsoft.com/office/spreadsheetml/2017/richdata2" ref="B5:L9">
    <sortCondition ref="L5"/>
  </sortState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32">
    <tabColor theme="3" tint="0.39997558519241921"/>
  </sheetPr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3">
    <tabColor theme="3" tint="0.39997558519241921"/>
  </sheetPr>
  <dimension ref="D1:V22"/>
  <sheetViews>
    <sheetView showGridLines="0" showRowColHeaders="0" zoomScaleNormal="100" workbookViewId="0">
      <selection activeCell="F8" sqref="F8"/>
    </sheetView>
  </sheetViews>
  <sheetFormatPr defaultRowHeight="15" x14ac:dyDescent="0.25"/>
  <cols>
    <col min="1" max="1" width="29.5703125" customWidth="1"/>
    <col min="2" max="3" width="2.28515625" customWidth="1"/>
    <col min="5" max="5" width="24.140625" customWidth="1"/>
    <col min="6" max="6" width="32" customWidth="1"/>
    <col min="8" max="8" width="24.140625" customWidth="1"/>
    <col min="9" max="9" width="32" customWidth="1"/>
    <col min="13" max="14" width="0" hidden="1" customWidth="1"/>
    <col min="15" max="15" width="22" hidden="1" customWidth="1"/>
    <col min="16" max="16" width="0" hidden="1" customWidth="1"/>
    <col min="17" max="21" width="19.42578125" hidden="1" customWidth="1"/>
    <col min="22" max="22" width="0" hidden="1" customWidth="1"/>
  </cols>
  <sheetData>
    <row r="1" spans="4:22" x14ac:dyDescent="0.25">
      <c r="M1" s="33">
        <f>COUNTA(LANÇAMENTOS_01!B:B)+1</f>
        <v>2</v>
      </c>
      <c r="O1" t="str">
        <f>IF(COUNTA(N1:N1001)&lt;=1,"FORM_RECEITAS!N1:N1","FORM_RECEITAS!N1:N"&amp;COUNTA(N1:N1001))</f>
        <v>FORM_RECEITAS!N1:N1</v>
      </c>
      <c r="P1">
        <f>IF(COUNTA(N1:N1001)&lt;=1,1,COUNTA(N1:N1001))</f>
        <v>1</v>
      </c>
      <c r="Q1" t="str">
        <f>"CADASTRO_05!B2:B"&amp;COUNTA(CADASTRO_05!B:B)</f>
        <v>CADASTRO_05!B2:B2</v>
      </c>
      <c r="R1" t="str">
        <f>"CADASTRO_04!B2:B"&amp;COUNTA(CADASTRO_04!B:B)</f>
        <v>CADASTRO_04!B2:B1</v>
      </c>
      <c r="S1" t="str">
        <f>"CADASTRO_03!B2:B"&amp;COUNTA(CADASTRO_03!B:B)</f>
        <v>CADASTRO_03!B2:B1</v>
      </c>
      <c r="T1" t="str">
        <f>"CADASTRO_06!B2:B"&amp;COUNTA(CADASTRO_06!B:B)</f>
        <v>CADASTRO_06!B2:B1</v>
      </c>
      <c r="U1" t="str">
        <f>"CADASTRO_07!B2:B"&amp;COUNTA(CADASTRO_07!B:B)</f>
        <v>CADASTRO_07!B2:B1</v>
      </c>
      <c r="V1" t="str">
        <f>IF(I8="","",IF(I8="Cliente",T1,U1))</f>
        <v/>
      </c>
    </row>
    <row r="2" spans="4:22" ht="21" x14ac:dyDescent="0.35">
      <c r="E2" s="106" t="s">
        <v>88</v>
      </c>
      <c r="N2" s="26"/>
    </row>
    <row r="3" spans="4:22" ht="10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O3" s="40"/>
      <c r="P3" s="40"/>
      <c r="Q3" s="40"/>
      <c r="R3" s="40"/>
      <c r="S3" s="40"/>
      <c r="T3" s="40"/>
      <c r="U3" s="40"/>
    </row>
    <row r="4" spans="4:22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O4" s="40"/>
      <c r="P4" s="40"/>
      <c r="Q4" s="40"/>
      <c r="R4" s="40"/>
      <c r="S4" s="40"/>
      <c r="T4" s="40"/>
      <c r="U4" s="40"/>
    </row>
    <row r="5" spans="4:22" ht="21.75" thickBot="1" x14ac:dyDescent="0.3">
      <c r="D5" s="107"/>
      <c r="P5" s="40"/>
      <c r="Q5" s="40"/>
      <c r="R5" s="40"/>
      <c r="S5" s="40"/>
      <c r="T5" s="40"/>
      <c r="U5" s="40"/>
    </row>
    <row r="6" spans="4:22" ht="24" customHeight="1" thickBot="1" x14ac:dyDescent="0.3">
      <c r="D6" s="108"/>
      <c r="E6" s="109" t="s">
        <v>19</v>
      </c>
      <c r="F6" s="110"/>
      <c r="G6" s="111"/>
      <c r="H6" s="109" t="s">
        <v>4</v>
      </c>
      <c r="I6" s="112"/>
      <c r="J6" s="113"/>
      <c r="K6" s="113"/>
      <c r="L6" s="113"/>
      <c r="M6" s="113"/>
      <c r="O6" s="113"/>
      <c r="P6" s="113"/>
      <c r="Q6" s="113"/>
      <c r="R6" s="113"/>
      <c r="S6" s="113"/>
      <c r="T6" s="113"/>
      <c r="U6" s="113"/>
    </row>
    <row r="7" spans="4:22" ht="21.75" thickBot="1" x14ac:dyDescent="0.3">
      <c r="D7" s="107"/>
      <c r="E7" s="114"/>
      <c r="F7" s="40"/>
      <c r="G7" s="40"/>
      <c r="H7" s="115"/>
      <c r="I7" s="40"/>
      <c r="J7" s="40"/>
      <c r="K7" s="40"/>
      <c r="L7" s="40"/>
      <c r="M7" s="40"/>
      <c r="O7" s="40"/>
      <c r="P7" s="40"/>
      <c r="Q7" s="40"/>
      <c r="R7" s="40"/>
      <c r="S7" s="40"/>
      <c r="T7" s="40"/>
      <c r="U7" s="40"/>
    </row>
    <row r="8" spans="4:22" ht="24" customHeight="1" thickBot="1" x14ac:dyDescent="0.3">
      <c r="D8" s="108"/>
      <c r="E8" s="109" t="s">
        <v>20</v>
      </c>
      <c r="F8" s="116"/>
      <c r="G8" s="113"/>
      <c r="H8" s="109" t="s">
        <v>89</v>
      </c>
      <c r="I8" s="112"/>
      <c r="J8" s="113"/>
      <c r="K8" s="113"/>
      <c r="L8" s="113"/>
      <c r="M8" s="113"/>
      <c r="O8" s="113"/>
      <c r="P8" s="113"/>
      <c r="Q8" s="113"/>
      <c r="R8" s="113"/>
      <c r="S8" s="113"/>
      <c r="T8" s="113"/>
      <c r="U8" s="113"/>
    </row>
    <row r="9" spans="4:22" ht="21.75" thickBot="1" x14ac:dyDescent="0.3">
      <c r="D9" s="107"/>
      <c r="E9" s="114"/>
      <c r="F9" s="40"/>
      <c r="G9" s="40"/>
      <c r="H9" s="115"/>
      <c r="I9" s="40"/>
      <c r="J9" s="40"/>
      <c r="K9" s="40"/>
      <c r="L9" s="40"/>
      <c r="M9" s="40"/>
      <c r="O9" s="40"/>
      <c r="P9" s="40"/>
      <c r="Q9" s="40"/>
      <c r="R9" s="40"/>
      <c r="S9" s="40"/>
      <c r="T9" s="40"/>
      <c r="U9" s="40"/>
    </row>
    <row r="10" spans="4:22" ht="24" customHeight="1" thickBot="1" x14ac:dyDescent="0.3">
      <c r="D10" s="113"/>
      <c r="E10" s="109" t="s">
        <v>3</v>
      </c>
      <c r="F10" s="112"/>
      <c r="G10" s="113"/>
      <c r="H10" s="109" t="s">
        <v>90</v>
      </c>
      <c r="I10" s="112"/>
      <c r="J10" s="113"/>
      <c r="K10" s="113"/>
      <c r="L10" s="113"/>
      <c r="M10" s="113"/>
      <c r="O10" s="113"/>
      <c r="P10" s="113"/>
      <c r="Q10" s="113"/>
      <c r="R10" s="113"/>
      <c r="S10" s="113"/>
      <c r="T10" s="113"/>
      <c r="U10" s="113"/>
    </row>
    <row r="11" spans="4:22" ht="16.5" thickBot="1" x14ac:dyDescent="0.3">
      <c r="D11" s="40"/>
      <c r="E11" s="115"/>
      <c r="F11" s="40"/>
      <c r="G11" s="40"/>
      <c r="H11" s="117"/>
      <c r="I11" s="40"/>
      <c r="J11" s="40"/>
      <c r="K11" s="40"/>
      <c r="L11" s="40"/>
      <c r="M11" s="40"/>
      <c r="O11" s="40"/>
      <c r="P11" s="40"/>
      <c r="Q11" s="40"/>
      <c r="R11" s="40"/>
      <c r="S11" s="40"/>
      <c r="T11" s="40"/>
      <c r="U11" s="40"/>
    </row>
    <row r="12" spans="4:22" ht="24" customHeight="1" thickBot="1" x14ac:dyDescent="0.3">
      <c r="D12" s="113"/>
      <c r="E12" s="109" t="s">
        <v>15</v>
      </c>
      <c r="F12" s="112"/>
      <c r="G12" s="113"/>
      <c r="H12" s="109" t="s">
        <v>23</v>
      </c>
      <c r="I12" s="118"/>
      <c r="J12" s="113"/>
      <c r="K12" s="113"/>
      <c r="L12" s="113"/>
      <c r="M12" s="113"/>
      <c r="O12" s="113"/>
      <c r="P12" s="113"/>
      <c r="Q12" s="113"/>
      <c r="R12" s="113"/>
      <c r="S12" s="113"/>
      <c r="T12" s="113"/>
      <c r="U12" s="113"/>
    </row>
    <row r="13" spans="4:22" ht="16.5" thickBot="1" x14ac:dyDescent="0.3">
      <c r="D13" s="40"/>
      <c r="E13" s="115"/>
      <c r="F13" s="40"/>
      <c r="G13" s="40"/>
      <c r="H13" s="115"/>
      <c r="I13" s="40"/>
      <c r="K13" s="40"/>
      <c r="L13" s="40"/>
      <c r="M13" s="40"/>
      <c r="O13" s="40"/>
      <c r="P13" s="40"/>
      <c r="Q13" s="40"/>
      <c r="R13" s="40"/>
      <c r="S13" s="40"/>
      <c r="T13" s="40"/>
      <c r="U13" s="40"/>
    </row>
    <row r="14" spans="4:22" ht="24" customHeight="1" thickBot="1" x14ac:dyDescent="0.3">
      <c r="D14" s="113"/>
      <c r="E14" s="109" t="s">
        <v>7</v>
      </c>
      <c r="F14" s="112"/>
      <c r="G14" s="113"/>
      <c r="H14" s="109" t="s">
        <v>91</v>
      </c>
      <c r="I14" s="110"/>
      <c r="J14" s="113"/>
      <c r="K14" s="113"/>
      <c r="L14" s="113"/>
      <c r="M14" s="113"/>
      <c r="O14" s="113"/>
      <c r="P14" s="113"/>
      <c r="Q14" s="113"/>
      <c r="R14" s="113"/>
      <c r="S14" s="113"/>
      <c r="T14" s="113"/>
      <c r="U14" s="113"/>
    </row>
    <row r="15" spans="4:22" ht="16.5" thickBot="1" x14ac:dyDescent="0.3">
      <c r="D15" s="40"/>
      <c r="E15" s="115"/>
      <c r="F15" s="40"/>
      <c r="G15" s="40"/>
      <c r="H15" s="117"/>
      <c r="I15" s="40"/>
      <c r="J15" s="40"/>
      <c r="K15" s="40"/>
      <c r="L15" s="40"/>
      <c r="M15" s="40"/>
      <c r="O15" s="40"/>
      <c r="P15" s="40"/>
      <c r="Q15" s="40"/>
      <c r="R15" s="40"/>
      <c r="S15" s="40"/>
      <c r="T15" s="40"/>
      <c r="U15" s="40"/>
    </row>
    <row r="16" spans="4:22" ht="24" customHeight="1" thickBot="1" x14ac:dyDescent="0.3">
      <c r="D16" s="113"/>
      <c r="E16" s="109" t="s">
        <v>5</v>
      </c>
      <c r="F16" s="112"/>
      <c r="G16" s="113"/>
      <c r="H16" s="109" t="s">
        <v>92</v>
      </c>
      <c r="I16" s="110"/>
      <c r="J16" s="113"/>
      <c r="K16" s="113"/>
      <c r="L16" s="113"/>
      <c r="M16" s="113"/>
      <c r="O16" s="113"/>
      <c r="P16" s="113"/>
      <c r="Q16" s="113"/>
      <c r="R16" s="113"/>
      <c r="S16" s="113"/>
      <c r="T16" s="113"/>
      <c r="U16" s="113"/>
    </row>
    <row r="17" spans="4:21" ht="15.75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  <c r="O17" s="40"/>
      <c r="P17" s="40"/>
      <c r="Q17" s="40"/>
      <c r="R17" s="40"/>
      <c r="S17" s="40"/>
      <c r="T17" s="40"/>
      <c r="U17" s="40"/>
    </row>
    <row r="18" spans="4:21" ht="15.75" x14ac:dyDescent="0.25">
      <c r="D18" s="40"/>
      <c r="E18" s="40"/>
      <c r="F18" s="40"/>
      <c r="G18" s="40"/>
      <c r="H18" s="40"/>
      <c r="I18" s="40"/>
      <c r="J18" s="40"/>
      <c r="K18" s="40"/>
      <c r="L18" s="40"/>
      <c r="M18" s="40"/>
      <c r="O18" s="40"/>
      <c r="P18" s="40"/>
      <c r="Q18" s="40"/>
      <c r="R18" s="40"/>
      <c r="S18" s="40"/>
      <c r="T18" s="40"/>
      <c r="U18" s="40"/>
    </row>
    <row r="19" spans="4:21" ht="15.75" x14ac:dyDescent="0.25">
      <c r="D19" s="40"/>
      <c r="E19" s="40"/>
      <c r="F19" s="40"/>
      <c r="G19" s="40"/>
      <c r="H19" s="40"/>
      <c r="I19" s="40"/>
      <c r="J19" s="40"/>
      <c r="K19" s="40"/>
      <c r="L19" s="40"/>
      <c r="M19" s="40"/>
      <c r="O19" s="40"/>
      <c r="P19" s="40"/>
      <c r="Q19" s="40"/>
      <c r="R19" s="40"/>
      <c r="S19" s="40"/>
      <c r="T19" s="40"/>
      <c r="U19" s="40"/>
    </row>
    <row r="20" spans="4:21" ht="15.75" x14ac:dyDescent="0.25">
      <c r="D20" s="40"/>
      <c r="E20" s="40"/>
      <c r="F20" s="40"/>
      <c r="G20" s="40"/>
      <c r="H20" s="40"/>
      <c r="I20" s="40"/>
      <c r="J20" s="40"/>
      <c r="K20" s="40"/>
      <c r="L20" s="40"/>
      <c r="M20" s="40"/>
      <c r="O20" s="40"/>
      <c r="P20" s="40"/>
      <c r="Q20" s="40"/>
      <c r="R20" s="40"/>
      <c r="S20" s="40"/>
      <c r="T20" s="40"/>
      <c r="U20" s="40"/>
    </row>
    <row r="21" spans="4:21" ht="15.75" x14ac:dyDescent="0.25">
      <c r="D21" s="40"/>
      <c r="E21" s="40"/>
      <c r="F21" s="40"/>
      <c r="G21" s="40"/>
      <c r="H21" s="40"/>
      <c r="I21" s="40"/>
      <c r="J21" s="40"/>
      <c r="K21" s="40"/>
      <c r="L21" s="40"/>
      <c r="M21" s="40"/>
      <c r="O21" s="40"/>
      <c r="P21" s="40"/>
      <c r="Q21" s="40"/>
      <c r="R21" s="40"/>
      <c r="S21" s="40"/>
      <c r="T21" s="40"/>
      <c r="U21" s="40"/>
    </row>
    <row r="22" spans="4:21" ht="15.75" x14ac:dyDescent="0.25">
      <c r="D22" s="40"/>
      <c r="E22" s="40"/>
      <c r="F22" s="40"/>
      <c r="G22" s="40"/>
      <c r="H22" s="40"/>
      <c r="I22" s="40"/>
      <c r="J22" s="40"/>
      <c r="K22" s="40"/>
      <c r="L22" s="40"/>
      <c r="M22" s="40"/>
      <c r="O22" s="40"/>
      <c r="P22" s="40"/>
      <c r="Q22" s="40"/>
      <c r="R22" s="40"/>
      <c r="S22" s="40"/>
      <c r="T22" s="40"/>
      <c r="U22" s="40"/>
    </row>
  </sheetData>
  <dataValidations count="6">
    <dataValidation type="list" allowBlank="1" showInputMessage="1" showErrorMessage="1" sqref="I10" xr:uid="{00000000-0002-0000-1E00-000000000000}">
      <formula1>INDIRECT($V$1)</formula1>
    </dataValidation>
    <dataValidation type="list" allowBlank="1" showInputMessage="1" showErrorMessage="1" sqref="I8" xr:uid="{00000000-0002-0000-1E00-000001000000}">
      <formula1>"Cliente,Fornecedor"</formula1>
    </dataValidation>
    <dataValidation type="list" allowBlank="1" showInputMessage="1" showErrorMessage="1" sqref="I6" xr:uid="{00000000-0002-0000-1E00-000002000000}">
      <formula1>INDIRECT($S$1)</formula1>
    </dataValidation>
    <dataValidation type="list" allowBlank="1" showInputMessage="1" showErrorMessage="1" sqref="F16" xr:uid="{00000000-0002-0000-1E00-000003000000}">
      <formula1>INDIRECT($R$1)</formula1>
    </dataValidation>
    <dataValidation type="list" allowBlank="1" showInputMessage="1" showErrorMessage="1" sqref="F14" xr:uid="{00000000-0002-0000-1E00-000004000000}">
      <formula1>INDIRECT($Q$1)</formula1>
    </dataValidation>
    <dataValidation type="list" allowBlank="1" showInputMessage="1" showErrorMessage="1" sqref="F10" xr:uid="{00000000-0002-0000-1E00-000005000000}">
      <formula1>INDIRECT($O$1)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E00-000006000000}">
          <x14:formula1>
            <xm:f>INDIRECT(AUX_03!$O$1)</xm:f>
          </x14:formula1>
          <xm:sqref>F8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4">
    <tabColor theme="3" tint="0.39997558519241921"/>
  </sheetPr>
  <dimension ref="D1:V21"/>
  <sheetViews>
    <sheetView showGridLines="0" showRowColHeaders="0" workbookViewId="0">
      <selection activeCell="F6" sqref="F6"/>
    </sheetView>
  </sheetViews>
  <sheetFormatPr defaultRowHeight="15" x14ac:dyDescent="0.25"/>
  <cols>
    <col min="1" max="1" width="29.5703125" customWidth="1"/>
    <col min="2" max="3" width="2.28515625" customWidth="1"/>
    <col min="5" max="5" width="24.140625" customWidth="1"/>
    <col min="6" max="6" width="32" customWidth="1"/>
    <col min="8" max="8" width="24.140625" customWidth="1"/>
    <col min="9" max="9" width="32" customWidth="1"/>
    <col min="13" max="14" width="0" hidden="1" customWidth="1"/>
    <col min="15" max="15" width="22.5703125" hidden="1" customWidth="1"/>
    <col min="16" max="22" width="0" hidden="1" customWidth="1"/>
  </cols>
  <sheetData>
    <row r="1" spans="4:22" x14ac:dyDescent="0.25">
      <c r="M1" s="33">
        <f>COUNTA(LANÇAMENTOS_02!B:B)+1</f>
        <v>2</v>
      </c>
      <c r="N1" t="s">
        <v>127</v>
      </c>
      <c r="O1" t="str">
        <f>IF(COUNTA(N1:N1001)&lt;=1,"FORM_DESPESAS!N1:N1","FORM_DESPESAS!N1:N"&amp;COUNTA(N1:N1001))</f>
        <v>FORM_DESPESAS!N1:N4</v>
      </c>
      <c r="P1">
        <f>IF(COUNTA(N1:N1001)&lt;=1,1,COUNTA(N1:N1001))</f>
        <v>4</v>
      </c>
      <c r="Q1" t="str">
        <f>"CADASTRO_05!B2:B"&amp;COUNTA(CADASTRO_05!B:B)</f>
        <v>CADASTRO_05!B2:B2</v>
      </c>
      <c r="R1" t="str">
        <f>"CADASTRO_04!B2:B"&amp;COUNTA(CADASTRO_04!B:B)</f>
        <v>CADASTRO_04!B2:B1</v>
      </c>
      <c r="S1" t="str">
        <f>"CADASTRO_03!B2:B"&amp;COUNTA(CADASTRO_03!B:B)</f>
        <v>CADASTRO_03!B2:B1</v>
      </c>
      <c r="T1" t="str">
        <f>"CADASTRO_06!B2:B"&amp;COUNTA(CADASTRO_06!B:B)</f>
        <v>CADASTRO_06!B2:B1</v>
      </c>
      <c r="U1" t="str">
        <f>"CADASTRO_07!B2:B"&amp;COUNTA(CADASTRO_07!B:B)</f>
        <v>CADASTRO_07!B2:B1</v>
      </c>
      <c r="V1" t="str">
        <f>IF(I8="","",IF(I8="Cliente",T1,U1))</f>
        <v/>
      </c>
    </row>
    <row r="2" spans="4:22" ht="21" x14ac:dyDescent="0.35">
      <c r="E2" s="119" t="s">
        <v>93</v>
      </c>
      <c r="N2" t="s">
        <v>128</v>
      </c>
    </row>
    <row r="3" spans="4:22" ht="10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N3" t="s">
        <v>129</v>
      </c>
      <c r="O3" s="40"/>
      <c r="P3" s="40"/>
      <c r="Q3" s="40"/>
      <c r="R3" s="40"/>
      <c r="S3" s="40"/>
      <c r="T3" s="40"/>
      <c r="U3" s="40"/>
      <c r="V3" s="40"/>
    </row>
    <row r="4" spans="4:22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N4" t="s">
        <v>130</v>
      </c>
      <c r="O4" s="40"/>
      <c r="P4" s="40"/>
      <c r="Q4" s="40"/>
      <c r="R4" s="40"/>
      <c r="S4" s="40"/>
      <c r="T4" s="40"/>
      <c r="U4" s="40"/>
      <c r="V4" s="40"/>
    </row>
    <row r="5" spans="4:22" ht="21.75" thickBot="1" x14ac:dyDescent="0.3">
      <c r="D5" s="107"/>
      <c r="P5" s="40"/>
      <c r="Q5" s="40"/>
      <c r="R5" s="40"/>
      <c r="S5" s="40"/>
      <c r="T5" s="40"/>
      <c r="U5" s="40"/>
      <c r="V5" s="40"/>
    </row>
    <row r="6" spans="4:22" ht="24" customHeight="1" thickBot="1" x14ac:dyDescent="0.3">
      <c r="D6" s="108"/>
      <c r="E6" s="109" t="s">
        <v>19</v>
      </c>
      <c r="F6" s="110"/>
      <c r="G6" s="111"/>
      <c r="H6" s="109" t="s">
        <v>4</v>
      </c>
      <c r="I6" s="112"/>
      <c r="J6" s="113"/>
      <c r="K6" s="113"/>
      <c r="L6" s="113"/>
      <c r="M6" s="113"/>
      <c r="N6" s="111"/>
      <c r="O6" s="113"/>
      <c r="P6" s="113"/>
      <c r="Q6" s="113"/>
      <c r="R6" s="113"/>
      <c r="S6" s="113"/>
      <c r="T6" s="113"/>
      <c r="U6" s="113"/>
      <c r="V6" s="113"/>
    </row>
    <row r="7" spans="4:22" ht="21.75" thickBot="1" x14ac:dyDescent="0.3">
      <c r="D7" s="107"/>
      <c r="E7" s="114"/>
      <c r="F7" s="40"/>
      <c r="G7" s="40"/>
      <c r="H7" s="115"/>
      <c r="I7" s="40"/>
      <c r="J7" s="40"/>
      <c r="K7" s="40"/>
      <c r="L7" s="40"/>
      <c r="M7" s="40"/>
      <c r="O7" s="40"/>
      <c r="P7" s="40"/>
      <c r="Q7" s="40"/>
      <c r="R7" s="40"/>
      <c r="S7" s="40"/>
      <c r="T7" s="40"/>
      <c r="U7" s="40"/>
      <c r="V7" s="40"/>
    </row>
    <row r="8" spans="4:22" ht="24" customHeight="1" thickBot="1" x14ac:dyDescent="0.3">
      <c r="D8" s="108"/>
      <c r="E8" s="109" t="s">
        <v>20</v>
      </c>
      <c r="F8" s="116"/>
      <c r="G8" s="113"/>
      <c r="H8" s="109" t="s">
        <v>89</v>
      </c>
      <c r="I8" s="112"/>
      <c r="J8" s="113"/>
      <c r="K8" s="113"/>
      <c r="L8" s="113"/>
      <c r="M8" s="113"/>
      <c r="N8" s="111"/>
      <c r="O8" s="113"/>
      <c r="P8" s="113"/>
      <c r="Q8" s="113"/>
      <c r="R8" s="113"/>
      <c r="S8" s="113"/>
      <c r="T8" s="113"/>
      <c r="U8" s="113"/>
      <c r="V8" s="113"/>
    </row>
    <row r="9" spans="4:22" ht="21.75" thickBot="1" x14ac:dyDescent="0.3">
      <c r="D9" s="107"/>
      <c r="E9" s="114"/>
      <c r="F9" s="40"/>
      <c r="G9" s="40"/>
      <c r="H9" s="115"/>
      <c r="I9" s="40"/>
      <c r="J9" s="40"/>
      <c r="K9" s="40"/>
      <c r="L9" s="40"/>
      <c r="M9" s="40"/>
      <c r="O9" s="40"/>
      <c r="P9" s="40"/>
      <c r="Q9" s="40"/>
      <c r="R9" s="40"/>
      <c r="S9" s="40"/>
      <c r="T9" s="40"/>
      <c r="U9" s="40"/>
      <c r="V9" s="40"/>
    </row>
    <row r="10" spans="4:22" ht="24" customHeight="1" thickBot="1" x14ac:dyDescent="0.3">
      <c r="D10" s="113"/>
      <c r="E10" s="109" t="s">
        <v>3</v>
      </c>
      <c r="F10" s="112"/>
      <c r="G10" s="113"/>
      <c r="H10" s="109" t="s">
        <v>90</v>
      </c>
      <c r="I10" s="112"/>
      <c r="J10" s="113"/>
      <c r="K10" s="113"/>
      <c r="L10" s="113"/>
      <c r="M10" s="113"/>
      <c r="N10" s="111"/>
      <c r="O10" s="113"/>
      <c r="P10" s="113"/>
      <c r="Q10" s="113"/>
      <c r="R10" s="113"/>
      <c r="S10" s="113"/>
      <c r="T10" s="113"/>
      <c r="U10" s="113"/>
      <c r="V10" s="113"/>
    </row>
    <row r="11" spans="4:22" ht="16.5" thickBot="1" x14ac:dyDescent="0.3">
      <c r="D11" s="40"/>
      <c r="E11" s="115"/>
      <c r="F11" s="40"/>
      <c r="G11" s="40"/>
      <c r="H11" s="117"/>
      <c r="I11" s="40"/>
      <c r="J11" s="40"/>
      <c r="K11" s="40"/>
      <c r="L11" s="40"/>
      <c r="M11" s="40"/>
      <c r="O11" s="40"/>
      <c r="P11" s="40"/>
      <c r="Q11" s="40"/>
      <c r="R11" s="40"/>
      <c r="S11" s="40"/>
      <c r="T11" s="40"/>
      <c r="U11" s="40"/>
      <c r="V11" s="40"/>
    </row>
    <row r="12" spans="4:22" ht="24" customHeight="1" thickBot="1" x14ac:dyDescent="0.3">
      <c r="D12" s="113"/>
      <c r="E12" s="109" t="s">
        <v>15</v>
      </c>
      <c r="F12" s="120"/>
      <c r="G12" s="113"/>
      <c r="H12" s="109" t="s">
        <v>23</v>
      </c>
      <c r="I12" s="118"/>
      <c r="J12" s="113"/>
      <c r="K12" s="113"/>
      <c r="L12" s="113"/>
      <c r="M12" s="113"/>
      <c r="N12" s="111"/>
      <c r="O12" s="113"/>
      <c r="P12" s="113"/>
      <c r="Q12" s="113"/>
      <c r="R12" s="113"/>
      <c r="S12" s="113"/>
      <c r="T12" s="113"/>
      <c r="U12" s="113"/>
      <c r="V12" s="113"/>
    </row>
    <row r="13" spans="4:22" ht="16.5" thickBot="1" x14ac:dyDescent="0.3">
      <c r="D13" s="40"/>
      <c r="E13" s="115"/>
      <c r="F13" s="40"/>
      <c r="G13" s="40"/>
      <c r="H13" s="115"/>
      <c r="I13" s="40"/>
      <c r="K13" s="40"/>
      <c r="L13" s="40"/>
      <c r="M13" s="40"/>
      <c r="O13" s="40"/>
      <c r="P13" s="40"/>
      <c r="Q13" s="40"/>
      <c r="R13" s="40"/>
      <c r="S13" s="40"/>
      <c r="T13" s="40"/>
      <c r="U13" s="40"/>
      <c r="V13" s="40"/>
    </row>
    <row r="14" spans="4:22" ht="24" customHeight="1" thickBot="1" x14ac:dyDescent="0.3">
      <c r="D14" s="113"/>
      <c r="E14" s="109" t="s">
        <v>7</v>
      </c>
      <c r="F14" s="112"/>
      <c r="G14" s="113"/>
      <c r="H14" s="109" t="s">
        <v>91</v>
      </c>
      <c r="I14" s="110"/>
      <c r="J14" s="113"/>
      <c r="K14" s="113"/>
      <c r="L14" s="113"/>
      <c r="M14" s="113"/>
      <c r="N14" s="111"/>
      <c r="O14" s="113"/>
      <c r="P14" s="113"/>
      <c r="Q14" s="113"/>
      <c r="R14" s="113"/>
      <c r="S14" s="113"/>
      <c r="T14" s="113"/>
      <c r="U14" s="113"/>
      <c r="V14" s="113"/>
    </row>
    <row r="15" spans="4:22" ht="16.5" thickBot="1" x14ac:dyDescent="0.3">
      <c r="D15" s="40"/>
      <c r="E15" s="115"/>
      <c r="F15" s="40"/>
      <c r="G15" s="40"/>
      <c r="H15" s="117"/>
      <c r="I15" s="40"/>
      <c r="J15" s="40"/>
      <c r="K15" s="40"/>
      <c r="L15" s="40"/>
      <c r="M15" s="40"/>
      <c r="O15" s="40"/>
      <c r="P15" s="40"/>
      <c r="Q15" s="40"/>
      <c r="R15" s="40"/>
      <c r="S15" s="40"/>
      <c r="T15" s="40"/>
      <c r="U15" s="40"/>
      <c r="V15" s="40"/>
    </row>
    <row r="16" spans="4:22" ht="24" customHeight="1" thickBot="1" x14ac:dyDescent="0.3">
      <c r="D16" s="113"/>
      <c r="E16" s="109" t="s">
        <v>5</v>
      </c>
      <c r="F16" s="112"/>
      <c r="G16" s="113"/>
      <c r="H16" s="109" t="s">
        <v>92</v>
      </c>
      <c r="I16" s="110"/>
      <c r="J16" s="113"/>
      <c r="K16" s="113"/>
      <c r="L16" s="113"/>
      <c r="M16" s="113"/>
      <c r="N16" s="111"/>
      <c r="O16" s="113"/>
      <c r="P16" s="113"/>
      <c r="Q16" s="113"/>
      <c r="R16" s="113"/>
      <c r="S16" s="113"/>
      <c r="T16" s="113"/>
      <c r="U16" s="113"/>
      <c r="V16" s="113"/>
    </row>
    <row r="17" spans="4:22" ht="15.75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  <c r="O17" s="40"/>
      <c r="P17" s="40"/>
      <c r="Q17" s="40"/>
      <c r="R17" s="40"/>
      <c r="S17" s="40"/>
      <c r="T17" s="40"/>
      <c r="U17" s="40"/>
      <c r="V17" s="40"/>
    </row>
    <row r="18" spans="4:22" ht="15.75" x14ac:dyDescent="0.25">
      <c r="D18" s="40"/>
      <c r="E18" s="40"/>
      <c r="F18" s="40"/>
      <c r="G18" s="40"/>
      <c r="H18" s="40"/>
      <c r="I18" s="40"/>
      <c r="J18" s="40"/>
      <c r="K18" s="40"/>
      <c r="L18" s="40"/>
      <c r="M18" s="40"/>
      <c r="O18" s="40"/>
      <c r="P18" s="40"/>
      <c r="Q18" s="40"/>
      <c r="R18" s="40"/>
      <c r="S18" s="40"/>
      <c r="T18" s="40"/>
      <c r="U18" s="40"/>
      <c r="V18" s="40"/>
    </row>
    <row r="19" spans="4:22" ht="15.75" x14ac:dyDescent="0.25">
      <c r="D19" s="40"/>
      <c r="E19" s="40"/>
      <c r="F19" s="40"/>
      <c r="G19" s="40"/>
      <c r="H19" s="40"/>
      <c r="I19" s="40"/>
      <c r="J19" s="40"/>
      <c r="K19" s="40"/>
      <c r="L19" s="40"/>
      <c r="M19" s="40"/>
      <c r="O19" s="40"/>
      <c r="P19" s="40"/>
      <c r="Q19" s="40"/>
      <c r="R19" s="40"/>
      <c r="S19" s="40"/>
      <c r="T19" s="40"/>
      <c r="U19" s="40"/>
      <c r="V19" s="40"/>
    </row>
    <row r="20" spans="4:22" ht="15.75" x14ac:dyDescent="0.25">
      <c r="D20" s="40"/>
      <c r="E20" s="40"/>
      <c r="F20" s="40"/>
      <c r="G20" s="40"/>
      <c r="H20" s="40"/>
      <c r="I20" s="40"/>
      <c r="J20" s="40"/>
      <c r="K20" s="40"/>
      <c r="L20" s="40"/>
      <c r="M20" s="40"/>
      <c r="O20" s="40"/>
      <c r="P20" s="40"/>
      <c r="Q20" s="40"/>
      <c r="R20" s="40"/>
      <c r="S20" s="40"/>
      <c r="T20" s="40"/>
      <c r="U20" s="40"/>
      <c r="V20" s="40"/>
    </row>
    <row r="21" spans="4:22" ht="15.75" x14ac:dyDescent="0.25">
      <c r="D21" s="40"/>
      <c r="E21" s="40"/>
      <c r="F21" s="40"/>
      <c r="G21" s="40"/>
      <c r="H21" s="40"/>
      <c r="I21" s="40"/>
      <c r="J21" s="40"/>
      <c r="K21" s="40"/>
      <c r="L21" s="40"/>
      <c r="M21" s="40"/>
      <c r="O21" s="40"/>
      <c r="P21" s="40"/>
      <c r="Q21" s="40"/>
      <c r="R21" s="40"/>
      <c r="S21" s="40"/>
      <c r="T21" s="40"/>
      <c r="U21" s="40"/>
      <c r="V21" s="40"/>
    </row>
  </sheetData>
  <dataValidations count="6">
    <dataValidation type="list" allowBlank="1" showInputMessage="1" showErrorMessage="1" sqref="F10" xr:uid="{00000000-0002-0000-1F00-000000000000}">
      <formula1>INDIRECT($O$1)</formula1>
    </dataValidation>
    <dataValidation type="list" allowBlank="1" showInputMessage="1" showErrorMessage="1" sqref="F14" xr:uid="{00000000-0002-0000-1F00-000001000000}">
      <formula1>INDIRECT($Q$1)</formula1>
    </dataValidation>
    <dataValidation type="list" allowBlank="1" showInputMessage="1" showErrorMessage="1" sqref="F16" xr:uid="{00000000-0002-0000-1F00-000002000000}">
      <formula1>INDIRECT($R$1)</formula1>
    </dataValidation>
    <dataValidation type="list" allowBlank="1" showInputMessage="1" showErrorMessage="1" sqref="I6" xr:uid="{00000000-0002-0000-1F00-000003000000}">
      <formula1>INDIRECT($S$1)</formula1>
    </dataValidation>
    <dataValidation type="list" allowBlank="1" showInputMessage="1" showErrorMessage="1" sqref="I8" xr:uid="{00000000-0002-0000-1F00-000004000000}">
      <formula1>"Cliente,Fornecedor"</formula1>
    </dataValidation>
    <dataValidation type="list" allowBlank="1" showInputMessage="1" showErrorMessage="1" sqref="I10" xr:uid="{00000000-0002-0000-1F00-000005000000}">
      <formula1>INDIRECT($V$1)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F00-000006000000}">
          <x14:formula1>
            <xm:f>INDIRECT(AUX_03!$Q$1)</xm:f>
          </x14:formula1>
          <xm:sqref>F8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35">
    <tabColor theme="3" tint="0.39997558519241921"/>
  </sheetPr>
  <dimension ref="D1:R16"/>
  <sheetViews>
    <sheetView showGridLines="0" showRowColHeaders="0" zoomScaleNormal="100" workbookViewId="0">
      <selection activeCell="F6" sqref="F6"/>
    </sheetView>
  </sheetViews>
  <sheetFormatPr defaultRowHeight="15" x14ac:dyDescent="0.25"/>
  <cols>
    <col min="1" max="1" width="29.5703125" customWidth="1"/>
    <col min="2" max="3" width="2.28515625" customWidth="1"/>
    <col min="5" max="5" width="24.140625" customWidth="1"/>
    <col min="6" max="6" width="32" customWidth="1"/>
    <col min="8" max="8" width="24.140625" customWidth="1"/>
    <col min="9" max="9" width="32" customWidth="1"/>
    <col min="13" max="18" width="0" hidden="1" customWidth="1"/>
  </cols>
  <sheetData>
    <row r="1" spans="4:18" x14ac:dyDescent="0.25">
      <c r="M1" s="33">
        <f>COUNTA(LANÇAMENTOS_03!B:B)+1</f>
        <v>2</v>
      </c>
      <c r="R1" t="str">
        <f>"CADASTRO_04!B2:B"&amp;COUNTA(CADASTRO_04!B:B)</f>
        <v>CADASTRO_04!B2:B1</v>
      </c>
    </row>
    <row r="2" spans="4:18" ht="21" x14ac:dyDescent="0.35">
      <c r="E2" s="121" t="s">
        <v>94</v>
      </c>
    </row>
    <row r="3" spans="4:18" ht="10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O3" s="40"/>
      <c r="P3" s="40"/>
      <c r="Q3" s="40"/>
      <c r="R3" s="40"/>
    </row>
    <row r="4" spans="4:18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O4" s="40"/>
      <c r="P4" s="40"/>
      <c r="Q4" s="40"/>
      <c r="R4" s="40"/>
    </row>
    <row r="5" spans="4:18" ht="21.75" thickBot="1" x14ac:dyDescent="0.3">
      <c r="D5" s="107"/>
      <c r="P5" s="40"/>
      <c r="Q5" s="40"/>
      <c r="R5" s="40"/>
    </row>
    <row r="6" spans="4:18" ht="24" customHeight="1" thickBot="1" x14ac:dyDescent="0.3">
      <c r="D6" s="108"/>
      <c r="E6" s="109" t="s">
        <v>19</v>
      </c>
      <c r="F6" s="110"/>
      <c r="G6" s="111"/>
      <c r="J6" s="113"/>
      <c r="K6" s="113"/>
      <c r="L6" s="113"/>
      <c r="M6" s="113"/>
      <c r="N6" s="111"/>
      <c r="O6" s="113"/>
      <c r="P6" s="113"/>
      <c r="Q6" s="113"/>
      <c r="R6" s="113"/>
    </row>
    <row r="7" spans="4:18" ht="21.75" thickBot="1" x14ac:dyDescent="0.3">
      <c r="D7" s="107"/>
      <c r="E7" s="114"/>
      <c r="F7" s="40"/>
      <c r="G7" s="40"/>
      <c r="J7" s="40"/>
      <c r="K7" s="40"/>
      <c r="L7" s="40"/>
      <c r="M7" s="40"/>
      <c r="O7" s="40"/>
      <c r="P7" s="40"/>
      <c r="Q7" s="40"/>
      <c r="R7" s="40"/>
    </row>
    <row r="8" spans="4:18" ht="24" customHeight="1" thickBot="1" x14ac:dyDescent="0.3">
      <c r="D8" s="108"/>
      <c r="E8" s="122" t="s">
        <v>95</v>
      </c>
      <c r="F8" s="112"/>
      <c r="G8" s="113"/>
      <c r="H8" s="123" t="s">
        <v>96</v>
      </c>
      <c r="I8" s="112"/>
      <c r="J8" s="113"/>
      <c r="K8" s="113"/>
      <c r="L8" s="113"/>
      <c r="M8" s="113"/>
      <c r="N8" s="111"/>
      <c r="O8" s="113"/>
      <c r="P8" s="113"/>
      <c r="Q8" s="113"/>
      <c r="R8" s="113"/>
    </row>
    <row r="9" spans="4:18" ht="21.75" thickBot="1" x14ac:dyDescent="0.3">
      <c r="D9" s="107"/>
      <c r="G9" s="40"/>
      <c r="J9" s="40"/>
      <c r="K9" s="40"/>
      <c r="L9" s="40"/>
      <c r="M9" s="40"/>
      <c r="O9" s="40"/>
      <c r="P9" s="40"/>
      <c r="Q9" s="40"/>
      <c r="R9" s="40"/>
    </row>
    <row r="10" spans="4:18" ht="24" customHeight="1" thickBot="1" x14ac:dyDescent="0.3">
      <c r="D10" s="113"/>
      <c r="E10" s="109" t="s">
        <v>15</v>
      </c>
      <c r="F10" s="112"/>
      <c r="G10" s="113"/>
      <c r="H10" s="109" t="s">
        <v>23</v>
      </c>
      <c r="I10" s="118"/>
      <c r="J10" s="113"/>
      <c r="K10" s="113"/>
      <c r="L10" s="113"/>
      <c r="M10" s="113"/>
      <c r="N10" s="111"/>
      <c r="O10" s="113"/>
      <c r="P10" s="113"/>
      <c r="Q10" s="113"/>
      <c r="R10" s="113"/>
    </row>
    <row r="11" spans="4:18" ht="15.75" x14ac:dyDescent="0.25">
      <c r="D11" s="40"/>
      <c r="G11" s="40"/>
      <c r="H11" s="117"/>
      <c r="I11" s="40"/>
      <c r="J11" s="40"/>
      <c r="K11" s="40"/>
      <c r="L11" s="40"/>
      <c r="M11" s="40"/>
      <c r="O11" s="40"/>
      <c r="P11" s="40"/>
      <c r="Q11" s="40"/>
      <c r="R11" s="40"/>
    </row>
    <row r="12" spans="4:18" ht="24" customHeight="1" x14ac:dyDescent="0.25">
      <c r="D12" s="113"/>
      <c r="E12" s="111"/>
      <c r="F12" s="111"/>
      <c r="G12" s="113"/>
      <c r="H12" s="111"/>
      <c r="I12" s="111"/>
      <c r="J12" s="113"/>
      <c r="K12" s="113"/>
      <c r="L12" s="113"/>
      <c r="M12" s="113"/>
      <c r="N12" s="111"/>
      <c r="O12" s="113"/>
      <c r="P12" s="113"/>
      <c r="Q12" s="113"/>
      <c r="R12" s="113"/>
    </row>
    <row r="13" spans="4:18" ht="15.75" x14ac:dyDescent="0.25">
      <c r="D13" s="40"/>
      <c r="E13" s="115"/>
      <c r="F13" s="40"/>
      <c r="G13" s="40"/>
      <c r="H13" s="115"/>
      <c r="I13" s="40"/>
      <c r="K13" s="40"/>
      <c r="L13" s="40"/>
      <c r="M13" s="40"/>
      <c r="O13" s="40"/>
      <c r="P13" s="40"/>
      <c r="Q13" s="40"/>
      <c r="R13" s="40"/>
    </row>
    <row r="14" spans="4:18" ht="24" customHeight="1" x14ac:dyDescent="0.25">
      <c r="D14" s="113"/>
      <c r="G14" s="113"/>
      <c r="J14" s="113"/>
      <c r="K14" s="113"/>
      <c r="L14" s="113"/>
      <c r="M14" s="113"/>
      <c r="N14" s="111"/>
      <c r="O14" s="113"/>
      <c r="P14" s="113"/>
      <c r="Q14" s="113"/>
      <c r="R14" s="113"/>
    </row>
    <row r="15" spans="4:18" ht="15.75" x14ac:dyDescent="0.25">
      <c r="D15" s="40"/>
      <c r="E15" s="115"/>
      <c r="F15" s="40"/>
      <c r="G15" s="40"/>
      <c r="J15" s="40"/>
      <c r="K15" s="40"/>
      <c r="L15" s="40"/>
      <c r="M15" s="40"/>
      <c r="O15" s="40"/>
      <c r="P15" s="40"/>
      <c r="Q15" s="40"/>
      <c r="R15" s="40"/>
    </row>
    <row r="16" spans="4:18" ht="24" customHeight="1" x14ac:dyDescent="0.25"/>
  </sheetData>
  <dataValidations count="1">
    <dataValidation type="list" allowBlank="1" showInputMessage="1" showErrorMessage="1" sqref="F8 I8" xr:uid="{00000000-0002-0000-2000-000000000000}">
      <formula1>INDIRECT($R$1)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6">
    <tabColor theme="3" tint="0.39997558519241921"/>
  </sheetPr>
  <dimension ref="A6:A16"/>
  <sheetViews>
    <sheetView showGridLines="0" workbookViewId="0"/>
  </sheetViews>
  <sheetFormatPr defaultRowHeight="15" x14ac:dyDescent="0.25"/>
  <cols>
    <col min="1" max="1" width="29.5703125" customWidth="1"/>
    <col min="2" max="3" width="2.28515625" customWidth="1"/>
    <col min="5" max="5" width="24.140625" customWidth="1"/>
    <col min="6" max="6" width="32" customWidth="1"/>
    <col min="8" max="8" width="24.140625" customWidth="1"/>
    <col min="9" max="9" width="32" customWidth="1"/>
  </cols>
  <sheetData>
    <row r="6" ht="24" customHeight="1" x14ac:dyDescent="0.25"/>
    <row r="8" ht="24" customHeight="1" x14ac:dyDescent="0.25"/>
    <row r="10" ht="24" customHeight="1" x14ac:dyDescent="0.25"/>
    <row r="12" ht="24" customHeight="1" x14ac:dyDescent="0.25"/>
    <row r="14" ht="24" customHeight="1" x14ac:dyDescent="0.25"/>
    <row r="16" ht="24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45">
    <tabColor theme="1"/>
  </sheetPr>
  <dimension ref="A1:B3"/>
  <sheetViews>
    <sheetView workbookViewId="0"/>
  </sheetViews>
  <sheetFormatPr defaultRowHeight="15" x14ac:dyDescent="0.25"/>
  <cols>
    <col min="2" max="2" width="29.42578125" customWidth="1"/>
  </cols>
  <sheetData>
    <row r="1" spans="1:2" ht="78.75" customHeight="1" x14ac:dyDescent="0.25">
      <c r="A1" s="3" t="s">
        <v>1</v>
      </c>
      <c r="B1" s="3" t="s">
        <v>2</v>
      </c>
    </row>
    <row r="2" spans="1:2" x14ac:dyDescent="0.25">
      <c r="A2">
        <v>1</v>
      </c>
      <c r="B2" t="s">
        <v>119</v>
      </c>
    </row>
    <row r="3" spans="1:2" x14ac:dyDescent="0.25">
      <c r="A3">
        <v>2</v>
      </c>
      <c r="B3" t="s">
        <v>120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46">
    <tabColor theme="1"/>
  </sheetPr>
  <dimension ref="A1:B1"/>
  <sheetViews>
    <sheetView workbookViewId="0"/>
  </sheetViews>
  <sheetFormatPr defaultRowHeight="15" x14ac:dyDescent="0.25"/>
  <cols>
    <col min="2" max="2" width="29.42578125" customWidth="1"/>
  </cols>
  <sheetData>
    <row r="1" spans="1:2" ht="78.75" customHeight="1" x14ac:dyDescent="0.25">
      <c r="A1" s="3" t="s">
        <v>1</v>
      </c>
      <c r="B1" s="3" t="s">
        <v>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37">
    <tabColor theme="1"/>
  </sheetPr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8">
    <tabColor theme="1"/>
  </sheetPr>
  <dimension ref="D1:O21"/>
  <sheetViews>
    <sheetView showGridLines="0" showRowColHeaders="0" zoomScaleNormal="100" workbookViewId="0"/>
  </sheetViews>
  <sheetFormatPr defaultRowHeight="15" x14ac:dyDescent="0.25"/>
  <cols>
    <col min="3" max="3" width="15" customWidth="1"/>
    <col min="5" max="5" width="20.28515625" customWidth="1"/>
    <col min="6" max="6" width="36" customWidth="1"/>
    <col min="7" max="7" width="7.42578125" customWidth="1"/>
    <col min="8" max="8" width="20.28515625" customWidth="1"/>
    <col min="9" max="9" width="36" customWidth="1"/>
    <col min="13" max="14" width="0" hidden="1" customWidth="1"/>
  </cols>
  <sheetData>
    <row r="1" spans="4:15" x14ac:dyDescent="0.25">
      <c r="M1" s="33">
        <f>COUNTA(CADASTRO_06!B:B)+1</f>
        <v>2</v>
      </c>
      <c r="N1" t="s">
        <v>97</v>
      </c>
    </row>
    <row r="2" spans="4:15" ht="21" x14ac:dyDescent="0.35">
      <c r="E2" s="124" t="s">
        <v>98</v>
      </c>
      <c r="N2" t="s">
        <v>116</v>
      </c>
    </row>
    <row r="3" spans="4:15" ht="13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N3" t="s">
        <v>116</v>
      </c>
      <c r="O3" s="40"/>
    </row>
    <row r="4" spans="4:15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N4" t="s">
        <v>116</v>
      </c>
      <c r="O4" s="40"/>
    </row>
    <row r="5" spans="4:15" ht="21.75" thickBot="1" x14ac:dyDescent="0.3">
      <c r="D5" s="107"/>
      <c r="N5" t="s">
        <v>116</v>
      </c>
    </row>
    <row r="6" spans="4:15" ht="22.5" customHeight="1" thickBot="1" x14ac:dyDescent="0.3">
      <c r="D6" s="108"/>
      <c r="E6" s="109" t="s">
        <v>117</v>
      </c>
      <c r="F6" s="125"/>
      <c r="G6" s="111"/>
      <c r="H6" s="109" t="s">
        <v>14</v>
      </c>
      <c r="I6" s="126"/>
      <c r="J6" s="113"/>
      <c r="K6" s="113"/>
      <c r="L6" s="113"/>
      <c r="M6" s="113"/>
      <c r="N6" s="111" t="s">
        <v>116</v>
      </c>
      <c r="O6" s="113"/>
    </row>
    <row r="7" spans="4:15" ht="21.75" thickBot="1" x14ac:dyDescent="0.3">
      <c r="D7" s="107"/>
      <c r="E7" s="114"/>
      <c r="F7" s="40"/>
      <c r="G7" s="40"/>
      <c r="H7" s="115"/>
      <c r="I7" s="40"/>
      <c r="J7" s="40"/>
      <c r="K7" s="40"/>
      <c r="L7" s="40"/>
      <c r="M7" s="40"/>
      <c r="N7" t="s">
        <v>116</v>
      </c>
      <c r="O7" s="40"/>
    </row>
    <row r="8" spans="4:15" ht="22.5" customHeight="1" thickBot="1" x14ac:dyDescent="0.3">
      <c r="D8" s="108"/>
      <c r="E8" s="109" t="s">
        <v>118</v>
      </c>
      <c r="F8" s="127"/>
      <c r="G8" s="113"/>
      <c r="H8" s="109" t="s">
        <v>15</v>
      </c>
      <c r="I8" s="125"/>
      <c r="J8" s="113"/>
      <c r="K8" s="113"/>
      <c r="L8" s="113"/>
      <c r="M8" s="113"/>
      <c r="N8" s="111" t="s">
        <v>116</v>
      </c>
      <c r="O8" s="113"/>
    </row>
    <row r="9" spans="4:15" ht="21.75" thickBot="1" x14ac:dyDescent="0.3">
      <c r="D9" s="107"/>
      <c r="E9" s="114"/>
      <c r="F9" s="40"/>
      <c r="G9" s="40"/>
      <c r="H9" s="115"/>
      <c r="I9" s="40"/>
      <c r="J9" s="40"/>
      <c r="K9" s="40"/>
      <c r="L9" s="40"/>
      <c r="M9" s="40"/>
      <c r="N9" t="s">
        <v>116</v>
      </c>
      <c r="O9" s="40"/>
    </row>
    <row r="10" spans="4:15" ht="22.5" customHeight="1" thickBot="1" x14ac:dyDescent="0.3">
      <c r="D10" s="113"/>
      <c r="E10" s="109" t="s">
        <v>10</v>
      </c>
      <c r="F10" s="125"/>
      <c r="G10" s="113"/>
      <c r="H10" s="109" t="s">
        <v>16</v>
      </c>
      <c r="I10" s="125"/>
      <c r="J10" s="113"/>
      <c r="K10" s="113"/>
      <c r="L10" s="113"/>
      <c r="M10" s="113"/>
      <c r="N10" s="111" t="s">
        <v>116</v>
      </c>
      <c r="O10" s="113"/>
    </row>
    <row r="11" spans="4:15" ht="16.5" thickBot="1" x14ac:dyDescent="0.3">
      <c r="D11" s="40"/>
      <c r="E11" s="115"/>
      <c r="F11" s="40"/>
      <c r="G11" s="40"/>
      <c r="H11" s="117"/>
      <c r="I11" s="40"/>
      <c r="J11" s="40"/>
      <c r="K11" s="40"/>
      <c r="L11" s="40"/>
      <c r="M11" s="40"/>
      <c r="N11" t="s">
        <v>116</v>
      </c>
      <c r="O11" s="40"/>
    </row>
    <row r="12" spans="4:15" ht="22.5" customHeight="1" thickBot="1" x14ac:dyDescent="0.3">
      <c r="D12" s="113"/>
      <c r="E12" s="109" t="s">
        <v>11</v>
      </c>
      <c r="F12" s="125"/>
      <c r="G12" s="113"/>
      <c r="H12" s="109" t="s">
        <v>16</v>
      </c>
      <c r="I12" s="125"/>
      <c r="J12" s="113"/>
      <c r="K12" s="113"/>
      <c r="L12" s="113"/>
      <c r="M12" s="113"/>
      <c r="N12" s="111" t="s">
        <v>116</v>
      </c>
      <c r="O12" s="113"/>
    </row>
    <row r="13" spans="4:15" ht="16.5" thickBot="1" x14ac:dyDescent="0.3">
      <c r="D13" s="40"/>
      <c r="E13" s="115"/>
      <c r="F13" s="40"/>
      <c r="G13" s="40"/>
      <c r="H13" s="115"/>
      <c r="I13" s="40"/>
      <c r="K13" s="40"/>
      <c r="L13" s="40"/>
      <c r="M13" s="40"/>
      <c r="N13" t="s">
        <v>116</v>
      </c>
      <c r="O13" s="40"/>
    </row>
    <row r="14" spans="4:15" ht="22.5" customHeight="1" thickBot="1" x14ac:dyDescent="0.3">
      <c r="D14" s="113"/>
      <c r="E14" s="109" t="s">
        <v>12</v>
      </c>
      <c r="F14" s="125"/>
      <c r="G14" s="113"/>
      <c r="H14" s="109" t="s">
        <v>16</v>
      </c>
      <c r="I14" s="125"/>
      <c r="J14" s="113"/>
      <c r="K14" s="113"/>
      <c r="L14" s="113"/>
      <c r="M14" s="113"/>
      <c r="N14" s="111" t="s">
        <v>116</v>
      </c>
      <c r="O14" s="113"/>
    </row>
    <row r="15" spans="4:15" ht="16.5" thickBot="1" x14ac:dyDescent="0.3">
      <c r="D15" s="40"/>
      <c r="E15" s="115"/>
      <c r="F15" s="40"/>
      <c r="G15" s="40"/>
      <c r="H15" s="117"/>
      <c r="I15" s="40"/>
      <c r="J15" s="40"/>
      <c r="K15" s="40"/>
      <c r="L15" s="40"/>
      <c r="M15" s="40"/>
      <c r="N15" t="s">
        <v>116</v>
      </c>
      <c r="O15" s="40"/>
    </row>
    <row r="16" spans="4:15" ht="22.5" customHeight="1" thickBot="1" x14ac:dyDescent="0.3">
      <c r="D16" s="113"/>
      <c r="E16" s="109" t="s">
        <v>13</v>
      </c>
      <c r="F16" s="127"/>
      <c r="G16" s="113"/>
      <c r="I16" s="128"/>
      <c r="J16" s="113"/>
      <c r="K16" s="113"/>
      <c r="L16" s="113"/>
      <c r="M16" s="113"/>
      <c r="N16" s="111" t="s">
        <v>116</v>
      </c>
      <c r="O16" s="113"/>
    </row>
    <row r="17" spans="4:15" ht="15.75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  <c r="N17" t="s">
        <v>116</v>
      </c>
      <c r="O17" s="40"/>
    </row>
    <row r="18" spans="4:15" ht="15.75" x14ac:dyDescent="0.25">
      <c r="D18" s="40"/>
      <c r="E18" s="40"/>
      <c r="F18" s="40"/>
      <c r="G18" s="40"/>
      <c r="H18" s="40"/>
      <c r="I18" s="40"/>
      <c r="J18" s="40"/>
      <c r="K18" s="40"/>
      <c r="L18" s="40"/>
      <c r="M18" s="40"/>
      <c r="N18" t="s">
        <v>116</v>
      </c>
      <c r="O18" s="40"/>
    </row>
    <row r="19" spans="4:15" ht="15.75" x14ac:dyDescent="0.25">
      <c r="D19" s="40"/>
      <c r="E19" s="40"/>
      <c r="F19" s="40"/>
      <c r="G19" s="40"/>
      <c r="H19" s="40"/>
      <c r="I19" s="40"/>
      <c r="J19" s="40"/>
      <c r="K19" s="40"/>
      <c r="L19" s="40"/>
      <c r="M19" s="40"/>
      <c r="N19" t="s">
        <v>116</v>
      </c>
      <c r="O19" s="40"/>
    </row>
    <row r="20" spans="4:15" ht="15.75" x14ac:dyDescent="0.25">
      <c r="D20" s="40"/>
      <c r="E20" s="40"/>
      <c r="F20" s="40"/>
      <c r="G20" s="40"/>
      <c r="H20" s="40"/>
      <c r="I20" s="40"/>
      <c r="J20" s="40"/>
      <c r="K20" s="40"/>
      <c r="L20" s="40"/>
      <c r="M20" s="40"/>
      <c r="N20" t="s">
        <v>116</v>
      </c>
      <c r="O20" s="40"/>
    </row>
    <row r="21" spans="4:15" ht="15.75" x14ac:dyDescent="0.25">
      <c r="D21" s="40"/>
      <c r="E21" s="40"/>
      <c r="F21" s="40"/>
      <c r="G21" s="40"/>
      <c r="H21" s="40"/>
      <c r="I21" s="40"/>
      <c r="J21" s="40"/>
      <c r="K21" s="40"/>
      <c r="L21" s="40"/>
      <c r="M21" s="40"/>
      <c r="N21" t="s">
        <v>116</v>
      </c>
      <c r="O21" s="40"/>
    </row>
  </sheetData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9">
    <tabColor theme="1"/>
  </sheetPr>
  <dimension ref="D1:N21"/>
  <sheetViews>
    <sheetView showGridLines="0" showRowColHeaders="0" workbookViewId="0"/>
  </sheetViews>
  <sheetFormatPr defaultRowHeight="15" x14ac:dyDescent="0.25"/>
  <cols>
    <col min="3" max="3" width="15" customWidth="1"/>
    <col min="5" max="5" width="20.28515625" customWidth="1"/>
    <col min="6" max="6" width="36" customWidth="1"/>
    <col min="7" max="7" width="7.42578125" customWidth="1"/>
    <col min="8" max="8" width="20.28515625" customWidth="1"/>
    <col min="9" max="9" width="36" customWidth="1"/>
    <col min="13" max="14" width="0" hidden="1" customWidth="1"/>
  </cols>
  <sheetData>
    <row r="1" spans="4:14" x14ac:dyDescent="0.25">
      <c r="M1" s="33">
        <f>COUNTA(CADASTRO_07!B:B)+1</f>
        <v>2</v>
      </c>
      <c r="N1" t="s">
        <v>99</v>
      </c>
    </row>
    <row r="2" spans="4:14" ht="21" x14ac:dyDescent="0.35">
      <c r="E2" s="124" t="s">
        <v>100</v>
      </c>
    </row>
    <row r="3" spans="4:14" ht="13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</row>
    <row r="4" spans="4:14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</row>
    <row r="5" spans="4:14" ht="21.75" thickBot="1" x14ac:dyDescent="0.3">
      <c r="D5" s="107"/>
    </row>
    <row r="6" spans="4:14" ht="22.5" customHeight="1" thickBot="1" x14ac:dyDescent="0.3">
      <c r="D6" s="108"/>
      <c r="E6" s="109" t="s">
        <v>117</v>
      </c>
      <c r="F6" s="129"/>
      <c r="G6" s="111"/>
      <c r="H6" s="109" t="s">
        <v>14</v>
      </c>
      <c r="I6" s="130"/>
      <c r="J6" s="113"/>
      <c r="K6" s="113"/>
      <c r="L6" s="113"/>
      <c r="M6" s="113"/>
      <c r="N6" s="111"/>
    </row>
    <row r="7" spans="4:14" ht="21.75" thickBot="1" x14ac:dyDescent="0.3">
      <c r="D7" s="107"/>
      <c r="E7" s="114"/>
      <c r="F7" s="40"/>
      <c r="G7" s="40"/>
      <c r="H7" s="115"/>
      <c r="I7" s="40"/>
      <c r="J7" s="40"/>
      <c r="K7" s="40"/>
      <c r="L7" s="40"/>
      <c r="M7" s="40"/>
    </row>
    <row r="8" spans="4:14" ht="22.5" customHeight="1" thickBot="1" x14ac:dyDescent="0.3">
      <c r="D8" s="108"/>
      <c r="E8" s="109" t="s">
        <v>118</v>
      </c>
      <c r="F8" s="127"/>
      <c r="G8" s="113"/>
      <c r="H8" s="109" t="s">
        <v>15</v>
      </c>
      <c r="I8" s="129"/>
      <c r="J8" s="113"/>
      <c r="K8" s="113"/>
      <c r="L8" s="113"/>
      <c r="M8" s="113"/>
      <c r="N8" s="111"/>
    </row>
    <row r="9" spans="4:14" ht="21.75" thickBot="1" x14ac:dyDescent="0.3">
      <c r="D9" s="107"/>
      <c r="E9" s="114"/>
      <c r="F9" s="40"/>
      <c r="G9" s="40"/>
      <c r="H9" s="115"/>
      <c r="I9" s="40"/>
      <c r="J9" s="40"/>
      <c r="K9" s="40"/>
      <c r="L9" s="40"/>
      <c r="M9" s="40"/>
    </row>
    <row r="10" spans="4:14" ht="22.5" customHeight="1" thickBot="1" x14ac:dyDescent="0.3">
      <c r="D10" s="113"/>
      <c r="E10" s="109" t="s">
        <v>10</v>
      </c>
      <c r="F10" s="129"/>
      <c r="G10" s="113"/>
      <c r="H10" s="109" t="s">
        <v>16</v>
      </c>
      <c r="I10" s="129"/>
      <c r="J10" s="113"/>
      <c r="K10" s="113"/>
      <c r="L10" s="113"/>
      <c r="M10" s="113"/>
      <c r="N10" s="111"/>
    </row>
    <row r="11" spans="4:14" ht="16.5" thickBot="1" x14ac:dyDescent="0.3">
      <c r="D11" s="40"/>
      <c r="E11" s="115"/>
      <c r="F11" s="40"/>
      <c r="G11" s="40"/>
      <c r="H11" s="117"/>
      <c r="I11" s="40"/>
      <c r="J11" s="40"/>
      <c r="K11" s="40"/>
      <c r="L11" s="40"/>
      <c r="M11" s="40"/>
    </row>
    <row r="12" spans="4:14" ht="22.5" customHeight="1" thickBot="1" x14ac:dyDescent="0.3">
      <c r="D12" s="113"/>
      <c r="E12" s="109" t="s">
        <v>11</v>
      </c>
      <c r="F12" s="127"/>
      <c r="G12" s="113"/>
      <c r="H12" s="109" t="s">
        <v>16</v>
      </c>
      <c r="I12" s="131"/>
      <c r="J12" s="113"/>
      <c r="K12" s="113"/>
      <c r="L12" s="113"/>
      <c r="M12" s="113"/>
      <c r="N12" s="111"/>
    </row>
    <row r="13" spans="4:14" ht="16.5" thickBot="1" x14ac:dyDescent="0.3">
      <c r="D13" s="40"/>
      <c r="E13" s="115"/>
      <c r="F13" s="40"/>
      <c r="G13" s="40"/>
      <c r="H13" s="115"/>
      <c r="I13" s="40"/>
      <c r="K13" s="40"/>
      <c r="L13" s="40"/>
      <c r="M13" s="40"/>
    </row>
    <row r="14" spans="4:14" ht="22.5" customHeight="1" thickBot="1" x14ac:dyDescent="0.3">
      <c r="D14" s="113"/>
      <c r="E14" s="109" t="s">
        <v>12</v>
      </c>
      <c r="F14" s="129"/>
      <c r="G14" s="113"/>
      <c r="H14" s="109" t="s">
        <v>16</v>
      </c>
      <c r="I14" s="129"/>
      <c r="J14" s="113"/>
      <c r="K14" s="113"/>
      <c r="L14" s="113"/>
      <c r="M14" s="113"/>
      <c r="N14" s="111"/>
    </row>
    <row r="15" spans="4:14" ht="16.5" thickBot="1" x14ac:dyDescent="0.3">
      <c r="D15" s="40"/>
      <c r="E15" s="115"/>
      <c r="F15" s="40"/>
      <c r="G15" s="40"/>
      <c r="H15" s="117"/>
      <c r="I15" s="40"/>
      <c r="J15" s="40"/>
      <c r="K15" s="40"/>
      <c r="L15" s="40"/>
      <c r="M15" s="40"/>
    </row>
    <row r="16" spans="4:14" ht="22.5" customHeight="1" thickBot="1" x14ac:dyDescent="0.3">
      <c r="D16" s="113"/>
      <c r="E16" s="109" t="s">
        <v>13</v>
      </c>
      <c r="F16" s="127"/>
      <c r="G16" s="113"/>
      <c r="I16" s="128"/>
      <c r="J16" s="113"/>
      <c r="K16" s="113"/>
      <c r="L16" s="113"/>
      <c r="M16" s="113"/>
      <c r="N16" s="111"/>
    </row>
    <row r="17" spans="4:13" ht="15.75" x14ac:dyDescent="0.25">
      <c r="D17" s="40"/>
      <c r="E17" s="40"/>
      <c r="F17" s="40"/>
      <c r="G17" s="40"/>
      <c r="H17" s="40"/>
      <c r="I17" s="40"/>
      <c r="J17" s="40"/>
      <c r="K17" s="40"/>
      <c r="L17" s="40"/>
      <c r="M17" s="40"/>
    </row>
    <row r="18" spans="4:13" ht="15.75" x14ac:dyDescent="0.25">
      <c r="D18" s="40"/>
      <c r="E18" s="40"/>
      <c r="F18" s="40"/>
      <c r="G18" s="40"/>
      <c r="H18" s="40"/>
      <c r="I18" s="40"/>
      <c r="J18" s="40"/>
      <c r="K18" s="40"/>
      <c r="L18" s="40"/>
      <c r="M18" s="40"/>
    </row>
    <row r="19" spans="4:13" ht="15.75" x14ac:dyDescent="0.25">
      <c r="D19" s="40"/>
      <c r="E19" s="40"/>
      <c r="F19" s="40"/>
      <c r="G19" s="40"/>
      <c r="H19" s="40"/>
      <c r="I19" s="40"/>
      <c r="J19" s="40"/>
      <c r="K19" s="40"/>
      <c r="L19" s="40"/>
      <c r="M19" s="40"/>
    </row>
    <row r="20" spans="4:13" ht="15.75" x14ac:dyDescent="0.25">
      <c r="D20" s="40"/>
      <c r="E20" s="40"/>
      <c r="F20" s="40"/>
      <c r="G20" s="40"/>
      <c r="H20" s="40"/>
      <c r="I20" s="40"/>
      <c r="J20" s="40"/>
      <c r="K20" s="40"/>
      <c r="L20" s="40"/>
      <c r="M20" s="40"/>
    </row>
    <row r="21" spans="4:13" ht="15.75" x14ac:dyDescent="0.25">
      <c r="D21" s="40"/>
      <c r="E21" s="40"/>
      <c r="F21" s="40"/>
      <c r="G21" s="40"/>
      <c r="H21" s="40"/>
      <c r="I21" s="40"/>
      <c r="J21" s="40"/>
      <c r="K21" s="40"/>
      <c r="L21" s="40"/>
      <c r="M21" s="40"/>
    </row>
  </sheetData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40">
    <tabColor theme="1"/>
  </sheetPr>
  <dimension ref="D1:P21"/>
  <sheetViews>
    <sheetView showGridLines="0" showRowColHeaders="0" zoomScaleNormal="100" workbookViewId="0"/>
  </sheetViews>
  <sheetFormatPr defaultRowHeight="15" x14ac:dyDescent="0.25"/>
  <cols>
    <col min="3" max="3" width="15" customWidth="1"/>
    <col min="5" max="5" width="20.28515625" customWidth="1"/>
    <col min="6" max="6" width="36" customWidth="1"/>
    <col min="7" max="7" width="7.42578125" customWidth="1"/>
    <col min="8" max="8" width="20.28515625" customWidth="1"/>
    <col min="9" max="9" width="36" customWidth="1"/>
    <col min="13" max="13" width="0" hidden="1" customWidth="1"/>
    <col min="14" max="14" width="13.7109375" hidden="1" customWidth="1"/>
    <col min="15" max="15" width="20.42578125" hidden="1" customWidth="1"/>
    <col min="16" max="16" width="0" hidden="1" customWidth="1"/>
  </cols>
  <sheetData>
    <row r="1" spans="4:16" x14ac:dyDescent="0.25">
      <c r="M1" s="33">
        <f>COUNTA(CADASTRO_01!B:B)+1</f>
        <v>2</v>
      </c>
      <c r="N1" t="s">
        <v>101</v>
      </c>
      <c r="O1" t="str">
        <f>"CADASTRO_01!B2:B"&amp;COUNTA(CADASTRO_01!B:B)</f>
        <v>CADASTRO_01!B2:B1</v>
      </c>
      <c r="P1">
        <f>COUNTA(CADASTRO_01!B:B)+1</f>
        <v>2</v>
      </c>
    </row>
    <row r="2" spans="4:16" ht="21" x14ac:dyDescent="0.35">
      <c r="E2" s="106" t="s">
        <v>102</v>
      </c>
    </row>
    <row r="3" spans="4:16" ht="13.5" customHeight="1" x14ac:dyDescent="0.25">
      <c r="D3" s="132"/>
      <c r="E3" s="132"/>
      <c r="F3" s="133"/>
      <c r="G3" s="133"/>
      <c r="H3" s="133"/>
      <c r="I3" s="133"/>
      <c r="J3" s="133"/>
      <c r="K3" s="133"/>
      <c r="L3" s="133"/>
      <c r="M3" s="133"/>
      <c r="N3" s="128"/>
      <c r="O3" s="133"/>
      <c r="P3" s="133"/>
    </row>
    <row r="4" spans="4:16" ht="21" x14ac:dyDescent="0.25">
      <c r="D4" s="132"/>
      <c r="E4" s="132"/>
      <c r="F4" s="133"/>
      <c r="G4" s="133"/>
      <c r="H4" s="133"/>
      <c r="I4" s="133"/>
      <c r="J4" s="133"/>
      <c r="K4" s="133"/>
      <c r="L4" s="133"/>
      <c r="M4" s="133"/>
      <c r="N4" s="128"/>
      <c r="O4" s="133"/>
      <c r="P4" s="133"/>
    </row>
    <row r="5" spans="4:16" ht="21.75" thickBot="1" x14ac:dyDescent="0.3">
      <c r="D5" s="132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33"/>
    </row>
    <row r="6" spans="4:16" ht="22.5" customHeight="1" thickBot="1" x14ac:dyDescent="0.3">
      <c r="D6" s="134"/>
      <c r="E6" s="135" t="s">
        <v>103</v>
      </c>
      <c r="F6" s="129"/>
      <c r="G6" s="136"/>
      <c r="H6" s="128"/>
      <c r="I6" s="128"/>
      <c r="J6" s="137"/>
      <c r="K6" s="137"/>
      <c r="L6" s="137"/>
      <c r="M6" s="137"/>
      <c r="N6" s="136"/>
      <c r="O6" s="137"/>
      <c r="P6" s="137"/>
    </row>
    <row r="7" spans="4:16" ht="21" x14ac:dyDescent="0.25">
      <c r="D7" s="132"/>
      <c r="E7" s="138"/>
      <c r="F7" s="133"/>
      <c r="G7" s="133"/>
      <c r="H7" s="139"/>
      <c r="I7" s="133"/>
      <c r="J7" s="133"/>
      <c r="K7" s="133"/>
      <c r="L7" s="133"/>
      <c r="M7" s="133"/>
      <c r="N7" s="128"/>
      <c r="O7" s="133"/>
      <c r="P7" s="133"/>
    </row>
    <row r="8" spans="4:16" ht="22.5" customHeight="1" x14ac:dyDescent="0.25">
      <c r="D8" s="134"/>
      <c r="E8" s="128"/>
      <c r="F8" s="128"/>
      <c r="G8" s="128"/>
      <c r="H8" s="128"/>
      <c r="I8" s="128"/>
      <c r="J8" s="137"/>
      <c r="K8" s="137"/>
      <c r="L8" s="137"/>
      <c r="M8" s="137"/>
      <c r="N8" s="136"/>
      <c r="O8" s="137"/>
      <c r="P8" s="137"/>
    </row>
    <row r="9" spans="4:16" ht="21" x14ac:dyDescent="0.25">
      <c r="D9" s="132"/>
      <c r="E9" s="128"/>
      <c r="F9" s="128"/>
      <c r="G9" s="128"/>
      <c r="H9" s="128"/>
      <c r="I9" s="128"/>
      <c r="J9" s="133"/>
      <c r="K9" s="133"/>
      <c r="L9" s="133"/>
      <c r="M9" s="133"/>
      <c r="N9" s="128"/>
      <c r="O9" s="133"/>
      <c r="P9" s="133"/>
    </row>
    <row r="10" spans="4:16" ht="22.5" customHeight="1" x14ac:dyDescent="0.25">
      <c r="D10" s="137"/>
      <c r="E10" s="128"/>
      <c r="F10" s="128"/>
      <c r="G10" s="128"/>
      <c r="H10" s="128"/>
      <c r="I10" s="128"/>
      <c r="J10" s="137"/>
      <c r="K10" s="137"/>
      <c r="L10" s="137"/>
      <c r="M10" s="137"/>
      <c r="N10" s="136"/>
      <c r="O10" s="137"/>
      <c r="P10" s="137"/>
    </row>
    <row r="11" spans="4:16" ht="15.75" x14ac:dyDescent="0.25">
      <c r="D11" s="133"/>
      <c r="E11" s="128"/>
      <c r="F11" s="128"/>
      <c r="G11" s="128"/>
      <c r="H11" s="128"/>
      <c r="I11" s="128"/>
      <c r="J11" s="133"/>
      <c r="K11" s="133"/>
      <c r="L11" s="133"/>
      <c r="M11" s="133"/>
      <c r="N11" s="128"/>
      <c r="O11" s="133"/>
      <c r="P11" s="133"/>
    </row>
    <row r="12" spans="4:16" ht="22.5" hidden="1" customHeight="1" x14ac:dyDescent="0.25">
      <c r="D12" s="137"/>
      <c r="E12" s="128"/>
      <c r="F12" s="128"/>
      <c r="G12" s="128"/>
      <c r="H12" s="128"/>
      <c r="I12" s="128"/>
      <c r="J12" s="137"/>
      <c r="K12" s="137"/>
      <c r="L12" s="137"/>
      <c r="M12" s="137"/>
      <c r="N12" s="136"/>
      <c r="O12" s="137"/>
      <c r="P12" s="137"/>
    </row>
    <row r="13" spans="4:16" ht="21" hidden="1" x14ac:dyDescent="0.25">
      <c r="D13" s="132"/>
      <c r="E13" s="132"/>
      <c r="F13" s="133"/>
      <c r="G13" s="133"/>
      <c r="H13" s="133"/>
      <c r="I13" s="133"/>
      <c r="J13" s="133"/>
      <c r="K13" s="133"/>
      <c r="L13" s="133"/>
      <c r="M13" s="133"/>
      <c r="N13" s="128"/>
      <c r="O13" s="133"/>
      <c r="P13" s="133"/>
    </row>
    <row r="14" spans="4:16" ht="22.5" hidden="1" customHeight="1" thickBot="1" x14ac:dyDescent="0.3">
      <c r="D14" s="132"/>
      <c r="E14" s="128"/>
      <c r="F14" s="128"/>
      <c r="G14" s="128"/>
      <c r="H14" s="128"/>
      <c r="I14" s="128"/>
      <c r="J14" s="128"/>
      <c r="K14" s="137"/>
      <c r="L14" s="137"/>
      <c r="M14" s="137"/>
      <c r="N14" s="136"/>
      <c r="O14" s="137"/>
      <c r="P14" s="137"/>
    </row>
    <row r="15" spans="4:16" ht="21.75" hidden="1" thickBot="1" x14ac:dyDescent="0.3">
      <c r="D15" s="134"/>
      <c r="E15" s="135" t="s">
        <v>103</v>
      </c>
      <c r="F15" s="129"/>
      <c r="G15" s="136"/>
      <c r="H15" s="135" t="s">
        <v>104</v>
      </c>
      <c r="I15" s="127"/>
      <c r="J15" s="137"/>
      <c r="K15" s="133"/>
      <c r="L15" s="133"/>
      <c r="M15" s="133"/>
      <c r="N15" s="128"/>
      <c r="O15" s="133"/>
      <c r="P15" s="133"/>
    </row>
    <row r="16" spans="4:16" ht="22.5" hidden="1" customHeight="1" x14ac:dyDescent="0.25">
      <c r="D16" s="132"/>
      <c r="E16" s="138"/>
      <c r="F16" s="133"/>
      <c r="G16" s="133"/>
      <c r="H16" s="139"/>
      <c r="I16" s="133"/>
      <c r="J16" s="133"/>
      <c r="K16" s="137"/>
      <c r="L16" s="137"/>
      <c r="M16" s="137"/>
      <c r="N16" s="136"/>
      <c r="O16" s="137"/>
      <c r="P16" s="137"/>
    </row>
    <row r="17" spans="4:16" ht="21" hidden="1" x14ac:dyDescent="0.25">
      <c r="D17" s="134"/>
      <c r="E17" s="128"/>
      <c r="F17" s="128"/>
      <c r="G17" s="128"/>
      <c r="H17" s="128"/>
      <c r="I17" s="128"/>
      <c r="J17" s="137"/>
      <c r="K17" s="133"/>
      <c r="L17" s="133"/>
      <c r="M17" s="133"/>
      <c r="N17" s="128"/>
      <c r="O17" s="133"/>
      <c r="P17" s="133"/>
    </row>
    <row r="18" spans="4:16" ht="21" hidden="1" x14ac:dyDescent="0.25">
      <c r="D18" s="132"/>
      <c r="E18" s="128"/>
      <c r="F18" s="128"/>
      <c r="G18" s="128"/>
      <c r="H18" s="128"/>
      <c r="I18" s="128"/>
      <c r="J18" s="133"/>
      <c r="K18" s="133"/>
      <c r="L18" s="133"/>
      <c r="M18" s="133"/>
      <c r="N18" s="128"/>
      <c r="O18" s="133"/>
      <c r="P18" s="133"/>
    </row>
    <row r="19" spans="4:16" ht="15.75" hidden="1" x14ac:dyDescent="0.25">
      <c r="D19" s="137"/>
      <c r="E19" s="128"/>
      <c r="F19" s="128"/>
      <c r="G19" s="128"/>
      <c r="H19" s="128"/>
      <c r="I19" s="128"/>
      <c r="J19" s="137"/>
      <c r="K19" s="133"/>
      <c r="L19" s="133"/>
      <c r="M19" s="133"/>
      <c r="N19" s="128"/>
      <c r="O19" s="133"/>
      <c r="P19" s="133"/>
    </row>
    <row r="20" spans="4:16" ht="15.75" hidden="1" x14ac:dyDescent="0.25">
      <c r="D20" s="133"/>
      <c r="E20" s="128"/>
      <c r="F20" s="128"/>
      <c r="G20" s="128"/>
      <c r="H20" s="128"/>
      <c r="I20" s="128"/>
      <c r="J20" s="133"/>
      <c r="K20" s="133"/>
      <c r="L20" s="133"/>
      <c r="M20" s="133"/>
      <c r="N20" s="128"/>
      <c r="O20" s="133"/>
      <c r="P20" s="133"/>
    </row>
    <row r="21" spans="4:16" hidden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700-000000000000}">
          <x14:formula1>
            <xm:f>INDIRECT(AUX_03!$O$1)</xm:f>
          </x14:formula1>
          <xm:sqref>F15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ilha41">
    <tabColor theme="1"/>
  </sheetPr>
  <dimension ref="D1:P21"/>
  <sheetViews>
    <sheetView showGridLines="0" showRowColHeaders="0" workbookViewId="0"/>
  </sheetViews>
  <sheetFormatPr defaultRowHeight="15" x14ac:dyDescent="0.25"/>
  <cols>
    <col min="3" max="3" width="15" customWidth="1"/>
    <col min="5" max="5" width="20.28515625" customWidth="1"/>
    <col min="6" max="6" width="36" customWidth="1"/>
    <col min="7" max="7" width="7.42578125" customWidth="1"/>
    <col min="8" max="8" width="20.28515625" customWidth="1"/>
    <col min="9" max="9" width="36" customWidth="1"/>
    <col min="13" max="13" width="0" hidden="1" customWidth="1"/>
    <col min="14" max="14" width="13.7109375" hidden="1" customWidth="1"/>
    <col min="15" max="15" width="20.42578125" hidden="1" customWidth="1"/>
    <col min="16" max="16" width="0" hidden="1" customWidth="1"/>
  </cols>
  <sheetData>
    <row r="1" spans="4:16" x14ac:dyDescent="0.25">
      <c r="M1" s="33">
        <f>COUNTA(CADASTRO_02!B:B)+1</f>
        <v>2</v>
      </c>
      <c r="N1" t="s">
        <v>105</v>
      </c>
      <c r="O1" t="str">
        <f>"CADASTRO_02_!B2:B"&amp;COUNTA(CADASTRO_02_!B:B)</f>
        <v>CADASTRO_02_!B2:B1</v>
      </c>
      <c r="P1">
        <f>COUNTA(CADASTRO_02!B:B)+1</f>
        <v>2</v>
      </c>
    </row>
    <row r="2" spans="4:16" ht="21" x14ac:dyDescent="0.35">
      <c r="E2" s="140" t="s">
        <v>106</v>
      </c>
    </row>
    <row r="3" spans="4:16" ht="13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O3" s="40"/>
      <c r="P3" s="40"/>
    </row>
    <row r="4" spans="4:16" ht="21" hidden="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O4" s="40"/>
      <c r="P4" s="40"/>
    </row>
    <row r="5" spans="4:16" ht="21.75" hidden="1" thickBot="1" x14ac:dyDescent="0.3">
      <c r="D5" s="107"/>
      <c r="P5" s="40"/>
    </row>
    <row r="6" spans="4:16" ht="22.5" hidden="1" customHeight="1" thickBot="1" x14ac:dyDescent="0.3">
      <c r="D6" s="108"/>
      <c r="E6" s="109" t="s">
        <v>103</v>
      </c>
      <c r="F6" s="110"/>
      <c r="G6" s="111"/>
      <c r="J6" s="113"/>
      <c r="K6" s="113"/>
      <c r="L6" s="113"/>
      <c r="M6" s="113"/>
      <c r="N6" s="111"/>
      <c r="O6" s="113"/>
      <c r="P6" s="113"/>
    </row>
    <row r="7" spans="4:16" ht="21" hidden="1" x14ac:dyDescent="0.25">
      <c r="D7" s="107"/>
      <c r="E7" s="114"/>
      <c r="F7" s="40"/>
      <c r="G7" s="40"/>
      <c r="H7" s="115"/>
      <c r="I7" s="40"/>
      <c r="J7" s="40"/>
      <c r="K7" s="40"/>
      <c r="L7" s="40"/>
      <c r="M7" s="40"/>
      <c r="O7" s="40"/>
      <c r="P7" s="40"/>
    </row>
    <row r="8" spans="4:16" ht="22.5" hidden="1" customHeight="1" x14ac:dyDescent="0.25">
      <c r="D8" s="108"/>
      <c r="J8" s="113"/>
      <c r="K8" s="113"/>
      <c r="L8" s="113"/>
      <c r="M8" s="113"/>
      <c r="N8" s="111"/>
      <c r="O8" s="113"/>
      <c r="P8" s="113"/>
    </row>
    <row r="9" spans="4:16" ht="21" hidden="1" x14ac:dyDescent="0.25">
      <c r="D9" s="107"/>
      <c r="J9" s="40"/>
      <c r="K9" s="40"/>
      <c r="L9" s="40"/>
      <c r="M9" s="40"/>
      <c r="O9" s="40"/>
      <c r="P9" s="40"/>
    </row>
    <row r="10" spans="4:16" ht="22.5" hidden="1" customHeight="1" x14ac:dyDescent="0.25">
      <c r="D10" s="113"/>
      <c r="J10" s="113"/>
      <c r="K10" s="113"/>
      <c r="L10" s="113"/>
      <c r="M10" s="113"/>
      <c r="N10" s="111"/>
      <c r="O10" s="113"/>
      <c r="P10" s="113"/>
    </row>
    <row r="11" spans="4:16" ht="15.75" hidden="1" x14ac:dyDescent="0.25">
      <c r="D11" s="40"/>
      <c r="J11" s="40"/>
      <c r="K11" s="40"/>
      <c r="L11" s="40"/>
      <c r="M11" s="40"/>
      <c r="O11" s="40"/>
      <c r="P11" s="40"/>
    </row>
    <row r="12" spans="4:16" ht="22.5" customHeight="1" x14ac:dyDescent="0.25">
      <c r="D12" s="113"/>
      <c r="J12" s="113"/>
      <c r="K12" s="113"/>
      <c r="L12" s="113"/>
      <c r="M12" s="113"/>
      <c r="N12" s="111"/>
      <c r="O12" s="113"/>
      <c r="P12" s="113"/>
    </row>
    <row r="13" spans="4:16" ht="21" x14ac:dyDescent="0.25">
      <c r="D13" s="107"/>
      <c r="E13" s="107"/>
      <c r="F13" s="40"/>
      <c r="G13" s="40"/>
      <c r="H13" s="40"/>
      <c r="I13" s="40"/>
      <c r="J13" s="40"/>
      <c r="K13" s="40"/>
      <c r="L13" s="40"/>
      <c r="M13" s="40"/>
      <c r="O13" s="40"/>
      <c r="P13" s="40"/>
    </row>
    <row r="14" spans="4:16" ht="22.5" customHeight="1" thickBot="1" x14ac:dyDescent="0.3">
      <c r="D14" s="107"/>
      <c r="P14" s="40"/>
    </row>
    <row r="15" spans="4:16" ht="21.75" thickBot="1" x14ac:dyDescent="0.3">
      <c r="D15" s="108"/>
      <c r="E15" s="109" t="s">
        <v>103</v>
      </c>
      <c r="F15" s="110"/>
      <c r="G15" s="111"/>
      <c r="H15" s="109" t="s">
        <v>104</v>
      </c>
      <c r="I15" s="112"/>
      <c r="J15" s="113"/>
      <c r="K15" s="113"/>
      <c r="L15" s="113"/>
      <c r="M15" s="113"/>
      <c r="N15" s="111"/>
      <c r="O15" s="113"/>
      <c r="P15" s="113"/>
    </row>
    <row r="16" spans="4:16" ht="22.5" customHeight="1" x14ac:dyDescent="0.25">
      <c r="D16" s="107"/>
      <c r="E16" s="114"/>
      <c r="F16" s="40"/>
      <c r="G16" s="40"/>
      <c r="H16" s="115"/>
      <c r="I16" s="40"/>
      <c r="J16" s="40"/>
      <c r="K16" s="40"/>
      <c r="L16" s="40"/>
      <c r="M16" s="40"/>
      <c r="O16" s="40"/>
      <c r="P16" s="40"/>
    </row>
    <row r="17" spans="4:16" ht="21" x14ac:dyDescent="0.25">
      <c r="D17" s="108"/>
      <c r="J17" s="113"/>
      <c r="K17" s="113"/>
      <c r="L17" s="113"/>
      <c r="M17" s="113"/>
      <c r="N17" s="111"/>
      <c r="O17" s="113"/>
      <c r="P17" s="113"/>
    </row>
    <row r="18" spans="4:16" ht="21" x14ac:dyDescent="0.25">
      <c r="D18" s="107"/>
      <c r="J18" s="40"/>
      <c r="K18" s="40"/>
      <c r="L18" s="40"/>
      <c r="M18" s="40"/>
      <c r="O18" s="40"/>
      <c r="P18" s="40"/>
    </row>
    <row r="19" spans="4:16" ht="15.75" x14ac:dyDescent="0.25">
      <c r="D19" s="113"/>
      <c r="J19" s="113"/>
      <c r="K19" s="113"/>
      <c r="L19" s="113"/>
      <c r="M19" s="113"/>
      <c r="N19" s="111"/>
      <c r="O19" s="113"/>
      <c r="P19" s="113"/>
    </row>
    <row r="20" spans="4:16" ht="15.75" x14ac:dyDescent="0.25">
      <c r="D20" s="40"/>
      <c r="J20" s="40"/>
      <c r="K20" s="40"/>
      <c r="L20" s="40"/>
      <c r="M20" s="40"/>
      <c r="O20" s="40"/>
      <c r="P20" s="40"/>
    </row>
    <row r="21" spans="4:16" ht="15.75" x14ac:dyDescent="0.25">
      <c r="D21" s="40"/>
      <c r="E21" s="40"/>
      <c r="F21" s="40"/>
      <c r="G21" s="40"/>
      <c r="H21" s="40"/>
      <c r="I21" s="40"/>
      <c r="J21" s="40"/>
      <c r="K21" s="40"/>
      <c r="L21" s="40"/>
      <c r="M21" s="40"/>
      <c r="O21" s="40"/>
      <c r="P21" s="40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2800-000000000000}">
          <x14:formula1>
            <xm:f>INDIRECT(AUX_03!$Q$1)</xm:f>
          </x14:formula1>
          <xm:sqref>F15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ilha42">
    <tabColor theme="1"/>
  </sheetPr>
  <dimension ref="D1:O16"/>
  <sheetViews>
    <sheetView showGridLines="0" showRowColHeaders="0" workbookViewId="0"/>
  </sheetViews>
  <sheetFormatPr defaultRowHeight="15" x14ac:dyDescent="0.25"/>
  <cols>
    <col min="3" max="3" width="15" customWidth="1"/>
    <col min="5" max="5" width="20.28515625" customWidth="1"/>
    <col min="6" max="6" width="53.85546875" customWidth="1"/>
    <col min="7" max="7" width="7.42578125" customWidth="1"/>
    <col min="8" max="8" width="20.28515625" customWidth="1"/>
    <col min="9" max="9" width="36" customWidth="1"/>
    <col min="13" max="15" width="0" hidden="1" customWidth="1"/>
  </cols>
  <sheetData>
    <row r="1" spans="4:15" x14ac:dyDescent="0.25">
      <c r="M1" s="33">
        <f>COUNTA(CADASTRO_03!B:B)+1</f>
        <v>2</v>
      </c>
      <c r="N1" t="s">
        <v>107</v>
      </c>
    </row>
    <row r="2" spans="4:15" ht="21" x14ac:dyDescent="0.35">
      <c r="E2" s="124" t="s">
        <v>108</v>
      </c>
    </row>
    <row r="3" spans="4:15" ht="13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O3" s="40"/>
    </row>
    <row r="4" spans="4:15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O4" s="40"/>
    </row>
    <row r="5" spans="4:15" ht="21.75" thickBot="1" x14ac:dyDescent="0.3">
      <c r="D5" s="107"/>
    </row>
    <row r="6" spans="4:15" ht="22.5" customHeight="1" thickBot="1" x14ac:dyDescent="0.3">
      <c r="D6" s="108"/>
      <c r="E6" s="109" t="s">
        <v>109</v>
      </c>
      <c r="F6" s="110"/>
      <c r="G6" s="111"/>
      <c r="J6" s="113"/>
      <c r="K6" s="113"/>
      <c r="L6" s="113"/>
      <c r="M6" s="113"/>
      <c r="N6" s="111"/>
      <c r="O6" s="113"/>
    </row>
    <row r="7" spans="4:15" ht="21" x14ac:dyDescent="0.25">
      <c r="D7" s="107"/>
      <c r="E7" s="114"/>
      <c r="F7" s="40"/>
      <c r="G7" s="40"/>
      <c r="H7" s="115"/>
      <c r="I7" s="40"/>
      <c r="J7" s="40"/>
      <c r="K7" s="40"/>
      <c r="L7" s="40"/>
      <c r="M7" s="40"/>
      <c r="O7" s="40"/>
    </row>
    <row r="8" spans="4:15" ht="22.5" customHeight="1" x14ac:dyDescent="0.25">
      <c r="D8" s="108"/>
      <c r="J8" s="113"/>
      <c r="K8" s="113"/>
      <c r="L8" s="113"/>
      <c r="M8" s="113"/>
      <c r="N8" s="111"/>
      <c r="O8" s="113"/>
    </row>
    <row r="9" spans="4:15" ht="21" x14ac:dyDescent="0.25">
      <c r="D9" s="107"/>
      <c r="J9" s="40"/>
      <c r="K9" s="40"/>
      <c r="L9" s="40"/>
      <c r="M9" s="40"/>
      <c r="O9" s="40"/>
    </row>
    <row r="10" spans="4:15" ht="22.5" customHeight="1" x14ac:dyDescent="0.25">
      <c r="D10" s="113"/>
      <c r="J10" s="113"/>
      <c r="K10" s="113"/>
      <c r="L10" s="113"/>
      <c r="M10" s="113"/>
      <c r="N10" s="111"/>
      <c r="O10" s="113"/>
    </row>
    <row r="11" spans="4:15" ht="15.75" x14ac:dyDescent="0.25">
      <c r="D11" s="40"/>
      <c r="J11" s="40"/>
      <c r="K11" s="40"/>
      <c r="L11" s="40"/>
      <c r="M11" s="40"/>
      <c r="O11" s="40"/>
    </row>
    <row r="12" spans="4:15" ht="22.5" customHeight="1" x14ac:dyDescent="0.25"/>
    <row r="14" spans="4:15" ht="22.5" customHeight="1" x14ac:dyDescent="0.25"/>
    <row r="16" spans="4:15" ht="22.5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43">
    <tabColor theme="1"/>
  </sheetPr>
  <dimension ref="D1:O16"/>
  <sheetViews>
    <sheetView showGridLines="0" showRowColHeaders="0" workbookViewId="0"/>
  </sheetViews>
  <sheetFormatPr defaultRowHeight="15" x14ac:dyDescent="0.25"/>
  <cols>
    <col min="3" max="3" width="15" customWidth="1"/>
    <col min="5" max="5" width="20.28515625" customWidth="1"/>
    <col min="6" max="6" width="36" customWidth="1"/>
    <col min="7" max="7" width="7.42578125" customWidth="1"/>
    <col min="8" max="8" width="20.28515625" customWidth="1"/>
    <col min="9" max="9" width="36" customWidth="1"/>
    <col min="13" max="14" width="0" hidden="1" customWidth="1"/>
  </cols>
  <sheetData>
    <row r="1" spans="4:15" x14ac:dyDescent="0.25">
      <c r="M1" s="33">
        <f>COUNTA(CADASTRO_04!B:B)+1</f>
        <v>2</v>
      </c>
      <c r="N1" t="s">
        <v>110</v>
      </c>
    </row>
    <row r="2" spans="4:15" ht="21" x14ac:dyDescent="0.35">
      <c r="E2" s="124" t="s">
        <v>111</v>
      </c>
    </row>
    <row r="3" spans="4:15" ht="13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O3" s="40"/>
    </row>
    <row r="4" spans="4:15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O4" s="40"/>
    </row>
    <row r="5" spans="4:15" ht="21.75" thickBot="1" x14ac:dyDescent="0.3">
      <c r="D5" s="107"/>
    </row>
    <row r="6" spans="4:15" ht="22.5" customHeight="1" thickBot="1" x14ac:dyDescent="0.3">
      <c r="D6" s="108"/>
      <c r="E6" s="109" t="s">
        <v>112</v>
      </c>
      <c r="F6" s="110"/>
      <c r="G6" s="111"/>
      <c r="H6" s="109" t="s">
        <v>113</v>
      </c>
      <c r="I6" s="118"/>
      <c r="J6" s="113"/>
      <c r="K6" s="113"/>
      <c r="L6" s="113"/>
      <c r="M6" s="113"/>
      <c r="N6" s="111"/>
      <c r="O6" s="113"/>
    </row>
    <row r="7" spans="4:15" ht="21" x14ac:dyDescent="0.25">
      <c r="D7" s="107"/>
      <c r="E7" s="114"/>
      <c r="F7" s="40"/>
      <c r="G7" s="40"/>
      <c r="H7" s="115"/>
      <c r="I7" s="40"/>
      <c r="J7" s="40"/>
      <c r="K7" s="40"/>
      <c r="L7" s="40"/>
      <c r="M7" s="40"/>
      <c r="O7" s="40"/>
    </row>
    <row r="8" spans="4:15" ht="22.5" customHeight="1" x14ac:dyDescent="0.25">
      <c r="D8" s="108"/>
      <c r="J8" s="113"/>
      <c r="K8" s="113"/>
      <c r="L8" s="113"/>
      <c r="M8" s="113"/>
      <c r="N8" s="111"/>
      <c r="O8" s="113"/>
    </row>
    <row r="9" spans="4:15" ht="21" x14ac:dyDescent="0.25">
      <c r="D9" s="107"/>
      <c r="J9" s="40"/>
      <c r="K9" s="40"/>
      <c r="L9" s="40"/>
      <c r="M9" s="40"/>
      <c r="O9" s="40"/>
    </row>
    <row r="10" spans="4:15" ht="22.5" customHeight="1" x14ac:dyDescent="0.25">
      <c r="D10" s="113"/>
      <c r="J10" s="113"/>
      <c r="K10" s="113"/>
      <c r="L10" s="113"/>
      <c r="M10" s="113"/>
      <c r="N10" s="111"/>
      <c r="O10" s="113"/>
    </row>
    <row r="11" spans="4:15" ht="15.75" x14ac:dyDescent="0.25">
      <c r="D11" s="40"/>
      <c r="J11" s="40"/>
      <c r="K11" s="40"/>
      <c r="L11" s="40"/>
      <c r="M11" s="40"/>
      <c r="O11" s="40"/>
    </row>
    <row r="12" spans="4:15" ht="22.5" customHeight="1" x14ac:dyDescent="0.25">
      <c r="D12" s="113"/>
      <c r="J12" s="113"/>
      <c r="K12" s="113"/>
      <c r="L12" s="113"/>
      <c r="M12" s="113"/>
      <c r="N12" s="111"/>
      <c r="O12" s="113"/>
    </row>
    <row r="14" spans="4:15" ht="22.5" customHeight="1" x14ac:dyDescent="0.25"/>
    <row r="16" spans="4:15" ht="22.5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44">
    <tabColor theme="1"/>
  </sheetPr>
  <dimension ref="D1:O16"/>
  <sheetViews>
    <sheetView showGridLines="0" showRowColHeaders="0" zoomScaleNormal="100" workbookViewId="0"/>
  </sheetViews>
  <sheetFormatPr defaultRowHeight="15" x14ac:dyDescent="0.25"/>
  <cols>
    <col min="3" max="3" width="15" customWidth="1"/>
    <col min="5" max="5" width="24.140625" customWidth="1"/>
    <col min="6" max="6" width="25.42578125" customWidth="1"/>
    <col min="7" max="7" width="7.42578125" customWidth="1"/>
    <col min="8" max="8" width="30" customWidth="1"/>
    <col min="9" max="9" width="25.42578125" customWidth="1"/>
    <col min="13" max="14" width="0" hidden="1" customWidth="1"/>
  </cols>
  <sheetData>
    <row r="1" spans="4:15" x14ac:dyDescent="0.25">
      <c r="M1" s="33">
        <f>COUNTA(CADASTRO_05!B:B)+1</f>
        <v>3</v>
      </c>
      <c r="N1" t="s">
        <v>114</v>
      </c>
    </row>
    <row r="2" spans="4:15" ht="21" x14ac:dyDescent="0.35">
      <c r="E2" s="124" t="s">
        <v>115</v>
      </c>
    </row>
    <row r="3" spans="4:15" ht="13.5" customHeight="1" x14ac:dyDescent="0.25">
      <c r="D3" s="107"/>
      <c r="E3" s="107"/>
      <c r="F3" s="40"/>
      <c r="G3" s="40"/>
      <c r="H3" s="40"/>
      <c r="I3" s="40"/>
      <c r="J3" s="40"/>
      <c r="K3" s="40"/>
      <c r="L3" s="40"/>
      <c r="M3" s="40"/>
      <c r="O3" s="40"/>
    </row>
    <row r="4" spans="4:15" ht="21" x14ac:dyDescent="0.25">
      <c r="D4" s="107"/>
      <c r="E4" s="107"/>
      <c r="F4" s="40"/>
      <c r="G4" s="40"/>
      <c r="H4" s="40"/>
      <c r="I4" s="40"/>
      <c r="J4" s="40"/>
      <c r="K4" s="40"/>
      <c r="L4" s="40"/>
      <c r="M4" s="40"/>
      <c r="O4" s="40"/>
    </row>
    <row r="5" spans="4:15" ht="21.75" thickBot="1" x14ac:dyDescent="0.3">
      <c r="D5" s="107"/>
    </row>
    <row r="6" spans="4:15" ht="22.5" customHeight="1" thickBot="1" x14ac:dyDescent="0.3">
      <c r="D6" s="108"/>
      <c r="E6" s="109" t="str">
        <f>CADASTRO_05!B1</f>
        <v>Forma de Pagamento</v>
      </c>
      <c r="F6" s="194"/>
      <c r="G6" s="111"/>
      <c r="H6" s="193" t="str">
        <f>CADASTRO_05!E1</f>
        <v>Taxa de intermediação</v>
      </c>
      <c r="I6" s="194"/>
      <c r="J6" s="113"/>
      <c r="K6" s="113"/>
      <c r="L6" s="113"/>
      <c r="M6" s="113"/>
      <c r="N6" s="111"/>
      <c r="O6" s="113"/>
    </row>
    <row r="7" spans="4:15" ht="21.75" customHeight="1" thickBot="1" x14ac:dyDescent="0.3">
      <c r="D7" s="107"/>
      <c r="E7" s="114"/>
      <c r="F7" s="40"/>
      <c r="G7" s="40"/>
      <c r="H7" s="115"/>
      <c r="I7" s="40"/>
      <c r="J7" s="40"/>
      <c r="K7" s="40"/>
      <c r="L7" s="40"/>
      <c r="M7" s="40"/>
      <c r="O7" s="40"/>
    </row>
    <row r="8" spans="4:15" ht="22.5" customHeight="1" thickBot="1" x14ac:dyDescent="0.3">
      <c r="D8" s="108"/>
      <c r="E8" s="192" t="str">
        <f>CADASTRO_05!C1</f>
        <v>Parcelas</v>
      </c>
      <c r="F8" s="194"/>
      <c r="H8" s="193" t="str">
        <f>CADASTRO_05!F1</f>
        <v>Taxa de Parcelamento ao mês</v>
      </c>
      <c r="I8" s="194"/>
      <c r="J8" s="113"/>
      <c r="K8" s="113"/>
      <c r="L8" s="113"/>
      <c r="M8" s="113"/>
      <c r="N8" s="111"/>
      <c r="O8" s="113"/>
    </row>
    <row r="9" spans="4:15" ht="21.75" customHeight="1" thickBot="1" x14ac:dyDescent="0.3">
      <c r="D9" s="107"/>
      <c r="J9" s="40"/>
      <c r="K9" s="40"/>
      <c r="L9" s="40"/>
      <c r="M9" s="40"/>
      <c r="O9" s="40"/>
    </row>
    <row r="10" spans="4:15" ht="22.5" customHeight="1" thickBot="1" x14ac:dyDescent="0.3">
      <c r="D10" s="113"/>
      <c r="E10" s="192" t="str">
        <f>CADASTRO_05!D1</f>
        <v>Dias Recebimento</v>
      </c>
      <c r="F10" s="194"/>
      <c r="H10" s="193" t="str">
        <f>CADASTRO_05!G1</f>
        <v>Tarifa Fixa por Transação</v>
      </c>
      <c r="I10" s="194"/>
      <c r="J10" s="113"/>
      <c r="K10" s="113"/>
      <c r="L10" s="113"/>
      <c r="M10" s="113"/>
      <c r="N10" s="111"/>
      <c r="O10" s="113"/>
    </row>
    <row r="11" spans="4:15" ht="21.75" customHeight="1" x14ac:dyDescent="0.25">
      <c r="D11" s="40"/>
      <c r="J11" s="40"/>
      <c r="K11" s="40"/>
      <c r="L11" s="40"/>
      <c r="M11" s="40"/>
      <c r="O11" s="40"/>
    </row>
    <row r="12" spans="4:15" ht="22.5" customHeight="1" x14ac:dyDescent="0.25"/>
    <row r="13" spans="4:15" ht="21.75" customHeight="1" x14ac:dyDescent="0.25"/>
    <row r="14" spans="4:15" ht="22.5" customHeight="1" x14ac:dyDescent="0.25"/>
    <row r="15" spans="4:15" ht="21.75" customHeight="1" x14ac:dyDescent="0.25"/>
    <row r="16" spans="4:15" ht="22.5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ilha47"/>
  <dimension ref="A1:W101"/>
  <sheetViews>
    <sheetView workbookViewId="0">
      <selection activeCell="C27" sqref="C27"/>
    </sheetView>
  </sheetViews>
  <sheetFormatPr defaultRowHeight="15" x14ac:dyDescent="0.25"/>
  <cols>
    <col min="1" max="1" width="16.140625" style="146" bestFit="1" customWidth="1"/>
    <col min="2" max="2" width="16" style="279" customWidth="1"/>
    <col min="7" max="7" width="9.5703125" bestFit="1" customWidth="1"/>
    <col min="8" max="8" width="9.42578125" bestFit="1" customWidth="1"/>
    <col min="10" max="10" width="10.7109375" style="145" bestFit="1" customWidth="1"/>
    <col min="11" max="11" width="10.7109375" bestFit="1" customWidth="1"/>
    <col min="12" max="12" width="11.85546875" customWidth="1"/>
    <col min="13" max="13" width="18.5703125" customWidth="1"/>
    <col min="15" max="15" width="12.7109375" bestFit="1" customWidth="1"/>
    <col min="16" max="16" width="14" customWidth="1"/>
    <col min="17" max="17" width="15.5703125" bestFit="1" customWidth="1"/>
    <col min="18" max="18" width="12.140625" bestFit="1" customWidth="1"/>
    <col min="19" max="19" width="14" customWidth="1"/>
    <col min="20" max="20" width="15" customWidth="1"/>
    <col min="21" max="21" width="14.42578125" customWidth="1"/>
    <col min="22" max="22" width="12.42578125" customWidth="1"/>
  </cols>
  <sheetData>
    <row r="1" spans="2:23" x14ac:dyDescent="0.25">
      <c r="B1" s="82"/>
      <c r="G1" s="198"/>
      <c r="H1" s="198"/>
      <c r="I1" s="198"/>
      <c r="J1" s="199"/>
      <c r="K1" s="200"/>
      <c r="L1" s="198"/>
      <c r="M1" s="198"/>
      <c r="N1" s="198"/>
      <c r="O1" s="198"/>
      <c r="P1" s="198"/>
      <c r="Q1" s="198"/>
      <c r="R1" s="198"/>
      <c r="S1" s="198"/>
      <c r="T1" s="201"/>
      <c r="U1" s="201"/>
      <c r="V1" s="198"/>
      <c r="W1" s="198"/>
    </row>
    <row r="2" spans="2:23" x14ac:dyDescent="0.25">
      <c r="B2" s="82"/>
      <c r="G2" s="198"/>
      <c r="H2" s="198"/>
      <c r="I2" s="198"/>
      <c r="J2" s="199"/>
      <c r="K2" s="200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8"/>
      <c r="W2" s="198"/>
    </row>
    <row r="3" spans="2:23" x14ac:dyDescent="0.25">
      <c r="B3" s="82"/>
      <c r="G3" s="198"/>
      <c r="H3" s="198"/>
      <c r="I3" s="198"/>
      <c r="J3" s="199"/>
      <c r="K3" s="200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</row>
    <row r="4" spans="2:23" x14ac:dyDescent="0.25">
      <c r="B4" s="82"/>
      <c r="G4" s="198"/>
      <c r="H4" s="198"/>
      <c r="I4" s="198"/>
      <c r="J4" s="199"/>
      <c r="K4" s="200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8"/>
      <c r="W4" s="198"/>
    </row>
    <row r="5" spans="2:23" x14ac:dyDescent="0.25">
      <c r="B5" s="82"/>
      <c r="G5" s="199"/>
      <c r="H5" s="198"/>
      <c r="I5" s="198"/>
      <c r="J5" s="199"/>
      <c r="K5" s="200"/>
      <c r="L5" s="198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</row>
    <row r="6" spans="2:23" x14ac:dyDescent="0.25">
      <c r="B6" s="82"/>
      <c r="G6" s="198"/>
      <c r="H6" s="198"/>
      <c r="I6" s="198"/>
      <c r="J6" s="199"/>
      <c r="K6" s="200"/>
      <c r="L6" s="198"/>
      <c r="M6" s="198"/>
      <c r="N6" s="198"/>
      <c r="O6" s="198"/>
      <c r="P6" s="198"/>
      <c r="Q6" s="198"/>
      <c r="R6" s="198"/>
      <c r="S6" s="198"/>
      <c r="T6" s="198"/>
      <c r="U6" s="198"/>
      <c r="V6" s="198"/>
      <c r="W6" s="198"/>
    </row>
    <row r="7" spans="2:23" x14ac:dyDescent="0.25">
      <c r="B7" s="82"/>
      <c r="G7" s="198"/>
      <c r="H7" s="198"/>
      <c r="I7" s="198"/>
      <c r="J7" s="199"/>
      <c r="K7" s="200"/>
      <c r="L7" s="198"/>
      <c r="M7" s="198"/>
      <c r="N7" s="198"/>
      <c r="O7" s="199"/>
      <c r="P7" s="199"/>
      <c r="Q7" s="198"/>
      <c r="R7" s="198"/>
      <c r="S7" s="201"/>
      <c r="T7" s="198"/>
      <c r="U7" s="198"/>
      <c r="V7" s="198"/>
      <c r="W7" s="198"/>
    </row>
    <row r="8" spans="2:23" x14ac:dyDescent="0.25">
      <c r="B8" s="82"/>
      <c r="G8" s="199"/>
      <c r="H8" s="198"/>
      <c r="I8" s="198"/>
      <c r="J8" s="199"/>
      <c r="K8" s="200"/>
      <c r="L8" s="198"/>
      <c r="M8" s="198"/>
      <c r="N8" s="198"/>
      <c r="O8" s="202"/>
      <c r="P8" s="199"/>
      <c r="Q8" s="198"/>
      <c r="R8" s="198"/>
      <c r="S8" s="201"/>
      <c r="T8" s="203"/>
      <c r="U8" s="202"/>
      <c r="V8" s="198"/>
      <c r="W8" s="198"/>
    </row>
    <row r="9" spans="2:23" x14ac:dyDescent="0.25">
      <c r="B9" s="82"/>
      <c r="G9" s="198"/>
      <c r="H9" s="198"/>
      <c r="I9" s="198"/>
      <c r="J9" s="199"/>
      <c r="K9" s="200"/>
      <c r="L9" s="198"/>
      <c r="M9" s="198"/>
      <c r="N9" s="198"/>
      <c r="O9" s="198"/>
      <c r="P9" s="199"/>
      <c r="Q9" s="198"/>
      <c r="R9" s="198"/>
      <c r="S9" s="198"/>
      <c r="T9" s="198"/>
      <c r="U9" s="198"/>
      <c r="V9" s="198"/>
      <c r="W9" s="198"/>
    </row>
    <row r="10" spans="2:23" x14ac:dyDescent="0.25">
      <c r="B10" s="82"/>
      <c r="G10" s="199"/>
      <c r="H10" s="198"/>
      <c r="I10" s="198"/>
      <c r="J10" s="199"/>
      <c r="K10" s="200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98"/>
      <c r="W10" s="198"/>
    </row>
    <row r="11" spans="2:23" x14ac:dyDescent="0.25">
      <c r="B11" s="82"/>
      <c r="G11" s="198"/>
      <c r="H11" s="198"/>
      <c r="I11" s="198"/>
      <c r="J11" s="199"/>
      <c r="K11" s="200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</row>
    <row r="12" spans="2:23" x14ac:dyDescent="0.25">
      <c r="B12" s="82"/>
      <c r="G12" s="198"/>
      <c r="H12" s="198"/>
      <c r="I12" s="198"/>
      <c r="J12" s="199"/>
      <c r="K12" s="200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</row>
    <row r="13" spans="2:23" x14ac:dyDescent="0.25">
      <c r="B13" s="82"/>
      <c r="G13" s="198"/>
      <c r="H13" s="198"/>
      <c r="I13" s="198"/>
      <c r="J13" s="199"/>
      <c r="K13" s="200"/>
      <c r="L13" s="198"/>
      <c r="M13" s="198"/>
      <c r="N13" s="198"/>
      <c r="O13" s="199"/>
      <c r="P13" s="198"/>
      <c r="Q13" s="199"/>
      <c r="R13" s="198"/>
      <c r="S13" s="198"/>
      <c r="T13" s="198"/>
      <c r="U13" s="202"/>
      <c r="V13" s="198"/>
      <c r="W13" s="198"/>
    </row>
    <row r="14" spans="2:23" x14ac:dyDescent="0.25">
      <c r="B14" s="82"/>
      <c r="G14" s="198"/>
      <c r="H14" s="198"/>
      <c r="I14" s="198"/>
      <c r="J14" s="199"/>
      <c r="K14" s="200"/>
      <c r="L14" s="198"/>
      <c r="M14" s="198"/>
      <c r="N14" s="198"/>
      <c r="O14" s="199"/>
      <c r="P14" s="198"/>
      <c r="Q14" s="199"/>
      <c r="R14" s="198"/>
      <c r="S14" s="198"/>
      <c r="T14" s="198"/>
      <c r="U14" s="198"/>
      <c r="V14" s="198"/>
      <c r="W14" s="198"/>
    </row>
    <row r="15" spans="2:23" x14ac:dyDescent="0.25">
      <c r="B15" s="82"/>
      <c r="G15" s="198"/>
      <c r="H15" s="198"/>
      <c r="I15" s="198"/>
      <c r="J15" s="199"/>
      <c r="K15" s="200"/>
      <c r="L15" s="198"/>
      <c r="M15" s="198"/>
      <c r="N15" s="198"/>
      <c r="O15" s="198"/>
      <c r="P15" s="199"/>
      <c r="Q15" s="198"/>
      <c r="R15" s="198"/>
      <c r="S15" s="198"/>
      <c r="T15" s="198"/>
      <c r="U15" s="198"/>
      <c r="V15" s="198"/>
      <c r="W15" s="198"/>
    </row>
    <row r="16" spans="2:23" x14ac:dyDescent="0.25">
      <c r="B16" s="82"/>
      <c r="G16" s="198"/>
      <c r="H16" s="198"/>
      <c r="I16" s="198"/>
      <c r="J16" s="199"/>
      <c r="K16" s="200"/>
      <c r="L16" s="198"/>
      <c r="M16" s="198"/>
      <c r="N16" s="198"/>
      <c r="O16" s="198"/>
      <c r="P16" s="199"/>
      <c r="Q16" s="198"/>
      <c r="R16" s="198"/>
      <c r="S16" s="198"/>
      <c r="T16" s="198"/>
      <c r="U16" s="198"/>
      <c r="V16" s="198"/>
      <c r="W16" s="198"/>
    </row>
    <row r="17" spans="2:23" x14ac:dyDescent="0.25">
      <c r="B17" s="82"/>
      <c r="G17" s="198"/>
      <c r="H17" s="198"/>
      <c r="I17" s="198"/>
      <c r="J17" s="199"/>
      <c r="K17" s="200"/>
      <c r="L17" s="198"/>
      <c r="M17" s="198"/>
      <c r="N17" s="198"/>
      <c r="O17" s="198"/>
      <c r="P17" s="198"/>
      <c r="Q17" s="198"/>
      <c r="R17" s="198"/>
      <c r="S17" s="198"/>
      <c r="T17" s="198"/>
      <c r="U17" s="198"/>
      <c r="V17" s="198"/>
      <c r="W17" s="198"/>
    </row>
    <row r="18" spans="2:23" x14ac:dyDescent="0.25">
      <c r="B18" s="82"/>
      <c r="G18" s="198"/>
      <c r="H18" s="198"/>
      <c r="I18" s="198"/>
      <c r="J18" s="199"/>
      <c r="K18" s="200"/>
      <c r="L18" s="198"/>
      <c r="M18" s="198"/>
      <c r="N18" s="198"/>
      <c r="O18" s="198"/>
      <c r="P18" s="198"/>
      <c r="Q18" s="198"/>
      <c r="R18" s="198"/>
      <c r="S18" s="198"/>
      <c r="T18" s="198"/>
      <c r="U18" s="198"/>
      <c r="V18" s="198"/>
      <c r="W18" s="198"/>
    </row>
    <row r="19" spans="2:23" x14ac:dyDescent="0.25">
      <c r="B19" s="82"/>
      <c r="G19" s="198"/>
      <c r="H19" s="198"/>
      <c r="I19" s="198"/>
      <c r="J19" s="199"/>
      <c r="K19" s="200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198"/>
    </row>
    <row r="20" spans="2:23" x14ac:dyDescent="0.25">
      <c r="B20" s="82"/>
      <c r="G20" s="198"/>
      <c r="H20" s="198"/>
      <c r="I20" s="198"/>
      <c r="J20" s="199"/>
      <c r="K20" s="200"/>
      <c r="L20" s="198"/>
      <c r="M20" s="198"/>
      <c r="N20" s="198"/>
      <c r="O20" s="198"/>
      <c r="P20" s="198"/>
      <c r="Q20" s="198"/>
      <c r="R20" s="198"/>
      <c r="S20" s="198"/>
      <c r="T20" s="198"/>
      <c r="U20" s="198"/>
      <c r="V20" s="198"/>
      <c r="W20" s="198"/>
    </row>
    <row r="21" spans="2:23" x14ac:dyDescent="0.25">
      <c r="B21" s="82"/>
      <c r="G21" s="198"/>
      <c r="H21" s="198"/>
      <c r="I21" s="198"/>
      <c r="J21" s="199"/>
      <c r="K21" s="200"/>
      <c r="L21" s="198"/>
      <c r="M21" s="198"/>
      <c r="N21" s="198"/>
      <c r="O21" s="198"/>
      <c r="P21" s="198"/>
      <c r="Q21" s="198"/>
      <c r="R21" s="198"/>
      <c r="S21" s="198"/>
      <c r="T21" s="198"/>
      <c r="U21" s="198"/>
      <c r="V21" s="198"/>
      <c r="W21" s="198"/>
    </row>
    <row r="22" spans="2:23" x14ac:dyDescent="0.25">
      <c r="B22" s="82"/>
      <c r="G22" s="198"/>
      <c r="H22" s="198"/>
      <c r="I22" s="198"/>
      <c r="J22" s="199"/>
      <c r="K22" s="200"/>
      <c r="L22" s="198"/>
      <c r="M22" s="198"/>
      <c r="N22" s="198"/>
      <c r="O22" s="198"/>
      <c r="P22" s="198"/>
      <c r="Q22" s="198"/>
      <c r="R22" s="198"/>
      <c r="S22" s="198"/>
      <c r="T22" s="198"/>
      <c r="U22" s="198"/>
      <c r="V22" s="198"/>
      <c r="W22" s="198"/>
    </row>
    <row r="23" spans="2:23" x14ac:dyDescent="0.25">
      <c r="B23" s="82"/>
      <c r="G23" s="198"/>
      <c r="H23" s="198"/>
      <c r="I23" s="198"/>
      <c r="J23" s="199"/>
      <c r="K23" s="200"/>
      <c r="L23" s="198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</row>
    <row r="24" spans="2:23" x14ac:dyDescent="0.25">
      <c r="B24" s="82"/>
      <c r="G24" s="198"/>
      <c r="H24" s="198"/>
      <c r="I24" s="198"/>
      <c r="J24" s="199"/>
      <c r="K24" s="200"/>
      <c r="L24" s="198"/>
      <c r="M24" s="198"/>
      <c r="N24" s="198"/>
      <c r="O24" s="202"/>
      <c r="P24" s="198"/>
      <c r="Q24" s="198"/>
      <c r="R24" s="198"/>
      <c r="S24" s="198"/>
      <c r="T24" s="198"/>
      <c r="U24" s="198"/>
      <c r="V24" s="198"/>
      <c r="W24" s="198"/>
    </row>
    <row r="25" spans="2:23" x14ac:dyDescent="0.25">
      <c r="B25" s="82"/>
      <c r="G25" s="198"/>
      <c r="H25" s="198"/>
      <c r="I25" s="198"/>
      <c r="J25" s="199"/>
      <c r="K25" s="200"/>
      <c r="L25" s="198"/>
      <c r="M25" s="198"/>
      <c r="N25" s="198"/>
      <c r="O25" s="202"/>
      <c r="P25" s="198"/>
      <c r="Q25" s="198"/>
      <c r="R25" s="198"/>
      <c r="S25" s="198"/>
      <c r="T25" s="198"/>
      <c r="U25" s="198"/>
      <c r="V25" s="198"/>
      <c r="W25" s="198"/>
    </row>
    <row r="26" spans="2:23" x14ac:dyDescent="0.25">
      <c r="B26" s="82"/>
      <c r="G26" s="198"/>
      <c r="H26" s="198"/>
      <c r="I26" s="198"/>
      <c r="J26" s="199"/>
      <c r="K26" s="200"/>
      <c r="L26" s="198"/>
      <c r="M26" s="198"/>
      <c r="N26" s="198"/>
      <c r="O26" s="204"/>
      <c r="P26" s="204"/>
      <c r="Q26" s="204"/>
      <c r="R26" s="204"/>
      <c r="S26" s="198"/>
      <c r="T26" s="198"/>
      <c r="U26" s="198"/>
      <c r="V26" s="198"/>
      <c r="W26" s="198"/>
    </row>
    <row r="27" spans="2:23" x14ac:dyDescent="0.25">
      <c r="B27" s="82"/>
      <c r="G27" s="198"/>
      <c r="H27" s="198"/>
      <c r="I27" s="198"/>
      <c r="J27" s="199"/>
      <c r="K27" s="200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</row>
    <row r="28" spans="2:23" x14ac:dyDescent="0.25">
      <c r="B28" s="82"/>
      <c r="G28" s="198"/>
      <c r="H28" s="198"/>
      <c r="I28" s="198"/>
      <c r="J28" s="199"/>
      <c r="K28" s="200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198"/>
    </row>
    <row r="29" spans="2:23" x14ac:dyDescent="0.25">
      <c r="B29" s="82"/>
      <c r="G29" s="198"/>
      <c r="H29" s="198"/>
      <c r="I29" s="198"/>
      <c r="J29" s="199"/>
      <c r="K29" s="200"/>
      <c r="L29" s="198"/>
      <c r="M29" s="198"/>
      <c r="N29" s="198"/>
      <c r="O29" s="198"/>
      <c r="P29" s="198"/>
      <c r="Q29" s="198"/>
      <c r="R29" s="198"/>
      <c r="S29" s="198"/>
      <c r="T29" s="198"/>
      <c r="U29" s="198"/>
      <c r="V29" s="198"/>
      <c r="W29" s="198"/>
    </row>
    <row r="30" spans="2:23" x14ac:dyDescent="0.25">
      <c r="B30" s="82"/>
      <c r="K30" s="82"/>
    </row>
    <row r="31" spans="2:23" x14ac:dyDescent="0.25">
      <c r="B31" s="82"/>
      <c r="K31" s="82"/>
    </row>
    <row r="32" spans="2:23" x14ac:dyDescent="0.25">
      <c r="B32" s="82"/>
      <c r="K32" s="82"/>
    </row>
    <row r="33" spans="2:11" x14ac:dyDescent="0.25">
      <c r="B33" s="82"/>
      <c r="K33" s="82"/>
    </row>
    <row r="34" spans="2:11" x14ac:dyDescent="0.25">
      <c r="B34" s="82"/>
      <c r="K34" s="82"/>
    </row>
    <row r="35" spans="2:11" x14ac:dyDescent="0.25">
      <c r="B35" s="82"/>
      <c r="K35" s="82"/>
    </row>
    <row r="36" spans="2:11" x14ac:dyDescent="0.25">
      <c r="B36" s="82"/>
      <c r="K36" s="82"/>
    </row>
    <row r="37" spans="2:11" x14ac:dyDescent="0.25">
      <c r="B37" s="82"/>
      <c r="K37" s="82"/>
    </row>
    <row r="38" spans="2:11" x14ac:dyDescent="0.25">
      <c r="B38" s="82"/>
      <c r="K38" s="82"/>
    </row>
    <row r="39" spans="2:11" x14ac:dyDescent="0.25">
      <c r="B39" s="82"/>
      <c r="K39" s="82"/>
    </row>
    <row r="40" spans="2:11" x14ac:dyDescent="0.25">
      <c r="B40" s="82"/>
      <c r="K40" s="82"/>
    </row>
    <row r="41" spans="2:11" x14ac:dyDescent="0.25">
      <c r="B41" s="82"/>
      <c r="K41" s="82"/>
    </row>
    <row r="42" spans="2:11" x14ac:dyDescent="0.25">
      <c r="B42" s="82"/>
      <c r="K42" s="82"/>
    </row>
    <row r="43" spans="2:11" x14ac:dyDescent="0.25">
      <c r="B43" s="82"/>
      <c r="K43" s="82"/>
    </row>
    <row r="44" spans="2:11" x14ac:dyDescent="0.25">
      <c r="B44" s="82"/>
      <c r="K44" s="82"/>
    </row>
    <row r="45" spans="2:11" x14ac:dyDescent="0.25">
      <c r="B45" s="82"/>
      <c r="K45" s="82"/>
    </row>
    <row r="46" spans="2:11" x14ac:dyDescent="0.25">
      <c r="B46" s="82"/>
      <c r="K46" s="82"/>
    </row>
    <row r="47" spans="2:11" x14ac:dyDescent="0.25">
      <c r="B47" s="82"/>
      <c r="K47" s="82"/>
    </row>
    <row r="48" spans="2:11" x14ac:dyDescent="0.25">
      <c r="B48" s="82"/>
      <c r="K48" s="82"/>
    </row>
    <row r="49" spans="2:11" x14ac:dyDescent="0.25">
      <c r="B49" s="82"/>
      <c r="K49" s="82"/>
    </row>
    <row r="50" spans="2:11" x14ac:dyDescent="0.25">
      <c r="B50" s="82"/>
      <c r="K50" s="82"/>
    </row>
    <row r="51" spans="2:11" x14ac:dyDescent="0.25">
      <c r="B51" s="82"/>
      <c r="K51" s="82"/>
    </row>
    <row r="52" spans="2:11" x14ac:dyDescent="0.25">
      <c r="B52" s="82"/>
      <c r="K52" s="82"/>
    </row>
    <row r="53" spans="2:11" x14ac:dyDescent="0.25">
      <c r="B53" s="82"/>
      <c r="K53" s="82"/>
    </row>
    <row r="54" spans="2:11" x14ac:dyDescent="0.25">
      <c r="B54" s="82"/>
      <c r="K54" s="82"/>
    </row>
    <row r="55" spans="2:11" x14ac:dyDescent="0.25">
      <c r="B55" s="82"/>
      <c r="K55" s="82"/>
    </row>
    <row r="56" spans="2:11" x14ac:dyDescent="0.25">
      <c r="B56" s="82"/>
      <c r="K56" s="82"/>
    </row>
    <row r="57" spans="2:11" x14ac:dyDescent="0.25">
      <c r="B57" s="82"/>
      <c r="K57" s="82"/>
    </row>
    <row r="58" spans="2:11" x14ac:dyDescent="0.25">
      <c r="B58" s="82"/>
      <c r="K58" s="82"/>
    </row>
    <row r="59" spans="2:11" x14ac:dyDescent="0.25">
      <c r="B59" s="82"/>
      <c r="K59" s="82"/>
    </row>
    <row r="60" spans="2:11" x14ac:dyDescent="0.25">
      <c r="B60" s="82"/>
      <c r="K60" s="82"/>
    </row>
    <row r="61" spans="2:11" x14ac:dyDescent="0.25">
      <c r="B61" s="82"/>
      <c r="K61" s="82"/>
    </row>
    <row r="62" spans="2:11" x14ac:dyDescent="0.25">
      <c r="B62" s="82"/>
      <c r="K62" s="82"/>
    </row>
    <row r="63" spans="2:11" x14ac:dyDescent="0.25">
      <c r="B63" s="82"/>
      <c r="K63" s="82"/>
    </row>
    <row r="64" spans="2:11" x14ac:dyDescent="0.25">
      <c r="B64" s="82"/>
      <c r="K64" s="82"/>
    </row>
    <row r="65" spans="2:11" x14ac:dyDescent="0.25">
      <c r="B65" s="82"/>
      <c r="K65" s="82"/>
    </row>
    <row r="66" spans="2:11" x14ac:dyDescent="0.25">
      <c r="B66" s="82"/>
      <c r="K66" s="82"/>
    </row>
    <row r="67" spans="2:11" x14ac:dyDescent="0.25">
      <c r="B67" s="82"/>
      <c r="K67" s="82"/>
    </row>
    <row r="68" spans="2:11" x14ac:dyDescent="0.25">
      <c r="B68" s="82"/>
      <c r="K68" s="82"/>
    </row>
    <row r="69" spans="2:11" x14ac:dyDescent="0.25">
      <c r="B69" s="82"/>
      <c r="K69" s="82"/>
    </row>
    <row r="70" spans="2:11" x14ac:dyDescent="0.25">
      <c r="B70" s="82"/>
      <c r="K70" s="82"/>
    </row>
    <row r="71" spans="2:11" x14ac:dyDescent="0.25">
      <c r="B71" s="82"/>
      <c r="K71" s="82"/>
    </row>
    <row r="72" spans="2:11" x14ac:dyDescent="0.25">
      <c r="B72" s="82"/>
      <c r="K72" s="82"/>
    </row>
    <row r="73" spans="2:11" x14ac:dyDescent="0.25">
      <c r="B73" s="82"/>
      <c r="K73" s="82"/>
    </row>
    <row r="74" spans="2:11" x14ac:dyDescent="0.25">
      <c r="B74" s="82"/>
      <c r="K74" s="82"/>
    </row>
    <row r="75" spans="2:11" x14ac:dyDescent="0.25">
      <c r="B75" s="82"/>
      <c r="K75" s="82"/>
    </row>
    <row r="76" spans="2:11" x14ac:dyDescent="0.25">
      <c r="B76" s="82"/>
      <c r="K76" s="82"/>
    </row>
    <row r="77" spans="2:11" x14ac:dyDescent="0.25">
      <c r="B77" s="82"/>
      <c r="K77" s="82"/>
    </row>
    <row r="78" spans="2:11" x14ac:dyDescent="0.25">
      <c r="B78" s="82"/>
      <c r="K78" s="82"/>
    </row>
    <row r="79" spans="2:11" x14ac:dyDescent="0.25">
      <c r="B79" s="82"/>
      <c r="K79" s="82"/>
    </row>
    <row r="80" spans="2:11" x14ac:dyDescent="0.25">
      <c r="B80" s="82"/>
      <c r="K80" s="82"/>
    </row>
    <row r="81" spans="2:11" x14ac:dyDescent="0.25">
      <c r="B81" s="82"/>
      <c r="K81" s="82"/>
    </row>
    <row r="82" spans="2:11" x14ac:dyDescent="0.25">
      <c r="B82" s="82"/>
      <c r="K82" s="82"/>
    </row>
    <row r="83" spans="2:11" x14ac:dyDescent="0.25">
      <c r="B83" s="82"/>
      <c r="K83" s="82"/>
    </row>
    <row r="84" spans="2:11" x14ac:dyDescent="0.25">
      <c r="B84" s="82"/>
      <c r="K84" s="82"/>
    </row>
    <row r="85" spans="2:11" x14ac:dyDescent="0.25">
      <c r="B85" s="82"/>
      <c r="K85" s="82"/>
    </row>
    <row r="86" spans="2:11" x14ac:dyDescent="0.25">
      <c r="B86" s="82"/>
      <c r="K86" s="82"/>
    </row>
    <row r="87" spans="2:11" x14ac:dyDescent="0.25">
      <c r="B87" s="82"/>
      <c r="K87" s="82"/>
    </row>
    <row r="88" spans="2:11" x14ac:dyDescent="0.25">
      <c r="B88" s="82"/>
      <c r="K88" s="82"/>
    </row>
    <row r="89" spans="2:11" x14ac:dyDescent="0.25">
      <c r="B89" s="82"/>
      <c r="K89" s="82"/>
    </row>
    <row r="90" spans="2:11" x14ac:dyDescent="0.25">
      <c r="B90" s="82"/>
      <c r="K90" s="82"/>
    </row>
    <row r="91" spans="2:11" x14ac:dyDescent="0.25">
      <c r="B91" s="82"/>
      <c r="K91" s="82"/>
    </row>
    <row r="92" spans="2:11" x14ac:dyDescent="0.25">
      <c r="B92" s="82"/>
      <c r="K92" s="82"/>
    </row>
    <row r="93" spans="2:11" x14ac:dyDescent="0.25">
      <c r="B93" s="82"/>
      <c r="K93" s="82"/>
    </row>
    <row r="94" spans="2:11" x14ac:dyDescent="0.25">
      <c r="B94" s="82"/>
      <c r="K94" s="82"/>
    </row>
    <row r="95" spans="2:11" x14ac:dyDescent="0.25">
      <c r="B95" s="82"/>
      <c r="K95" s="82"/>
    </row>
    <row r="96" spans="2:11" x14ac:dyDescent="0.25">
      <c r="B96" s="82"/>
      <c r="K96" s="82"/>
    </row>
    <row r="97" spans="2:11" x14ac:dyDescent="0.25">
      <c r="B97" s="82"/>
      <c r="K97" s="82"/>
    </row>
    <row r="98" spans="2:11" x14ac:dyDescent="0.25">
      <c r="B98" s="82"/>
      <c r="K98" s="82"/>
    </row>
    <row r="99" spans="2:11" x14ac:dyDescent="0.25">
      <c r="B99" s="82"/>
      <c r="K99" s="82"/>
    </row>
    <row r="100" spans="2:11" x14ac:dyDescent="0.25">
      <c r="B100" s="82"/>
      <c r="K100" s="82"/>
    </row>
    <row r="101" spans="2:11" x14ac:dyDescent="0.25">
      <c r="B101" s="82"/>
      <c r="K101" s="8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1"/>
  <dimension ref="A1"/>
  <sheetViews>
    <sheetView topLeftCell="H2" workbookViewId="0">
      <selection activeCell="P20" sqref="P2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Planilha31"/>
  <dimension ref="A1:AC4358"/>
  <sheetViews>
    <sheetView workbookViewId="0">
      <selection activeCell="J4" sqref="J4"/>
    </sheetView>
  </sheetViews>
  <sheetFormatPr defaultRowHeight="15" x14ac:dyDescent="0.25"/>
  <cols>
    <col min="2" max="2" width="13.28515625" customWidth="1"/>
    <col min="10" max="10" width="20.42578125" bestFit="1" customWidth="1"/>
    <col min="12" max="12" width="32.5703125" bestFit="1" customWidth="1"/>
    <col min="15" max="15" width="13.42578125" bestFit="1" customWidth="1"/>
    <col min="17" max="17" width="14.5703125" bestFit="1" customWidth="1"/>
  </cols>
  <sheetData>
    <row r="1" spans="1:29" x14ac:dyDescent="0.25">
      <c r="A1" s="26">
        <f>INICIO!A1</f>
        <v>2021</v>
      </c>
      <c r="B1" s="30" t="str">
        <f>"01/01/"&amp;A1</f>
        <v>01/01/2021</v>
      </c>
      <c r="C1" t="str">
        <f>RELATORIO_05!M3</f>
        <v>Todos</v>
      </c>
      <c r="G1" t="str">
        <f>RELATORIO_03!N1</f>
        <v>Todos</v>
      </c>
      <c r="K1">
        <f ca="1">COUNTA(J2:J1001)+1-COUNTIF(J2:J151,0)</f>
        <v>2</v>
      </c>
      <c r="M1">
        <f ca="1">COUNTA(L2:L1001)+1-COUNTIF(L2:L151,0)</f>
        <v>2</v>
      </c>
      <c r="O1" s="33" t="str">
        <f ca="1">"AUX_03!J2:J"&amp;K1</f>
        <v>AUX_03!J2:J2</v>
      </c>
      <c r="P1" s="33"/>
      <c r="Q1" s="33" t="str">
        <f ca="1">"AUX_03!L2:L"&amp;M1</f>
        <v>AUX_03!L2:L2</v>
      </c>
      <c r="S1">
        <f>COUNTA(T:T)</f>
        <v>0</v>
      </c>
      <c r="AA1" s="282">
        <f>COUNTA(LANÇAMENTOS_01!A:A)</f>
        <v>1</v>
      </c>
      <c r="AB1" s="281">
        <f>COUNTA(LANÇAMENTOS_02!A:A)</f>
        <v>1</v>
      </c>
      <c r="AC1" s="283">
        <f>COUNTA(LANÇAMENTOS_03!A:A)</f>
        <v>1</v>
      </c>
    </row>
    <row r="2" spans="1:29" x14ac:dyDescent="0.25">
      <c r="B2" s="30">
        <f>B1*1</f>
        <v>44197</v>
      </c>
      <c r="J2">
        <f ca="1">IFERROR(LOOKUP(1,1/(COUNTIF($J$1:J1,INDIRECT("CADASTRO_01!$B$2:B"&amp;COUNTA(CADASTRO_01!A:A)))=0),INDIRECT("CADASTRO_01!$B$2:B"&amp;COUNTA(CADASTRO_01!A:A))),0)</f>
        <v>0</v>
      </c>
      <c r="K2">
        <f ca="1">IF(RELATORIO_03!$O$1=1,(IF(RELATORIO_03!$N$1="Todos",SUMIFS(LANÇAMENTOS_01!$J:$J,LANÇAMENTOS_01!$L:$L,"&lt;&gt;"&amp;$I$1,LANÇAMENTOS_01!$C:$C,AUX_03!J2,LANÇAMENTOS_01!$L:$L,"&gt;="&amp;RELATORIO_03!$O$3,LANÇAMENTOS_01!$L:$L,"&lt;="&amp;RELATORIO_03!$P$14),SUMIFS(LANÇAMENTOS_01!$J:$J,LANÇAMENTOS_01!$C:$C,AUX_03!J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,LANÇAMENTOS_01!$K:$K,"&gt;="&amp;RELATORIO_03!$O$3,LANÇAMENTOS_01!$K:$K,"&lt;="&amp;RELATORIO_03!$P$14),SUMIFS(LANÇAMENTOS_01!$J:$J,LANÇAMENTOS_01!$C:$C,AUX_03!J2,LANÇAMENTOS_01!$K:$K,"&gt;="&amp;RELATORIO_03!$O$3,LANÇAMENTOS_01!$K:$K,"&lt;="&amp;RELATORIO_03!$P$14,LANÇAMENTOS_01!$H:$H,RELATORIO_03!$N$1)))</f>
        <v>0</v>
      </c>
      <c r="L2">
        <f ca="1">IFERROR(LOOKUP(1,1/(COUNTIF($L$1:L1,INDIRECT("CADASTRO_02!$B$2:B"&amp;COUNTA(CADASTRO_02!A:A)))=0),INDIRECT("CADASTRO_02!$B$2:B"&amp;COUNTA(CADASTRO_02!A:A))),0)</f>
        <v>0</v>
      </c>
      <c r="M2">
        <f ca="1">IF(RELATORIO_03!$O$1=1,(IF(RELATORIO_03!$N$1="Todos",SUMIFS(LANÇAMENTOS_02!$J:$J,LANÇAMENTOS_02!$L:$L,"&lt;&gt;"&amp;$I$1,LANÇAMENTOS_02!$C:$C,AUX_03!L2,LANÇAMENTOS_02!$L:$L,"&gt;="&amp;RELATORIO_03!$O$3,LANÇAMENTOS_02!$L:$L,"&lt;="&amp;RELATORIO_03!$P$14),SUMIFS(LANÇAMENTOS_02!$J:$J,LANÇAMENTOS_02!$C:$C,AUX_03!L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,LANÇAMENTOS_02!$K:$K,"&gt;="&amp;RELATORIO_03!$O$3,LANÇAMENTOS_02!$K:$K,"&lt;="&amp;RELATORIO_03!$P$14),SUMIFS(LANÇAMENTOS_02!$J:$J,LANÇAMENTOS_02!$C:$C,AUX_03!L2,LANÇAMENTOS_02!$K:$K,"&gt;="&amp;RELATORIO_03!$O$3,LANÇAMENTOS_02!$K:$K,"&lt;="&amp;RELATORIO_03!$P$14,LANÇAMENTOS_02!$H:$H,RELATORIO_03!$N$1)))</f>
        <v>0</v>
      </c>
      <c r="O2" s="33" t="str">
        <f ca="1">"AUX_03!K2:K"&amp;K1</f>
        <v>AUX_03!K2:K2</v>
      </c>
      <c r="P2" s="33"/>
      <c r="Q2" s="33" t="str">
        <f ca="1">"AUX_03!M2:M"&amp;M1</f>
        <v>AUX_03!M2:M2</v>
      </c>
    </row>
    <row r="3" spans="1:29" x14ac:dyDescent="0.25">
      <c r="B3" s="31">
        <f>B2-1</f>
        <v>44196</v>
      </c>
      <c r="F3" s="33">
        <f>IF($C$1="Todos",SUM(CADASTRO_04!C:C),SUMIFS(CADASTRO_04!C:C,CADASTRO_04!B:B,C1))</f>
        <v>0</v>
      </c>
      <c r="I3" s="33">
        <f>SUM(CADASTRO_04!C:C)</f>
        <v>0</v>
      </c>
      <c r="J3" t="str">
        <f ca="1">IFERROR(LOOKUP(1,1/(COUNTIF($J$1:J2,INDIRECT("CADASTRO_01!$B$2:B"&amp;COUNTA(CADASTRO_01!A:A)))=0),INDIRECT("CADASTRO_01!$B$2:B"&amp;COUNTA(CADASTRO_01!A:A))),0)</f>
        <v>Grupo de Contas</v>
      </c>
      <c r="K3">
        <f ca="1">IF(RELATORIO_03!$O$1=1,(IF(RELATORIO_03!$N$1="Todos",SUMIFS(LANÇAMENTOS_01!$J:$J,LANÇAMENTOS_01!$L:$L,"&lt;&gt;"&amp;$I$1,LANÇAMENTOS_01!$C:$C,AUX_03!J3,LANÇAMENTOS_01!$L:$L,"&gt;="&amp;RELATORIO_03!$O$3,LANÇAMENTOS_01!$L:$L,"&lt;="&amp;RELATORIO_03!$P$14),SUMIFS(LANÇAMENTOS_01!$J:$J,LANÇAMENTOS_01!$C:$C,AUX_03!J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,LANÇAMENTOS_01!$K:$K,"&gt;="&amp;RELATORIO_03!$O$3,LANÇAMENTOS_01!$K:$K,"&lt;="&amp;RELATORIO_03!$P$14),SUMIFS(LANÇAMENTOS_01!$J:$J,LANÇAMENTOS_01!$C:$C,AUX_03!J3,LANÇAMENTOS_01!$K:$K,"&gt;="&amp;RELATORIO_03!$O$3,LANÇAMENTOS_01!$K:$K,"&lt;="&amp;RELATORIO_03!$P$14,LANÇAMENTOS_01!$H:$H,RELATORIO_03!$N$1)))</f>
        <v>0</v>
      </c>
      <c r="L3" t="str">
        <f ca="1">IFERROR(LOOKUP(1,1/(COUNTIF($L$1:L2,INDIRECT("CADASTRO_02!$B$2:B"&amp;COUNTA(CADASTRO_02!A:A)))=0),INDIRECT("CADASTRO_02!$B$2:B"&amp;COUNTA(CADASTRO_02!A:A))),0)</f>
        <v>Grupo de Contas</v>
      </c>
      <c r="M3">
        <f ca="1">IF(RELATORIO_03!$O$1=1,(IF(RELATORIO_03!$N$1="Todos",SUMIFS(LANÇAMENTOS_02!$J:$J,LANÇAMENTOS_02!$L:$L,"&lt;&gt;"&amp;$I$1,LANÇAMENTOS_02!$C:$C,AUX_03!L3,LANÇAMENTOS_02!$L:$L,"&gt;="&amp;RELATORIO_03!$O$3,LANÇAMENTOS_02!$L:$L,"&lt;="&amp;RELATORIO_03!$P$14),SUMIFS(LANÇAMENTOS_02!$J:$J,LANÇAMENTOS_02!$C:$C,AUX_03!L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,LANÇAMENTOS_02!$K:$K,"&gt;="&amp;RELATORIO_03!$O$3,LANÇAMENTOS_02!$K:$K,"&lt;="&amp;RELATORIO_03!$P$14),SUMIFS(LANÇAMENTOS_02!$J:$J,LANÇAMENTOS_02!$C:$C,AUX_03!L3,LANÇAMENTOS_02!$K:$K,"&gt;="&amp;RELATORIO_03!$O$3,LANÇAMENTOS_02!$K:$K,"&lt;="&amp;RELATORIO_03!$P$14,LANÇAMENTOS_02!$H:$H,RELATORIO_03!$N$1)))</f>
        <v>0</v>
      </c>
    </row>
    <row r="4" spans="1:29" x14ac:dyDescent="0.25">
      <c r="B4" s="31">
        <f>B3+1</f>
        <v>44197</v>
      </c>
      <c r="C4">
        <f>IF($C$1="Todos",SUMIFS(LANÇAMENTOS_01!J:J,LANÇAMENTOS_01!L:L,B4),SUMIFS(LANÇAMENTOS_01!J:J,LANÇAMENTOS_01!L:L,B4,LANÇAMENTOS_01!G:G,AUX_03!$C$1))</f>
        <v>0</v>
      </c>
      <c r="D4">
        <f>IF($C$1="Todos",SUMIFS(LANÇAMENTOS_02!J:J,LANÇAMENTOS_02!L:L,B4),SUMIFS(LANÇAMENTOS_02!J:J,LANÇAMENTOS_02!L:L,B4,LANÇAMENTOS_02!G:G,AUX_03!$C$1))</f>
        <v>0</v>
      </c>
      <c r="E4">
        <f>IF($C$1="Todos",SUMIFS(LANÇAMENTOS_03!J:J,LANÇAMENTOS_03!L:L,B4),SUMIFS(LANÇAMENTOS_03!J:J,LANÇAMENTOS_03!L:L,B4,LANÇAMENTOS_03!G:G,AUX_03!$C$1))</f>
        <v>0</v>
      </c>
      <c r="F4" s="32">
        <f>F3+C4-D4+E4</f>
        <v>0</v>
      </c>
      <c r="G4">
        <f>IF($G$1="Todos",SUMIFS(LANÇAMENTOS_01!J:J,LANÇAMENTOS_01!L:L,B4),SUMIFS(LANÇAMENTOS_01!J:J,LANÇAMENTOS_01!L:L,B4,LANÇAMENTOS_01!H:H,$G$1))</f>
        <v>0</v>
      </c>
      <c r="H4">
        <f>IF($G$1="Todos",SUMIFS(LANÇAMENTOS_02!J:J,LANÇAMENTOS_02!L:L,B4),SUMIFS(LANÇAMENTOS_02!J:J,LANÇAMENTOS_02!L:L,B4,LANÇAMENTOS_02!H:H,$G$1))</f>
        <v>0</v>
      </c>
      <c r="I4" s="32">
        <f>I3+G4-H4</f>
        <v>0</v>
      </c>
      <c r="J4">
        <f ca="1">IFERROR(LOOKUP(1,1/(COUNTIF($J$1:J3,INDIRECT("CADASTRO_01!$B$2:B"&amp;COUNTA(CADASTRO_01!A:A)))=0),INDIRECT("CADASTRO_01!$B$2:B"&amp;COUNTA(CADASTRO_01!A:A))),0)</f>
        <v>0</v>
      </c>
      <c r="K4">
        <f ca="1">IF(RELATORIO_03!$O$1=1,(IF(RELATORIO_03!$N$1="Todos",SUMIFS(LANÇAMENTOS_01!$J:$J,LANÇAMENTOS_01!$L:$L,"&lt;&gt;"&amp;$I$1,LANÇAMENTOS_01!$C:$C,AUX_03!J4,LANÇAMENTOS_01!$L:$L,"&gt;="&amp;RELATORIO_03!$O$3,LANÇAMENTOS_01!$L:$L,"&lt;="&amp;RELATORIO_03!$P$14),SUMIFS(LANÇAMENTOS_01!$J:$J,LANÇAMENTOS_01!$C:$C,AUX_03!J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,LANÇAMENTOS_01!$K:$K,"&gt;="&amp;RELATORIO_03!$O$3,LANÇAMENTOS_01!$K:$K,"&lt;="&amp;RELATORIO_03!$P$14),SUMIFS(LANÇAMENTOS_01!$J:$J,LANÇAMENTOS_01!$C:$C,AUX_03!J4,LANÇAMENTOS_01!$K:$K,"&gt;="&amp;RELATORIO_03!$O$3,LANÇAMENTOS_01!$K:$K,"&lt;="&amp;RELATORIO_03!$P$14,LANÇAMENTOS_01!$H:$H,RELATORIO_03!$N$1)))</f>
        <v>0</v>
      </c>
      <c r="L4">
        <f ca="1">IFERROR(LOOKUP(1,1/(COUNTIF($L$1:L3,INDIRECT("CADASTRO_02!$B$2:B"&amp;COUNTA(CADASTRO_02!A:A)))=0),INDIRECT("CADASTRO_02!$B$2:B"&amp;COUNTA(CADASTRO_02!A:A))),0)</f>
        <v>0</v>
      </c>
      <c r="M4">
        <f ca="1">IF(RELATORIO_03!$O$1=1,(IF(RELATORIO_03!$N$1="Todos",SUMIFS(LANÇAMENTOS_02!$J:$J,LANÇAMENTOS_02!$L:$L,"&lt;&gt;"&amp;$I$1,LANÇAMENTOS_02!$C:$C,AUX_03!L4,LANÇAMENTOS_02!$L:$L,"&gt;="&amp;RELATORIO_03!$O$3,LANÇAMENTOS_02!$L:$L,"&lt;="&amp;RELATORIO_03!$P$14),SUMIFS(LANÇAMENTOS_02!$J:$J,LANÇAMENTOS_02!$C:$C,AUX_03!L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,LANÇAMENTOS_02!$K:$K,"&gt;="&amp;RELATORIO_03!$O$3,LANÇAMENTOS_02!$K:$K,"&lt;="&amp;RELATORIO_03!$P$14),SUMIFS(LANÇAMENTOS_02!$J:$J,LANÇAMENTOS_02!$C:$C,AUX_03!L4,LANÇAMENTOS_02!$K:$K,"&gt;="&amp;RELATORIO_03!$O$3,LANÇAMENTOS_02!$K:$K,"&lt;="&amp;RELATORIO_03!$P$14,LANÇAMENTOS_02!$H:$H,RELATORIO_03!$N$1)))</f>
        <v>0</v>
      </c>
    </row>
    <row r="5" spans="1:29" x14ac:dyDescent="0.25">
      <c r="B5" s="31">
        <v>43832</v>
      </c>
      <c r="C5">
        <v>2500</v>
      </c>
      <c r="D5">
        <v>0</v>
      </c>
      <c r="E5">
        <v>0</v>
      </c>
      <c r="F5" s="32">
        <v>3865</v>
      </c>
      <c r="G5">
        <v>2500</v>
      </c>
      <c r="H5">
        <v>0</v>
      </c>
      <c r="I5" s="32">
        <v>3865</v>
      </c>
      <c r="J5">
        <f ca="1">IFERROR(LOOKUP(1,1/(COUNTIF($J$1:J4,INDIRECT("CADASTRO_01!$B$2:B"&amp;COUNTA(CADASTRO_01!A:A)))=0),INDIRECT("CADASTRO_01!$B$2:B"&amp;COUNTA(CADASTRO_01!A:A))),0)</f>
        <v>0</v>
      </c>
      <c r="K5">
        <f ca="1">IF(RELATORIO_03!$O$1=1,(IF(RELATORIO_03!$N$1="Todos",SUMIFS(LANÇAMENTOS_01!$J:$J,LANÇAMENTOS_01!$L:$L,"&lt;&gt;"&amp;$I$1,LANÇAMENTOS_01!$C:$C,AUX_03!J5,LANÇAMENTOS_01!$L:$L,"&gt;="&amp;RELATORIO_03!$O$3,LANÇAMENTOS_01!$L:$L,"&lt;="&amp;RELATORIO_03!$P$14),SUMIFS(LANÇAMENTOS_01!$J:$J,LANÇAMENTOS_01!$C:$C,AUX_03!J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,LANÇAMENTOS_01!$K:$K,"&gt;="&amp;RELATORIO_03!$O$3,LANÇAMENTOS_01!$K:$K,"&lt;="&amp;RELATORIO_03!$P$14),SUMIFS(LANÇAMENTOS_01!$J:$J,LANÇAMENTOS_01!$C:$C,AUX_03!J5,LANÇAMENTOS_01!$K:$K,"&gt;="&amp;RELATORIO_03!$O$3,LANÇAMENTOS_01!$K:$K,"&lt;="&amp;RELATORIO_03!$P$14,LANÇAMENTOS_01!$H:$H,RELATORIO_03!$N$1)))</f>
        <v>0</v>
      </c>
      <c r="L5">
        <f ca="1">IFERROR(LOOKUP(1,1/(COUNTIF($L$1:L4,INDIRECT("CADASTRO_02!$B$2:B"&amp;COUNTA(CADASTRO_02!A:A)))=0),INDIRECT("CADASTRO_02!$B$2:B"&amp;COUNTA(CADASTRO_02!A:A))),0)</f>
        <v>0</v>
      </c>
      <c r="M5">
        <f ca="1">IF(RELATORIO_03!$O$1=1,(IF(RELATORIO_03!$N$1="Todos",SUMIFS(LANÇAMENTOS_02!$J:$J,LANÇAMENTOS_02!$L:$L,"&lt;&gt;"&amp;$I$1,LANÇAMENTOS_02!$C:$C,AUX_03!L5,LANÇAMENTOS_02!$L:$L,"&gt;="&amp;RELATORIO_03!$O$3,LANÇAMENTOS_02!$L:$L,"&lt;="&amp;RELATORIO_03!$P$14),SUMIFS(LANÇAMENTOS_02!$J:$J,LANÇAMENTOS_02!$C:$C,AUX_03!L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,LANÇAMENTOS_02!$K:$K,"&gt;="&amp;RELATORIO_03!$O$3,LANÇAMENTOS_02!$K:$K,"&lt;="&amp;RELATORIO_03!$P$14),SUMIFS(LANÇAMENTOS_02!$J:$J,LANÇAMENTOS_02!$C:$C,AUX_03!L5,LANÇAMENTOS_02!$K:$K,"&gt;="&amp;RELATORIO_03!$O$3,LANÇAMENTOS_02!$K:$K,"&lt;="&amp;RELATORIO_03!$P$14,LANÇAMENTOS_02!$H:$H,RELATORIO_03!$N$1)))</f>
        <v>0</v>
      </c>
    </row>
    <row r="6" spans="1:29" x14ac:dyDescent="0.25">
      <c r="B6" s="31">
        <v>43833</v>
      </c>
      <c r="C6">
        <v>0</v>
      </c>
      <c r="D6">
        <v>0</v>
      </c>
      <c r="E6">
        <v>0</v>
      </c>
      <c r="F6" s="32">
        <v>3865</v>
      </c>
      <c r="G6">
        <v>0</v>
      </c>
      <c r="H6">
        <v>0</v>
      </c>
      <c r="I6" s="32">
        <v>3865</v>
      </c>
      <c r="J6">
        <f ca="1">IFERROR(LOOKUP(1,1/(COUNTIF($J$1:J5,INDIRECT("CADASTRO_01!$B$2:B"&amp;COUNTA(CADASTRO_01!A:A)))=0),INDIRECT("CADASTRO_01!$B$2:B"&amp;COUNTA(CADASTRO_01!A:A))),0)</f>
        <v>0</v>
      </c>
      <c r="K6">
        <f ca="1">IF(RELATORIO_03!$O$1=1,(IF(RELATORIO_03!$N$1="Todos",SUMIFS(LANÇAMENTOS_01!$J:$J,LANÇAMENTOS_01!$L:$L,"&lt;&gt;"&amp;$I$1,LANÇAMENTOS_01!$C:$C,AUX_03!J6,LANÇAMENTOS_01!$L:$L,"&gt;="&amp;RELATORIO_03!$O$3,LANÇAMENTOS_01!$L:$L,"&lt;="&amp;RELATORIO_03!$P$14),SUMIFS(LANÇAMENTOS_01!$J:$J,LANÇAMENTOS_01!$C:$C,AUX_03!J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,LANÇAMENTOS_01!$K:$K,"&gt;="&amp;RELATORIO_03!$O$3,LANÇAMENTOS_01!$K:$K,"&lt;="&amp;RELATORIO_03!$P$14),SUMIFS(LANÇAMENTOS_01!$J:$J,LANÇAMENTOS_01!$C:$C,AUX_03!J6,LANÇAMENTOS_01!$K:$K,"&gt;="&amp;RELATORIO_03!$O$3,LANÇAMENTOS_01!$K:$K,"&lt;="&amp;RELATORIO_03!$P$14,LANÇAMENTOS_01!$H:$H,RELATORIO_03!$N$1)))</f>
        <v>0</v>
      </c>
      <c r="L6">
        <f ca="1">IFERROR(LOOKUP(1,1/(COUNTIF($L$1:L5,INDIRECT("CADASTRO_02!$B$2:B"&amp;COUNTA(CADASTRO_02!A:A)))=0),INDIRECT("CADASTRO_02!$B$2:B"&amp;COUNTA(CADASTRO_02!A:A))),0)</f>
        <v>0</v>
      </c>
      <c r="M6">
        <f ca="1">IF(RELATORIO_03!$O$1=1,(IF(RELATORIO_03!$N$1="Todos",SUMIFS(LANÇAMENTOS_02!$J:$J,LANÇAMENTOS_02!$L:$L,"&lt;&gt;"&amp;$I$1,LANÇAMENTOS_02!$C:$C,AUX_03!L6,LANÇAMENTOS_02!$L:$L,"&gt;="&amp;RELATORIO_03!$O$3,LANÇAMENTOS_02!$L:$L,"&lt;="&amp;RELATORIO_03!$P$14),SUMIFS(LANÇAMENTOS_02!$J:$J,LANÇAMENTOS_02!$C:$C,AUX_03!L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,LANÇAMENTOS_02!$K:$K,"&gt;="&amp;RELATORIO_03!$O$3,LANÇAMENTOS_02!$K:$K,"&lt;="&amp;RELATORIO_03!$P$14),SUMIFS(LANÇAMENTOS_02!$J:$J,LANÇAMENTOS_02!$C:$C,AUX_03!L6,LANÇAMENTOS_02!$K:$K,"&gt;="&amp;RELATORIO_03!$O$3,LANÇAMENTOS_02!$K:$K,"&lt;="&amp;RELATORIO_03!$P$14,LANÇAMENTOS_02!$H:$H,RELATORIO_03!$N$1)))</f>
        <v>0</v>
      </c>
    </row>
    <row r="7" spans="1:29" x14ac:dyDescent="0.25">
      <c r="B7" s="31"/>
      <c r="F7" s="32"/>
      <c r="I7" s="32"/>
      <c r="J7">
        <f ca="1">IFERROR(LOOKUP(1,1/(COUNTIF($J$1:J6,INDIRECT("CADASTRO_01!$B$2:B"&amp;COUNTA(CADASTRO_01!A:A)))=0),INDIRECT("CADASTRO_01!$B$2:B"&amp;COUNTA(CADASTRO_01!A:A))),0)</f>
        <v>0</v>
      </c>
      <c r="K7">
        <f ca="1">IF(RELATORIO_03!$O$1=1,(IF(RELATORIO_03!$N$1="Todos",SUMIFS(LANÇAMENTOS_01!$J:$J,LANÇAMENTOS_01!$L:$L,"&lt;&gt;"&amp;$I$1,LANÇAMENTOS_01!$C:$C,AUX_03!J7,LANÇAMENTOS_01!$L:$L,"&gt;="&amp;RELATORIO_03!$O$3,LANÇAMENTOS_01!$L:$L,"&lt;="&amp;RELATORIO_03!$P$14),SUMIFS(LANÇAMENTOS_01!$J:$J,LANÇAMENTOS_01!$C:$C,AUX_03!J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,LANÇAMENTOS_01!$K:$K,"&gt;="&amp;RELATORIO_03!$O$3,LANÇAMENTOS_01!$K:$K,"&lt;="&amp;RELATORIO_03!$P$14),SUMIFS(LANÇAMENTOS_01!$J:$J,LANÇAMENTOS_01!$C:$C,AUX_03!J7,LANÇAMENTOS_01!$K:$K,"&gt;="&amp;RELATORIO_03!$O$3,LANÇAMENTOS_01!$K:$K,"&lt;="&amp;RELATORIO_03!$P$14,LANÇAMENTOS_01!$H:$H,RELATORIO_03!$N$1)))</f>
        <v>0</v>
      </c>
      <c r="L7">
        <f ca="1">IFERROR(LOOKUP(1,1/(COUNTIF($L$1:L6,INDIRECT("CADASTRO_02!$B$2:B"&amp;COUNTA(CADASTRO_02!A:A)))=0),INDIRECT("CADASTRO_02!$B$2:B"&amp;COUNTA(CADASTRO_02!A:A))),0)</f>
        <v>0</v>
      </c>
      <c r="M7">
        <f ca="1">IF(RELATORIO_03!$O$1=1,(IF(RELATORIO_03!$N$1="Todos",SUMIFS(LANÇAMENTOS_02!$J:$J,LANÇAMENTOS_02!$L:$L,"&lt;&gt;"&amp;$I$1,LANÇAMENTOS_02!$C:$C,AUX_03!L7,LANÇAMENTOS_02!$L:$L,"&gt;="&amp;RELATORIO_03!$O$3,LANÇAMENTOS_02!$L:$L,"&lt;="&amp;RELATORIO_03!$P$14),SUMIFS(LANÇAMENTOS_02!$J:$J,LANÇAMENTOS_02!$C:$C,AUX_03!L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,LANÇAMENTOS_02!$K:$K,"&gt;="&amp;RELATORIO_03!$O$3,LANÇAMENTOS_02!$K:$K,"&lt;="&amp;RELATORIO_03!$P$14),SUMIFS(LANÇAMENTOS_02!$J:$J,LANÇAMENTOS_02!$C:$C,AUX_03!L7,LANÇAMENTOS_02!$K:$K,"&gt;="&amp;RELATORIO_03!$O$3,LANÇAMENTOS_02!$K:$K,"&lt;="&amp;RELATORIO_03!$P$14,LANÇAMENTOS_02!$H:$H,RELATORIO_03!$N$1)))</f>
        <v>0</v>
      </c>
    </row>
    <row r="8" spans="1:29" x14ac:dyDescent="0.25">
      <c r="B8" s="31"/>
      <c r="F8" s="32"/>
      <c r="I8" s="32"/>
      <c r="J8">
        <f ca="1">IFERROR(LOOKUP(1,1/(COUNTIF($J$1:J7,INDIRECT("CADASTRO_01!$B$2:B"&amp;COUNTA(CADASTRO_01!A:A)))=0),INDIRECT("CADASTRO_01!$B$2:B"&amp;COUNTA(CADASTRO_01!A:A))),0)</f>
        <v>0</v>
      </c>
      <c r="K8">
        <f ca="1">IF(RELATORIO_03!$O$1=1,(IF(RELATORIO_03!$N$1="Todos",SUMIFS(LANÇAMENTOS_01!$J:$J,LANÇAMENTOS_01!$L:$L,"&lt;&gt;"&amp;$I$1,LANÇAMENTOS_01!$C:$C,AUX_03!J8,LANÇAMENTOS_01!$L:$L,"&gt;="&amp;RELATORIO_03!$O$3,LANÇAMENTOS_01!$L:$L,"&lt;="&amp;RELATORIO_03!$P$14),SUMIFS(LANÇAMENTOS_01!$J:$J,LANÇAMENTOS_01!$C:$C,AUX_03!J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,LANÇAMENTOS_01!$K:$K,"&gt;="&amp;RELATORIO_03!$O$3,LANÇAMENTOS_01!$K:$K,"&lt;="&amp;RELATORIO_03!$P$14),SUMIFS(LANÇAMENTOS_01!$J:$J,LANÇAMENTOS_01!$C:$C,AUX_03!J8,LANÇAMENTOS_01!$K:$K,"&gt;="&amp;RELATORIO_03!$O$3,LANÇAMENTOS_01!$K:$K,"&lt;="&amp;RELATORIO_03!$P$14,LANÇAMENTOS_01!$H:$H,RELATORIO_03!$N$1)))</f>
        <v>0</v>
      </c>
      <c r="L8">
        <f ca="1">IFERROR(LOOKUP(1,1/(COUNTIF($L$1:L7,INDIRECT("CADASTRO_02!$B$2:B"&amp;COUNTA(CADASTRO_02!A:A)))=0),INDIRECT("CADASTRO_02!$B$2:B"&amp;COUNTA(CADASTRO_02!A:A))),0)</f>
        <v>0</v>
      </c>
      <c r="M8">
        <f ca="1">IF(RELATORIO_03!$O$1=1,(IF(RELATORIO_03!$N$1="Todos",SUMIFS(LANÇAMENTOS_02!$J:$J,LANÇAMENTOS_02!$L:$L,"&lt;&gt;"&amp;$I$1,LANÇAMENTOS_02!$C:$C,AUX_03!L8,LANÇAMENTOS_02!$L:$L,"&gt;="&amp;RELATORIO_03!$O$3,LANÇAMENTOS_02!$L:$L,"&lt;="&amp;RELATORIO_03!$P$14),SUMIFS(LANÇAMENTOS_02!$J:$J,LANÇAMENTOS_02!$C:$C,AUX_03!L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,LANÇAMENTOS_02!$K:$K,"&gt;="&amp;RELATORIO_03!$O$3,LANÇAMENTOS_02!$K:$K,"&lt;="&amp;RELATORIO_03!$P$14),SUMIFS(LANÇAMENTOS_02!$J:$J,LANÇAMENTOS_02!$C:$C,AUX_03!L8,LANÇAMENTOS_02!$K:$K,"&gt;="&amp;RELATORIO_03!$O$3,LANÇAMENTOS_02!$K:$K,"&lt;="&amp;RELATORIO_03!$P$14,LANÇAMENTOS_02!$H:$H,RELATORIO_03!$N$1)))</f>
        <v>0</v>
      </c>
    </row>
    <row r="9" spans="1:29" x14ac:dyDescent="0.25">
      <c r="B9" s="31"/>
      <c r="F9" s="32"/>
      <c r="I9" s="32"/>
      <c r="J9">
        <f ca="1">IFERROR(LOOKUP(1,1/(COUNTIF($J$1:J8,INDIRECT("CADASTRO_01!$B$2:B"&amp;COUNTA(CADASTRO_01!A:A)))=0),INDIRECT("CADASTRO_01!$B$2:B"&amp;COUNTA(CADASTRO_01!A:A))),0)</f>
        <v>0</v>
      </c>
      <c r="K9">
        <f ca="1">IF(RELATORIO_03!$O$1=1,(IF(RELATORIO_03!$N$1="Todos",SUMIFS(LANÇAMENTOS_01!$J:$J,LANÇAMENTOS_01!$L:$L,"&lt;&gt;"&amp;$I$1,LANÇAMENTOS_01!$C:$C,AUX_03!J9,LANÇAMENTOS_01!$L:$L,"&gt;="&amp;RELATORIO_03!$O$3,LANÇAMENTOS_01!$L:$L,"&lt;="&amp;RELATORIO_03!$P$14),SUMIFS(LANÇAMENTOS_01!$J:$J,LANÇAMENTOS_01!$C:$C,AUX_03!J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,LANÇAMENTOS_01!$K:$K,"&gt;="&amp;RELATORIO_03!$O$3,LANÇAMENTOS_01!$K:$K,"&lt;="&amp;RELATORIO_03!$P$14),SUMIFS(LANÇAMENTOS_01!$J:$J,LANÇAMENTOS_01!$C:$C,AUX_03!J9,LANÇAMENTOS_01!$K:$K,"&gt;="&amp;RELATORIO_03!$O$3,LANÇAMENTOS_01!$K:$K,"&lt;="&amp;RELATORIO_03!$P$14,LANÇAMENTOS_01!$H:$H,RELATORIO_03!$N$1)))</f>
        <v>0</v>
      </c>
      <c r="L9">
        <f ca="1">IFERROR(LOOKUP(1,1/(COUNTIF($L$1:L8,INDIRECT("CADASTRO_02!$B$2:B"&amp;COUNTA(CADASTRO_02!A:A)))=0),INDIRECT("CADASTRO_02!$B$2:B"&amp;COUNTA(CADASTRO_02!A:A))),0)</f>
        <v>0</v>
      </c>
      <c r="M9">
        <f ca="1">IF(RELATORIO_03!$O$1=1,(IF(RELATORIO_03!$N$1="Todos",SUMIFS(LANÇAMENTOS_02!$J:$J,LANÇAMENTOS_02!$L:$L,"&lt;&gt;"&amp;$I$1,LANÇAMENTOS_02!$C:$C,AUX_03!L9,LANÇAMENTOS_02!$L:$L,"&gt;="&amp;RELATORIO_03!$O$3,LANÇAMENTOS_02!$L:$L,"&lt;="&amp;RELATORIO_03!$P$14),SUMIFS(LANÇAMENTOS_02!$J:$J,LANÇAMENTOS_02!$C:$C,AUX_03!L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,LANÇAMENTOS_02!$K:$K,"&gt;="&amp;RELATORIO_03!$O$3,LANÇAMENTOS_02!$K:$K,"&lt;="&amp;RELATORIO_03!$P$14),SUMIFS(LANÇAMENTOS_02!$J:$J,LANÇAMENTOS_02!$C:$C,AUX_03!L9,LANÇAMENTOS_02!$K:$K,"&gt;="&amp;RELATORIO_03!$O$3,LANÇAMENTOS_02!$K:$K,"&lt;="&amp;RELATORIO_03!$P$14,LANÇAMENTOS_02!$H:$H,RELATORIO_03!$N$1)))</f>
        <v>0</v>
      </c>
    </row>
    <row r="10" spans="1:29" x14ac:dyDescent="0.25">
      <c r="B10" s="31"/>
      <c r="F10" s="32"/>
      <c r="I10" s="32"/>
      <c r="J10">
        <f ca="1">IFERROR(LOOKUP(1,1/(COUNTIF($J$1:J9,INDIRECT("CADASTRO_01!$B$2:B"&amp;COUNTA(CADASTRO_01!A:A)))=0),INDIRECT("CADASTRO_01!$B$2:B"&amp;COUNTA(CADASTRO_01!A:A))),0)</f>
        <v>0</v>
      </c>
      <c r="K10">
        <f ca="1">IF(RELATORIO_03!$O$1=1,(IF(RELATORIO_03!$N$1="Todos",SUMIFS(LANÇAMENTOS_01!$J:$J,LANÇAMENTOS_01!$L:$L,"&lt;&gt;"&amp;$I$1,LANÇAMENTOS_01!$C:$C,AUX_03!J10,LANÇAMENTOS_01!$L:$L,"&gt;="&amp;RELATORIO_03!$O$3,LANÇAMENTOS_01!$L:$L,"&lt;="&amp;RELATORIO_03!$P$14),SUMIFS(LANÇAMENTOS_01!$J:$J,LANÇAMENTOS_01!$C:$C,AUX_03!J10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,LANÇAMENTOS_01!$K:$K,"&gt;="&amp;RELATORIO_03!$O$3,LANÇAMENTOS_01!$K:$K,"&lt;="&amp;RELATORIO_03!$P$14),SUMIFS(LANÇAMENTOS_01!$J:$J,LANÇAMENTOS_01!$C:$C,AUX_03!J10,LANÇAMENTOS_01!$K:$K,"&gt;="&amp;RELATORIO_03!$O$3,LANÇAMENTOS_01!$K:$K,"&lt;="&amp;RELATORIO_03!$P$14,LANÇAMENTOS_01!$H:$H,RELATORIO_03!$N$1)))</f>
        <v>0</v>
      </c>
      <c r="L10">
        <f ca="1">IFERROR(LOOKUP(1,1/(COUNTIF($L$1:L9,INDIRECT("CADASTRO_02!$B$2:B"&amp;COUNTA(CADASTRO_02!A:A)))=0),INDIRECT("CADASTRO_02!$B$2:B"&amp;COUNTA(CADASTRO_02!A:A))),0)</f>
        <v>0</v>
      </c>
      <c r="M10">
        <f ca="1">IF(RELATORIO_03!$O$1=1,(IF(RELATORIO_03!$N$1="Todos",SUMIFS(LANÇAMENTOS_02!$J:$J,LANÇAMENTOS_02!$L:$L,"&lt;&gt;"&amp;$I$1,LANÇAMENTOS_02!$C:$C,AUX_03!L10,LANÇAMENTOS_02!$L:$L,"&gt;="&amp;RELATORIO_03!$O$3,LANÇAMENTOS_02!$L:$L,"&lt;="&amp;RELATORIO_03!$P$14),SUMIFS(LANÇAMENTOS_02!$J:$J,LANÇAMENTOS_02!$C:$C,AUX_03!L10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,LANÇAMENTOS_02!$K:$K,"&gt;="&amp;RELATORIO_03!$O$3,LANÇAMENTOS_02!$K:$K,"&lt;="&amp;RELATORIO_03!$P$14),SUMIFS(LANÇAMENTOS_02!$J:$J,LANÇAMENTOS_02!$C:$C,AUX_03!L10,LANÇAMENTOS_02!$K:$K,"&gt;="&amp;RELATORIO_03!$O$3,LANÇAMENTOS_02!$K:$K,"&lt;="&amp;RELATORIO_03!$P$14,LANÇAMENTOS_02!$H:$H,RELATORIO_03!$N$1)))</f>
        <v>0</v>
      </c>
    </row>
    <row r="11" spans="1:29" x14ac:dyDescent="0.25">
      <c r="B11" s="31"/>
      <c r="F11" s="32"/>
      <c r="I11" s="32"/>
      <c r="J11">
        <f ca="1">IFERROR(LOOKUP(1,1/(COUNTIF($J$1:J10,INDIRECT("CADASTRO_01!$B$2:B"&amp;COUNTA(CADASTRO_01!A:A)))=0),INDIRECT("CADASTRO_01!$B$2:B"&amp;COUNTA(CADASTRO_01!A:A))),0)</f>
        <v>0</v>
      </c>
      <c r="K11">
        <f ca="1">IF(RELATORIO_03!$O$1=1,(IF(RELATORIO_03!$N$1="Todos",SUMIFS(LANÇAMENTOS_01!$J:$J,LANÇAMENTOS_01!$L:$L,"&lt;&gt;"&amp;$I$1,LANÇAMENTOS_01!$C:$C,AUX_03!J11,LANÇAMENTOS_01!$L:$L,"&gt;="&amp;RELATORIO_03!$O$3,LANÇAMENTOS_01!$L:$L,"&lt;="&amp;RELATORIO_03!$P$14),SUMIFS(LANÇAMENTOS_01!$J:$J,LANÇAMENTOS_01!$C:$C,AUX_03!J11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,LANÇAMENTOS_01!$K:$K,"&gt;="&amp;RELATORIO_03!$O$3,LANÇAMENTOS_01!$K:$K,"&lt;="&amp;RELATORIO_03!$P$14),SUMIFS(LANÇAMENTOS_01!$J:$J,LANÇAMENTOS_01!$C:$C,AUX_03!J11,LANÇAMENTOS_01!$K:$K,"&gt;="&amp;RELATORIO_03!$O$3,LANÇAMENTOS_01!$K:$K,"&lt;="&amp;RELATORIO_03!$P$14,LANÇAMENTOS_01!$H:$H,RELATORIO_03!$N$1)))</f>
        <v>0</v>
      </c>
      <c r="L11">
        <f ca="1">IFERROR(LOOKUP(1,1/(COUNTIF($L$1:L10,INDIRECT("CADASTRO_02!$B$2:B"&amp;COUNTA(CADASTRO_02!A:A)))=0),INDIRECT("CADASTRO_02!$B$2:B"&amp;COUNTA(CADASTRO_02!A:A))),0)</f>
        <v>0</v>
      </c>
      <c r="M11">
        <f ca="1">IF(RELATORIO_03!$O$1=1,(IF(RELATORIO_03!$N$1="Todos",SUMIFS(LANÇAMENTOS_02!$J:$J,LANÇAMENTOS_02!$L:$L,"&lt;&gt;"&amp;$I$1,LANÇAMENTOS_02!$C:$C,AUX_03!L11,LANÇAMENTOS_02!$L:$L,"&gt;="&amp;RELATORIO_03!$O$3,LANÇAMENTOS_02!$L:$L,"&lt;="&amp;RELATORIO_03!$P$14),SUMIFS(LANÇAMENTOS_02!$J:$J,LANÇAMENTOS_02!$C:$C,AUX_03!L11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,LANÇAMENTOS_02!$K:$K,"&gt;="&amp;RELATORIO_03!$O$3,LANÇAMENTOS_02!$K:$K,"&lt;="&amp;RELATORIO_03!$P$14),SUMIFS(LANÇAMENTOS_02!$J:$J,LANÇAMENTOS_02!$C:$C,AUX_03!L11,LANÇAMENTOS_02!$K:$K,"&gt;="&amp;RELATORIO_03!$O$3,LANÇAMENTOS_02!$K:$K,"&lt;="&amp;RELATORIO_03!$P$14,LANÇAMENTOS_02!$H:$H,RELATORIO_03!$N$1)))</f>
        <v>0</v>
      </c>
    </row>
    <row r="12" spans="1:29" x14ac:dyDescent="0.25">
      <c r="B12" s="31"/>
      <c r="F12" s="32"/>
      <c r="I12" s="32"/>
      <c r="J12">
        <f ca="1">IFERROR(LOOKUP(1,1/(COUNTIF($J$1:J11,INDIRECT("CADASTRO_01!$B$2:B"&amp;COUNTA(CADASTRO_01!A:A)))=0),INDIRECT("CADASTRO_01!$B$2:B"&amp;COUNTA(CADASTRO_01!A:A))),0)</f>
        <v>0</v>
      </c>
      <c r="K12">
        <f ca="1">IF(RELATORIO_03!$O$1=1,(IF(RELATORIO_03!$N$1="Todos",SUMIFS(LANÇAMENTOS_01!$J:$J,LANÇAMENTOS_01!$L:$L,"&lt;&gt;"&amp;$I$1,LANÇAMENTOS_01!$C:$C,AUX_03!J12,LANÇAMENTOS_01!$L:$L,"&gt;="&amp;RELATORIO_03!$O$3,LANÇAMENTOS_01!$L:$L,"&lt;="&amp;RELATORIO_03!$P$14),SUMIFS(LANÇAMENTOS_01!$J:$J,LANÇAMENTOS_01!$C:$C,AUX_03!J12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,LANÇAMENTOS_01!$K:$K,"&gt;="&amp;RELATORIO_03!$O$3,LANÇAMENTOS_01!$K:$K,"&lt;="&amp;RELATORIO_03!$P$14),SUMIFS(LANÇAMENTOS_01!$J:$J,LANÇAMENTOS_01!$C:$C,AUX_03!J12,LANÇAMENTOS_01!$K:$K,"&gt;="&amp;RELATORIO_03!$O$3,LANÇAMENTOS_01!$K:$K,"&lt;="&amp;RELATORIO_03!$P$14,LANÇAMENTOS_01!$H:$H,RELATORIO_03!$N$1)))</f>
        <v>0</v>
      </c>
      <c r="L12">
        <f ca="1">IFERROR(LOOKUP(1,1/(COUNTIF($L$1:L11,INDIRECT("CADASTRO_02!$B$2:B"&amp;COUNTA(CADASTRO_02!A:A)))=0),INDIRECT("CADASTRO_02!$B$2:B"&amp;COUNTA(CADASTRO_02!A:A))),0)</f>
        <v>0</v>
      </c>
      <c r="M12">
        <f ca="1">IF(RELATORIO_03!$O$1=1,(IF(RELATORIO_03!$N$1="Todos",SUMIFS(LANÇAMENTOS_02!$J:$J,LANÇAMENTOS_02!$L:$L,"&lt;&gt;"&amp;$I$1,LANÇAMENTOS_02!$C:$C,AUX_03!L12,LANÇAMENTOS_02!$L:$L,"&gt;="&amp;RELATORIO_03!$O$3,LANÇAMENTOS_02!$L:$L,"&lt;="&amp;RELATORIO_03!$P$14),SUMIFS(LANÇAMENTOS_02!$J:$J,LANÇAMENTOS_02!$C:$C,AUX_03!L12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,LANÇAMENTOS_02!$K:$K,"&gt;="&amp;RELATORIO_03!$O$3,LANÇAMENTOS_02!$K:$K,"&lt;="&amp;RELATORIO_03!$P$14),SUMIFS(LANÇAMENTOS_02!$J:$J,LANÇAMENTOS_02!$C:$C,AUX_03!L12,LANÇAMENTOS_02!$K:$K,"&gt;="&amp;RELATORIO_03!$O$3,LANÇAMENTOS_02!$K:$K,"&lt;="&amp;RELATORIO_03!$P$14,LANÇAMENTOS_02!$H:$H,RELATORIO_03!$N$1)))</f>
        <v>0</v>
      </c>
    </row>
    <row r="13" spans="1:29" x14ac:dyDescent="0.25">
      <c r="B13" s="31"/>
      <c r="F13" s="32"/>
      <c r="I13" s="32"/>
      <c r="J13">
        <f ca="1">IFERROR(LOOKUP(1,1/(COUNTIF($J$1:J12,INDIRECT("CADASTRO_01!$B$2:B"&amp;COUNTA(CADASTRO_01!A:A)))=0),INDIRECT("CADASTRO_01!$B$2:B"&amp;COUNTA(CADASTRO_01!A:A))),0)</f>
        <v>0</v>
      </c>
      <c r="K13">
        <f ca="1">IF(RELATORIO_03!$O$1=1,(IF(RELATORIO_03!$N$1="Todos",SUMIFS(LANÇAMENTOS_01!$J:$J,LANÇAMENTOS_01!$L:$L,"&lt;&gt;"&amp;$I$1,LANÇAMENTOS_01!$C:$C,AUX_03!J13,LANÇAMENTOS_01!$L:$L,"&gt;="&amp;RELATORIO_03!$O$3,LANÇAMENTOS_01!$L:$L,"&lt;="&amp;RELATORIO_03!$P$14),SUMIFS(LANÇAMENTOS_01!$J:$J,LANÇAMENTOS_01!$C:$C,AUX_03!J13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,LANÇAMENTOS_01!$K:$K,"&gt;="&amp;RELATORIO_03!$O$3,LANÇAMENTOS_01!$K:$K,"&lt;="&amp;RELATORIO_03!$P$14),SUMIFS(LANÇAMENTOS_01!$J:$J,LANÇAMENTOS_01!$C:$C,AUX_03!J13,LANÇAMENTOS_01!$K:$K,"&gt;="&amp;RELATORIO_03!$O$3,LANÇAMENTOS_01!$K:$K,"&lt;="&amp;RELATORIO_03!$P$14,LANÇAMENTOS_01!$H:$H,RELATORIO_03!$N$1)))</f>
        <v>0</v>
      </c>
      <c r="L13">
        <f ca="1">IFERROR(LOOKUP(1,1/(COUNTIF($L$1:L12,INDIRECT("CADASTRO_02!$B$2:B"&amp;COUNTA(CADASTRO_02!A:A)))=0),INDIRECT("CADASTRO_02!$B$2:B"&amp;COUNTA(CADASTRO_02!A:A))),0)</f>
        <v>0</v>
      </c>
      <c r="M13">
        <f ca="1">IF(RELATORIO_03!$O$1=1,(IF(RELATORIO_03!$N$1="Todos",SUMIFS(LANÇAMENTOS_02!$J:$J,LANÇAMENTOS_02!$L:$L,"&lt;&gt;"&amp;$I$1,LANÇAMENTOS_02!$C:$C,AUX_03!L13,LANÇAMENTOS_02!$L:$L,"&gt;="&amp;RELATORIO_03!$O$3,LANÇAMENTOS_02!$L:$L,"&lt;="&amp;RELATORIO_03!$P$14),SUMIFS(LANÇAMENTOS_02!$J:$J,LANÇAMENTOS_02!$C:$C,AUX_03!L13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,LANÇAMENTOS_02!$K:$K,"&gt;="&amp;RELATORIO_03!$O$3,LANÇAMENTOS_02!$K:$K,"&lt;="&amp;RELATORIO_03!$P$14),SUMIFS(LANÇAMENTOS_02!$J:$J,LANÇAMENTOS_02!$C:$C,AUX_03!L13,LANÇAMENTOS_02!$K:$K,"&gt;="&amp;RELATORIO_03!$O$3,LANÇAMENTOS_02!$K:$K,"&lt;="&amp;RELATORIO_03!$P$14,LANÇAMENTOS_02!$H:$H,RELATORIO_03!$N$1)))</f>
        <v>0</v>
      </c>
    </row>
    <row r="14" spans="1:29" x14ac:dyDescent="0.25">
      <c r="B14" s="31"/>
      <c r="F14" s="32"/>
      <c r="I14" s="32"/>
      <c r="J14">
        <f ca="1">IFERROR(LOOKUP(1,1/(COUNTIF($J$1:J13,INDIRECT("CADASTRO_01!$B$2:B"&amp;COUNTA(CADASTRO_01!A:A)))=0),INDIRECT("CADASTRO_01!$B$2:B"&amp;COUNTA(CADASTRO_01!A:A))),0)</f>
        <v>0</v>
      </c>
      <c r="K14">
        <f ca="1">IF(RELATORIO_03!$O$1=1,(IF(RELATORIO_03!$N$1="Todos",SUMIFS(LANÇAMENTOS_01!$J:$J,LANÇAMENTOS_01!$L:$L,"&lt;&gt;"&amp;$I$1,LANÇAMENTOS_01!$C:$C,AUX_03!J14,LANÇAMENTOS_01!$L:$L,"&gt;="&amp;RELATORIO_03!$O$3,LANÇAMENTOS_01!$L:$L,"&lt;="&amp;RELATORIO_03!$P$14),SUMIFS(LANÇAMENTOS_01!$J:$J,LANÇAMENTOS_01!$C:$C,AUX_03!J14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,LANÇAMENTOS_01!$K:$K,"&gt;="&amp;RELATORIO_03!$O$3,LANÇAMENTOS_01!$K:$K,"&lt;="&amp;RELATORIO_03!$P$14),SUMIFS(LANÇAMENTOS_01!$J:$J,LANÇAMENTOS_01!$C:$C,AUX_03!J14,LANÇAMENTOS_01!$K:$K,"&gt;="&amp;RELATORIO_03!$O$3,LANÇAMENTOS_01!$K:$K,"&lt;="&amp;RELATORIO_03!$P$14,LANÇAMENTOS_01!$H:$H,RELATORIO_03!$N$1)))</f>
        <v>0</v>
      </c>
      <c r="L14">
        <f ca="1">IFERROR(LOOKUP(1,1/(COUNTIF($L$1:L13,INDIRECT("CADASTRO_02!$B$2:B"&amp;COUNTA(CADASTRO_02!A:A)))=0),INDIRECT("CADASTRO_02!$B$2:B"&amp;COUNTA(CADASTRO_02!A:A))),0)</f>
        <v>0</v>
      </c>
      <c r="M14">
        <f ca="1">IF(RELATORIO_03!$O$1=1,(IF(RELATORIO_03!$N$1="Todos",SUMIFS(LANÇAMENTOS_02!$J:$J,LANÇAMENTOS_02!$L:$L,"&lt;&gt;"&amp;$I$1,LANÇAMENTOS_02!$C:$C,AUX_03!L14,LANÇAMENTOS_02!$L:$L,"&gt;="&amp;RELATORIO_03!$O$3,LANÇAMENTOS_02!$L:$L,"&lt;="&amp;RELATORIO_03!$P$14),SUMIFS(LANÇAMENTOS_02!$J:$J,LANÇAMENTOS_02!$C:$C,AUX_03!L14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,LANÇAMENTOS_02!$K:$K,"&gt;="&amp;RELATORIO_03!$O$3,LANÇAMENTOS_02!$K:$K,"&lt;="&amp;RELATORIO_03!$P$14),SUMIFS(LANÇAMENTOS_02!$J:$J,LANÇAMENTOS_02!$C:$C,AUX_03!L14,LANÇAMENTOS_02!$K:$K,"&gt;="&amp;RELATORIO_03!$O$3,LANÇAMENTOS_02!$K:$K,"&lt;="&amp;RELATORIO_03!$P$14,LANÇAMENTOS_02!$H:$H,RELATORIO_03!$N$1)))</f>
        <v>0</v>
      </c>
    </row>
    <row r="15" spans="1:29" x14ac:dyDescent="0.25">
      <c r="B15" s="31"/>
      <c r="F15" s="32"/>
      <c r="I15" s="32"/>
      <c r="J15">
        <f ca="1">IFERROR(LOOKUP(1,1/(COUNTIF($J$1:J14,INDIRECT("CADASTRO_01!$B$2:B"&amp;COUNTA(CADASTRO_01!A:A)))=0),INDIRECT("CADASTRO_01!$B$2:B"&amp;COUNTA(CADASTRO_01!A:A))),0)</f>
        <v>0</v>
      </c>
      <c r="K15">
        <f ca="1">IF(RELATORIO_03!$O$1=1,(IF(RELATORIO_03!$N$1="Todos",SUMIFS(LANÇAMENTOS_01!$J:$J,LANÇAMENTOS_01!$L:$L,"&lt;&gt;"&amp;$I$1,LANÇAMENTOS_01!$C:$C,AUX_03!J15,LANÇAMENTOS_01!$L:$L,"&gt;="&amp;RELATORIO_03!$O$3,LANÇAMENTOS_01!$L:$L,"&lt;="&amp;RELATORIO_03!$P$14),SUMIFS(LANÇAMENTOS_01!$J:$J,LANÇAMENTOS_01!$C:$C,AUX_03!J15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15,LANÇAMENTOS_01!$K:$K,"&gt;="&amp;RELATORIO_03!$O$3,LANÇAMENTOS_01!$K:$K,"&lt;="&amp;RELATORIO_03!$P$14),SUMIFS(LANÇAMENTOS_01!$J:$J,LANÇAMENTOS_01!$C:$C,AUX_03!J15,LANÇAMENTOS_01!$K:$K,"&gt;="&amp;RELATORIO_03!$O$3,LANÇAMENTOS_01!$K:$K,"&lt;="&amp;RELATORIO_03!$P$14,LANÇAMENTOS_01!$H:$H,RELATORIO_03!$N$1)))</f>
        <v>0</v>
      </c>
      <c r="L15">
        <f ca="1">IFERROR(LOOKUP(1,1/(COUNTIF($L$1:L14,INDIRECT("CADASTRO_02!$B$2:B"&amp;COUNTA(CADASTRO_02!A:A)))=0),INDIRECT("CADASTRO_02!$B$2:B"&amp;COUNTA(CADASTRO_02!A:A))),0)</f>
        <v>0</v>
      </c>
      <c r="M15">
        <f ca="1">IF(RELATORIO_03!$O$1=1,(IF(RELATORIO_03!$N$1="Todos",SUMIFS(LANÇAMENTOS_02!$J:$J,LANÇAMENTOS_02!$L:$L,"&lt;&gt;"&amp;$I$1,LANÇAMENTOS_02!$C:$C,AUX_03!L15,LANÇAMENTOS_02!$L:$L,"&gt;="&amp;RELATORIO_03!$O$3,LANÇAMENTOS_02!$L:$L,"&lt;="&amp;RELATORIO_03!$P$14),SUMIFS(LANÇAMENTOS_02!$J:$J,LANÇAMENTOS_02!$C:$C,AUX_03!L15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15,LANÇAMENTOS_02!$K:$K,"&gt;="&amp;RELATORIO_03!$O$3,LANÇAMENTOS_02!$K:$K,"&lt;="&amp;RELATORIO_03!$P$14),SUMIFS(LANÇAMENTOS_02!$J:$J,LANÇAMENTOS_02!$C:$C,AUX_03!L15,LANÇAMENTOS_02!$K:$K,"&gt;="&amp;RELATORIO_03!$O$3,LANÇAMENTOS_02!$K:$K,"&lt;="&amp;RELATORIO_03!$P$14,LANÇAMENTOS_02!$H:$H,RELATORIO_03!$N$1)))</f>
        <v>0</v>
      </c>
    </row>
    <row r="16" spans="1:29" x14ac:dyDescent="0.25">
      <c r="B16" s="31"/>
      <c r="F16" s="32"/>
      <c r="I16" s="32"/>
      <c r="J16">
        <f ca="1">IFERROR(LOOKUP(1,1/(COUNTIF($J$1:J15,INDIRECT("CADASTRO_01!$B$2:B"&amp;COUNTA(CADASTRO_01!A:A)))=0),INDIRECT("CADASTRO_01!$B$2:B"&amp;COUNTA(CADASTRO_01!A:A))),0)</f>
        <v>0</v>
      </c>
      <c r="K16">
        <f ca="1">IF(RELATORIO_03!$O$1=1,(IF(RELATORIO_03!$N$1="Todos",SUMIFS(LANÇAMENTOS_01!$J:$J,LANÇAMENTOS_01!$L:$L,"&lt;&gt;"&amp;$I$1,LANÇAMENTOS_01!$C:$C,AUX_03!J16,LANÇAMENTOS_01!$L:$L,"&gt;="&amp;RELATORIO_03!$O$3,LANÇAMENTOS_01!$L:$L,"&lt;="&amp;RELATORIO_03!$P$14),SUMIFS(LANÇAMENTOS_01!$J:$J,LANÇAMENTOS_01!$C:$C,AUX_03!J16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16,LANÇAMENTOS_01!$K:$K,"&gt;="&amp;RELATORIO_03!$O$3,LANÇAMENTOS_01!$K:$K,"&lt;="&amp;RELATORIO_03!$P$14),SUMIFS(LANÇAMENTOS_01!$J:$J,LANÇAMENTOS_01!$C:$C,AUX_03!J16,LANÇAMENTOS_01!$K:$K,"&gt;="&amp;RELATORIO_03!$O$3,LANÇAMENTOS_01!$K:$K,"&lt;="&amp;RELATORIO_03!$P$14,LANÇAMENTOS_01!$H:$H,RELATORIO_03!$N$1)))</f>
        <v>0</v>
      </c>
      <c r="L16">
        <f ca="1">IFERROR(LOOKUP(1,1/(COUNTIF($L$1:L15,INDIRECT("CADASTRO_02!$B$2:B"&amp;COUNTA(CADASTRO_02!A:A)))=0),INDIRECT("CADASTRO_02!$B$2:B"&amp;COUNTA(CADASTRO_02!A:A))),0)</f>
        <v>0</v>
      </c>
      <c r="M16">
        <f ca="1">IF(RELATORIO_03!$O$1=1,(IF(RELATORIO_03!$N$1="Todos",SUMIFS(LANÇAMENTOS_02!$J:$J,LANÇAMENTOS_02!$L:$L,"&lt;&gt;"&amp;$I$1,LANÇAMENTOS_02!$C:$C,AUX_03!L16,LANÇAMENTOS_02!$L:$L,"&gt;="&amp;RELATORIO_03!$O$3,LANÇAMENTOS_02!$L:$L,"&lt;="&amp;RELATORIO_03!$P$14),SUMIFS(LANÇAMENTOS_02!$J:$J,LANÇAMENTOS_02!$C:$C,AUX_03!L16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16,LANÇAMENTOS_02!$K:$K,"&gt;="&amp;RELATORIO_03!$O$3,LANÇAMENTOS_02!$K:$K,"&lt;="&amp;RELATORIO_03!$P$14),SUMIFS(LANÇAMENTOS_02!$J:$J,LANÇAMENTOS_02!$C:$C,AUX_03!L16,LANÇAMENTOS_02!$K:$K,"&gt;="&amp;RELATORIO_03!$O$3,LANÇAMENTOS_02!$K:$K,"&lt;="&amp;RELATORIO_03!$P$14,LANÇAMENTOS_02!$H:$H,RELATORIO_03!$N$1)))</f>
        <v>0</v>
      </c>
    </row>
    <row r="17" spans="2:13" x14ac:dyDescent="0.25">
      <c r="B17" s="31"/>
      <c r="F17" s="32"/>
      <c r="I17" s="32"/>
      <c r="J17">
        <f ca="1">IFERROR(LOOKUP(1,1/(COUNTIF($J$1:J16,INDIRECT("CADASTRO_01!$B$2:B"&amp;COUNTA(CADASTRO_01!A:A)))=0),INDIRECT("CADASTRO_01!$B$2:B"&amp;COUNTA(CADASTRO_01!A:A))),0)</f>
        <v>0</v>
      </c>
      <c r="K17">
        <f ca="1">IF(RELATORIO_03!$O$1=1,(IF(RELATORIO_03!$N$1="Todos",SUMIFS(LANÇAMENTOS_01!$J:$J,LANÇAMENTOS_01!$L:$L,"&lt;&gt;"&amp;$I$1,LANÇAMENTOS_01!$C:$C,AUX_03!J17,LANÇAMENTOS_01!$L:$L,"&gt;="&amp;RELATORIO_03!$O$3,LANÇAMENTOS_01!$L:$L,"&lt;="&amp;RELATORIO_03!$P$14),SUMIFS(LANÇAMENTOS_01!$J:$J,LANÇAMENTOS_01!$C:$C,AUX_03!J17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17,LANÇAMENTOS_01!$K:$K,"&gt;="&amp;RELATORIO_03!$O$3,LANÇAMENTOS_01!$K:$K,"&lt;="&amp;RELATORIO_03!$P$14),SUMIFS(LANÇAMENTOS_01!$J:$J,LANÇAMENTOS_01!$C:$C,AUX_03!J17,LANÇAMENTOS_01!$K:$K,"&gt;="&amp;RELATORIO_03!$O$3,LANÇAMENTOS_01!$K:$K,"&lt;="&amp;RELATORIO_03!$P$14,LANÇAMENTOS_01!$H:$H,RELATORIO_03!$N$1)))</f>
        <v>0</v>
      </c>
      <c r="L17">
        <f ca="1">IFERROR(LOOKUP(1,1/(COUNTIF($L$1:L16,INDIRECT("CADASTRO_02!$B$2:B"&amp;COUNTA(CADASTRO_02!A:A)))=0),INDIRECT("CADASTRO_02!$B$2:B"&amp;COUNTA(CADASTRO_02!A:A))),0)</f>
        <v>0</v>
      </c>
      <c r="M17">
        <f ca="1">IF(RELATORIO_03!$O$1=1,(IF(RELATORIO_03!$N$1="Todos",SUMIFS(LANÇAMENTOS_02!$J:$J,LANÇAMENTOS_02!$L:$L,"&lt;&gt;"&amp;$I$1,LANÇAMENTOS_02!$C:$C,AUX_03!L17,LANÇAMENTOS_02!$L:$L,"&gt;="&amp;RELATORIO_03!$O$3,LANÇAMENTOS_02!$L:$L,"&lt;="&amp;RELATORIO_03!$P$14),SUMIFS(LANÇAMENTOS_02!$J:$J,LANÇAMENTOS_02!$C:$C,AUX_03!L17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17,LANÇAMENTOS_02!$K:$K,"&gt;="&amp;RELATORIO_03!$O$3,LANÇAMENTOS_02!$K:$K,"&lt;="&amp;RELATORIO_03!$P$14),SUMIFS(LANÇAMENTOS_02!$J:$J,LANÇAMENTOS_02!$C:$C,AUX_03!L17,LANÇAMENTOS_02!$K:$K,"&gt;="&amp;RELATORIO_03!$O$3,LANÇAMENTOS_02!$K:$K,"&lt;="&amp;RELATORIO_03!$P$14,LANÇAMENTOS_02!$H:$H,RELATORIO_03!$N$1)))</f>
        <v>0</v>
      </c>
    </row>
    <row r="18" spans="2:13" x14ac:dyDescent="0.25">
      <c r="B18" s="31"/>
      <c r="F18" s="32"/>
      <c r="I18" s="32"/>
      <c r="J18">
        <f ca="1">IFERROR(LOOKUP(1,1/(COUNTIF($J$1:J17,INDIRECT("CADASTRO_01!$B$2:B"&amp;COUNTA(CADASTRO_01!A:A)))=0),INDIRECT("CADASTRO_01!$B$2:B"&amp;COUNTA(CADASTRO_01!A:A))),0)</f>
        <v>0</v>
      </c>
      <c r="K18">
        <f ca="1">IF(RELATORIO_03!$O$1=1,(IF(RELATORIO_03!$N$1="Todos",SUMIFS(LANÇAMENTOS_01!$J:$J,LANÇAMENTOS_01!$L:$L,"&lt;&gt;"&amp;$I$1,LANÇAMENTOS_01!$C:$C,AUX_03!J18,LANÇAMENTOS_01!$L:$L,"&gt;="&amp;RELATORIO_03!$O$3,LANÇAMENTOS_01!$L:$L,"&lt;="&amp;RELATORIO_03!$P$14),SUMIFS(LANÇAMENTOS_01!$J:$J,LANÇAMENTOS_01!$C:$C,AUX_03!J18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18,LANÇAMENTOS_01!$K:$K,"&gt;="&amp;RELATORIO_03!$O$3,LANÇAMENTOS_01!$K:$K,"&lt;="&amp;RELATORIO_03!$P$14),SUMIFS(LANÇAMENTOS_01!$J:$J,LANÇAMENTOS_01!$C:$C,AUX_03!J18,LANÇAMENTOS_01!$K:$K,"&gt;="&amp;RELATORIO_03!$O$3,LANÇAMENTOS_01!$K:$K,"&lt;="&amp;RELATORIO_03!$P$14,LANÇAMENTOS_01!$H:$H,RELATORIO_03!$N$1)))</f>
        <v>0</v>
      </c>
      <c r="L18">
        <f ca="1">IFERROR(LOOKUP(1,1/(COUNTIF($L$1:L17,INDIRECT("CADASTRO_02!$B$2:B"&amp;COUNTA(CADASTRO_02!A:A)))=0),INDIRECT("CADASTRO_02!$B$2:B"&amp;COUNTA(CADASTRO_02!A:A))),0)</f>
        <v>0</v>
      </c>
      <c r="M18">
        <f ca="1">IF(RELATORIO_03!$O$1=1,(IF(RELATORIO_03!$N$1="Todos",SUMIFS(LANÇAMENTOS_02!$J:$J,LANÇAMENTOS_02!$L:$L,"&lt;&gt;"&amp;$I$1,LANÇAMENTOS_02!$C:$C,AUX_03!L18,LANÇAMENTOS_02!$L:$L,"&gt;="&amp;RELATORIO_03!$O$3,LANÇAMENTOS_02!$L:$L,"&lt;="&amp;RELATORIO_03!$P$14),SUMIFS(LANÇAMENTOS_02!$J:$J,LANÇAMENTOS_02!$C:$C,AUX_03!L18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18,LANÇAMENTOS_02!$K:$K,"&gt;="&amp;RELATORIO_03!$O$3,LANÇAMENTOS_02!$K:$K,"&lt;="&amp;RELATORIO_03!$P$14),SUMIFS(LANÇAMENTOS_02!$J:$J,LANÇAMENTOS_02!$C:$C,AUX_03!L18,LANÇAMENTOS_02!$K:$K,"&gt;="&amp;RELATORIO_03!$O$3,LANÇAMENTOS_02!$K:$K,"&lt;="&amp;RELATORIO_03!$P$14,LANÇAMENTOS_02!$H:$H,RELATORIO_03!$N$1)))</f>
        <v>0</v>
      </c>
    </row>
    <row r="19" spans="2:13" x14ac:dyDescent="0.25">
      <c r="B19" s="31"/>
      <c r="F19" s="32"/>
      <c r="I19" s="32"/>
      <c r="J19">
        <f ca="1">IFERROR(LOOKUP(1,1/(COUNTIF($J$1:J18,INDIRECT("CADASTRO_01!$B$2:B"&amp;COUNTA(CADASTRO_01!A:A)))=0),INDIRECT("CADASTRO_01!$B$2:B"&amp;COUNTA(CADASTRO_01!A:A))),0)</f>
        <v>0</v>
      </c>
      <c r="K19">
        <f ca="1">IF(RELATORIO_03!$O$1=1,(IF(RELATORIO_03!$N$1="Todos",SUMIFS(LANÇAMENTOS_01!$J:$J,LANÇAMENTOS_01!$L:$L,"&lt;&gt;"&amp;$I$1,LANÇAMENTOS_01!$C:$C,AUX_03!J19,LANÇAMENTOS_01!$L:$L,"&gt;="&amp;RELATORIO_03!$O$3,LANÇAMENTOS_01!$L:$L,"&lt;="&amp;RELATORIO_03!$P$14),SUMIFS(LANÇAMENTOS_01!$J:$J,LANÇAMENTOS_01!$C:$C,AUX_03!J19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19,LANÇAMENTOS_01!$K:$K,"&gt;="&amp;RELATORIO_03!$O$3,LANÇAMENTOS_01!$K:$K,"&lt;="&amp;RELATORIO_03!$P$14),SUMIFS(LANÇAMENTOS_01!$J:$J,LANÇAMENTOS_01!$C:$C,AUX_03!J19,LANÇAMENTOS_01!$K:$K,"&gt;="&amp;RELATORIO_03!$O$3,LANÇAMENTOS_01!$K:$K,"&lt;="&amp;RELATORIO_03!$P$14,LANÇAMENTOS_01!$H:$H,RELATORIO_03!$N$1)))</f>
        <v>0</v>
      </c>
      <c r="L19">
        <f ca="1">IFERROR(LOOKUP(1,1/(COUNTIF($L$1:L18,INDIRECT("CADASTRO_02!$B$2:B"&amp;COUNTA(CADASTRO_02!A:A)))=0),INDIRECT("CADASTRO_02!$B$2:B"&amp;COUNTA(CADASTRO_02!A:A))),0)</f>
        <v>0</v>
      </c>
      <c r="M19">
        <f ca="1">IF(RELATORIO_03!$O$1=1,(IF(RELATORIO_03!$N$1="Todos",SUMIFS(LANÇAMENTOS_02!$J:$J,LANÇAMENTOS_02!$L:$L,"&lt;&gt;"&amp;$I$1,LANÇAMENTOS_02!$C:$C,AUX_03!L19,LANÇAMENTOS_02!$L:$L,"&gt;="&amp;RELATORIO_03!$O$3,LANÇAMENTOS_02!$L:$L,"&lt;="&amp;RELATORIO_03!$P$14),SUMIFS(LANÇAMENTOS_02!$J:$J,LANÇAMENTOS_02!$C:$C,AUX_03!L19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19,LANÇAMENTOS_02!$K:$K,"&gt;="&amp;RELATORIO_03!$O$3,LANÇAMENTOS_02!$K:$K,"&lt;="&amp;RELATORIO_03!$P$14),SUMIFS(LANÇAMENTOS_02!$J:$J,LANÇAMENTOS_02!$C:$C,AUX_03!L19,LANÇAMENTOS_02!$K:$K,"&gt;="&amp;RELATORIO_03!$O$3,LANÇAMENTOS_02!$K:$K,"&lt;="&amp;RELATORIO_03!$P$14,LANÇAMENTOS_02!$H:$H,RELATORIO_03!$N$1)))</f>
        <v>0</v>
      </c>
    </row>
    <row r="20" spans="2:13" x14ac:dyDescent="0.25">
      <c r="B20" s="31"/>
      <c r="F20" s="32"/>
      <c r="I20" s="32"/>
      <c r="J20">
        <f ca="1">IFERROR(LOOKUP(1,1/(COUNTIF($J$1:J19,INDIRECT("CADASTRO_01!$B$2:B"&amp;COUNTA(CADASTRO_01!A:A)))=0),INDIRECT("CADASTRO_01!$B$2:B"&amp;COUNTA(CADASTRO_01!A:A))),0)</f>
        <v>0</v>
      </c>
      <c r="K20">
        <f ca="1">IF(RELATORIO_03!$O$1=1,(IF(RELATORIO_03!$N$1="Todos",SUMIFS(LANÇAMENTOS_01!$J:$J,LANÇAMENTOS_01!$L:$L,"&lt;&gt;"&amp;$I$1,LANÇAMENTOS_01!$C:$C,AUX_03!J20,LANÇAMENTOS_01!$L:$L,"&gt;="&amp;RELATORIO_03!$O$3,LANÇAMENTOS_01!$L:$L,"&lt;="&amp;RELATORIO_03!$P$14),SUMIFS(LANÇAMENTOS_01!$J:$J,LANÇAMENTOS_01!$C:$C,AUX_03!J20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20,LANÇAMENTOS_01!$K:$K,"&gt;="&amp;RELATORIO_03!$O$3,LANÇAMENTOS_01!$K:$K,"&lt;="&amp;RELATORIO_03!$P$14),SUMIFS(LANÇAMENTOS_01!$J:$J,LANÇAMENTOS_01!$C:$C,AUX_03!J20,LANÇAMENTOS_01!$K:$K,"&gt;="&amp;RELATORIO_03!$O$3,LANÇAMENTOS_01!$K:$K,"&lt;="&amp;RELATORIO_03!$P$14,LANÇAMENTOS_01!$H:$H,RELATORIO_03!$N$1)))</f>
        <v>0</v>
      </c>
      <c r="L20">
        <f ca="1">IFERROR(LOOKUP(1,1/(COUNTIF($L$1:L19,INDIRECT("CADASTRO_02!$B$2:B"&amp;COUNTA(CADASTRO_02!A:A)))=0),INDIRECT("CADASTRO_02!$B$2:B"&amp;COUNTA(CADASTRO_02!A:A))),0)</f>
        <v>0</v>
      </c>
      <c r="M20">
        <f ca="1">IF(RELATORIO_03!$O$1=1,(IF(RELATORIO_03!$N$1="Todos",SUMIFS(LANÇAMENTOS_02!$J:$J,LANÇAMENTOS_02!$L:$L,"&lt;&gt;"&amp;$I$1,LANÇAMENTOS_02!$C:$C,AUX_03!L20,LANÇAMENTOS_02!$L:$L,"&gt;="&amp;RELATORIO_03!$O$3,LANÇAMENTOS_02!$L:$L,"&lt;="&amp;RELATORIO_03!$P$14),SUMIFS(LANÇAMENTOS_02!$J:$J,LANÇAMENTOS_02!$C:$C,AUX_03!L20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20,LANÇAMENTOS_02!$K:$K,"&gt;="&amp;RELATORIO_03!$O$3,LANÇAMENTOS_02!$K:$K,"&lt;="&amp;RELATORIO_03!$P$14),SUMIFS(LANÇAMENTOS_02!$J:$J,LANÇAMENTOS_02!$C:$C,AUX_03!L20,LANÇAMENTOS_02!$K:$K,"&gt;="&amp;RELATORIO_03!$O$3,LANÇAMENTOS_02!$K:$K,"&lt;="&amp;RELATORIO_03!$P$14,LANÇAMENTOS_02!$H:$H,RELATORIO_03!$N$1)))</f>
        <v>0</v>
      </c>
    </row>
    <row r="21" spans="2:13" x14ac:dyDescent="0.25">
      <c r="B21" s="31"/>
      <c r="F21" s="32"/>
      <c r="I21" s="32"/>
      <c r="J21">
        <f ca="1">IFERROR(LOOKUP(1,1/(COUNTIF($J$1:J20,INDIRECT("CADASTRO_01!$B$2:B"&amp;COUNTA(CADASTRO_01!A:A)))=0),INDIRECT("CADASTRO_01!$B$2:B"&amp;COUNTA(CADASTRO_01!A:A))),0)</f>
        <v>0</v>
      </c>
      <c r="K21">
        <f ca="1">IF(RELATORIO_03!$O$1=1,(IF(RELATORIO_03!$N$1="Todos",SUMIFS(LANÇAMENTOS_01!$J:$J,LANÇAMENTOS_01!$L:$L,"&lt;&gt;"&amp;$I$1,LANÇAMENTOS_01!$C:$C,AUX_03!J21,LANÇAMENTOS_01!$L:$L,"&gt;="&amp;RELATORIO_03!$O$3,LANÇAMENTOS_01!$L:$L,"&lt;="&amp;RELATORIO_03!$P$14),SUMIFS(LANÇAMENTOS_01!$J:$J,LANÇAMENTOS_01!$C:$C,AUX_03!J21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21,LANÇAMENTOS_01!$K:$K,"&gt;="&amp;RELATORIO_03!$O$3,LANÇAMENTOS_01!$K:$K,"&lt;="&amp;RELATORIO_03!$P$14),SUMIFS(LANÇAMENTOS_01!$J:$J,LANÇAMENTOS_01!$C:$C,AUX_03!J21,LANÇAMENTOS_01!$K:$K,"&gt;="&amp;RELATORIO_03!$O$3,LANÇAMENTOS_01!$K:$K,"&lt;="&amp;RELATORIO_03!$P$14,LANÇAMENTOS_01!$H:$H,RELATORIO_03!$N$1)))</f>
        <v>0</v>
      </c>
      <c r="L21">
        <f ca="1">IFERROR(LOOKUP(1,1/(COUNTIF($L$1:L20,INDIRECT("CADASTRO_02!$B$2:B"&amp;COUNTA(CADASTRO_02!A:A)))=0),INDIRECT("CADASTRO_02!$B$2:B"&amp;COUNTA(CADASTRO_02!A:A))),0)</f>
        <v>0</v>
      </c>
      <c r="M21">
        <f ca="1">IF(RELATORIO_03!$O$1=1,(IF(RELATORIO_03!$N$1="Todos",SUMIFS(LANÇAMENTOS_02!$J:$J,LANÇAMENTOS_02!$L:$L,"&lt;&gt;"&amp;$I$1,LANÇAMENTOS_02!$C:$C,AUX_03!L21,LANÇAMENTOS_02!$L:$L,"&gt;="&amp;RELATORIO_03!$O$3,LANÇAMENTOS_02!$L:$L,"&lt;="&amp;RELATORIO_03!$P$14),SUMIFS(LANÇAMENTOS_02!$J:$J,LANÇAMENTOS_02!$C:$C,AUX_03!L21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21,LANÇAMENTOS_02!$K:$K,"&gt;="&amp;RELATORIO_03!$O$3,LANÇAMENTOS_02!$K:$K,"&lt;="&amp;RELATORIO_03!$P$14),SUMIFS(LANÇAMENTOS_02!$J:$J,LANÇAMENTOS_02!$C:$C,AUX_03!L21,LANÇAMENTOS_02!$K:$K,"&gt;="&amp;RELATORIO_03!$O$3,LANÇAMENTOS_02!$K:$K,"&lt;="&amp;RELATORIO_03!$P$14,LANÇAMENTOS_02!$H:$H,RELATORIO_03!$N$1)))</f>
        <v>0</v>
      </c>
    </row>
    <row r="22" spans="2:13" x14ac:dyDescent="0.25">
      <c r="B22" s="31"/>
      <c r="F22" s="32"/>
      <c r="I22" s="32"/>
      <c r="J22">
        <f ca="1">IFERROR(LOOKUP(1,1/(COUNTIF($J$1:J21,INDIRECT("CADASTRO_01!$B$2:B"&amp;COUNTA(CADASTRO_01!A:A)))=0),INDIRECT("CADASTRO_01!$B$2:B"&amp;COUNTA(CADASTRO_01!A:A))),0)</f>
        <v>0</v>
      </c>
      <c r="K22">
        <f ca="1">IF(RELATORIO_03!$O$1=1,(IF(RELATORIO_03!$N$1="Todos",SUMIFS(LANÇAMENTOS_01!$J:$J,LANÇAMENTOS_01!$L:$L,"&lt;&gt;"&amp;$I$1,LANÇAMENTOS_01!$C:$C,AUX_03!J22,LANÇAMENTOS_01!$L:$L,"&gt;="&amp;RELATORIO_03!$O$3,LANÇAMENTOS_01!$L:$L,"&lt;="&amp;RELATORIO_03!$P$14),SUMIFS(LANÇAMENTOS_01!$J:$J,LANÇAMENTOS_01!$C:$C,AUX_03!J22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22,LANÇAMENTOS_01!$K:$K,"&gt;="&amp;RELATORIO_03!$O$3,LANÇAMENTOS_01!$K:$K,"&lt;="&amp;RELATORIO_03!$P$14),SUMIFS(LANÇAMENTOS_01!$J:$J,LANÇAMENTOS_01!$C:$C,AUX_03!J22,LANÇAMENTOS_01!$K:$K,"&gt;="&amp;RELATORIO_03!$O$3,LANÇAMENTOS_01!$K:$K,"&lt;="&amp;RELATORIO_03!$P$14,LANÇAMENTOS_01!$H:$H,RELATORIO_03!$N$1)))</f>
        <v>0</v>
      </c>
      <c r="L22">
        <f ca="1">IFERROR(LOOKUP(1,1/(COUNTIF($L$1:L21,INDIRECT("CADASTRO_02!$B$2:B"&amp;COUNTA(CADASTRO_02!A:A)))=0),INDIRECT("CADASTRO_02!$B$2:B"&amp;COUNTA(CADASTRO_02!A:A))),0)</f>
        <v>0</v>
      </c>
      <c r="M22">
        <f ca="1">IF(RELATORIO_03!$O$1=1,(IF(RELATORIO_03!$N$1="Todos",SUMIFS(LANÇAMENTOS_02!$J:$J,LANÇAMENTOS_02!$L:$L,"&lt;&gt;"&amp;$I$1,LANÇAMENTOS_02!$C:$C,AUX_03!L22,LANÇAMENTOS_02!$L:$L,"&gt;="&amp;RELATORIO_03!$O$3,LANÇAMENTOS_02!$L:$L,"&lt;="&amp;RELATORIO_03!$P$14),SUMIFS(LANÇAMENTOS_02!$J:$J,LANÇAMENTOS_02!$C:$C,AUX_03!L22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22,LANÇAMENTOS_02!$K:$K,"&gt;="&amp;RELATORIO_03!$O$3,LANÇAMENTOS_02!$K:$K,"&lt;="&amp;RELATORIO_03!$P$14),SUMIFS(LANÇAMENTOS_02!$J:$J,LANÇAMENTOS_02!$C:$C,AUX_03!L22,LANÇAMENTOS_02!$K:$K,"&gt;="&amp;RELATORIO_03!$O$3,LANÇAMENTOS_02!$K:$K,"&lt;="&amp;RELATORIO_03!$P$14,LANÇAMENTOS_02!$H:$H,RELATORIO_03!$N$1)))</f>
        <v>0</v>
      </c>
    </row>
    <row r="23" spans="2:13" x14ac:dyDescent="0.25">
      <c r="B23" s="31"/>
      <c r="F23" s="32"/>
      <c r="I23" s="32"/>
      <c r="J23">
        <f ca="1">IFERROR(LOOKUP(1,1/(COUNTIF($J$1:J22,INDIRECT("CADASTRO_01!$B$2:B"&amp;COUNTA(CADASTRO_01!A:A)))=0),INDIRECT("CADASTRO_01!$B$2:B"&amp;COUNTA(CADASTRO_01!A:A))),0)</f>
        <v>0</v>
      </c>
      <c r="K23">
        <f ca="1">IF(RELATORIO_03!$O$1=1,(IF(RELATORIO_03!$N$1="Todos",SUMIFS(LANÇAMENTOS_01!$J:$J,LANÇAMENTOS_01!$L:$L,"&lt;&gt;"&amp;$I$1,LANÇAMENTOS_01!$C:$C,AUX_03!J23,LANÇAMENTOS_01!$L:$L,"&gt;="&amp;RELATORIO_03!$O$3,LANÇAMENTOS_01!$L:$L,"&lt;="&amp;RELATORIO_03!$P$14),SUMIFS(LANÇAMENTOS_01!$J:$J,LANÇAMENTOS_01!$C:$C,AUX_03!J23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23,LANÇAMENTOS_01!$K:$K,"&gt;="&amp;RELATORIO_03!$O$3,LANÇAMENTOS_01!$K:$K,"&lt;="&amp;RELATORIO_03!$P$14),SUMIFS(LANÇAMENTOS_01!$J:$J,LANÇAMENTOS_01!$C:$C,AUX_03!J23,LANÇAMENTOS_01!$K:$K,"&gt;="&amp;RELATORIO_03!$O$3,LANÇAMENTOS_01!$K:$K,"&lt;="&amp;RELATORIO_03!$P$14,LANÇAMENTOS_01!$H:$H,RELATORIO_03!$N$1)))</f>
        <v>0</v>
      </c>
      <c r="L23">
        <f ca="1">IFERROR(LOOKUP(1,1/(COUNTIF($L$1:L22,INDIRECT("CADASTRO_02!$B$2:B"&amp;COUNTA(CADASTRO_02!A:A)))=0),INDIRECT("CADASTRO_02!$B$2:B"&amp;COUNTA(CADASTRO_02!A:A))),0)</f>
        <v>0</v>
      </c>
      <c r="M23">
        <f ca="1">IF(RELATORIO_03!$O$1=1,(IF(RELATORIO_03!$N$1="Todos",SUMIFS(LANÇAMENTOS_02!$J:$J,LANÇAMENTOS_02!$L:$L,"&lt;&gt;"&amp;$I$1,LANÇAMENTOS_02!$C:$C,AUX_03!L23,LANÇAMENTOS_02!$L:$L,"&gt;="&amp;RELATORIO_03!$O$3,LANÇAMENTOS_02!$L:$L,"&lt;="&amp;RELATORIO_03!$P$14),SUMIFS(LANÇAMENTOS_02!$J:$J,LANÇAMENTOS_02!$C:$C,AUX_03!L23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23,LANÇAMENTOS_02!$K:$K,"&gt;="&amp;RELATORIO_03!$O$3,LANÇAMENTOS_02!$K:$K,"&lt;="&amp;RELATORIO_03!$P$14),SUMIFS(LANÇAMENTOS_02!$J:$J,LANÇAMENTOS_02!$C:$C,AUX_03!L23,LANÇAMENTOS_02!$K:$K,"&gt;="&amp;RELATORIO_03!$O$3,LANÇAMENTOS_02!$K:$K,"&lt;="&amp;RELATORIO_03!$P$14,LANÇAMENTOS_02!$H:$H,RELATORIO_03!$N$1)))</f>
        <v>0</v>
      </c>
    </row>
    <row r="24" spans="2:13" x14ac:dyDescent="0.25">
      <c r="B24" s="31"/>
      <c r="F24" s="32"/>
      <c r="I24" s="32"/>
      <c r="J24">
        <f ca="1">IFERROR(LOOKUP(1,1/(COUNTIF($J$1:J23,INDIRECT("CADASTRO_01!$B$2:B"&amp;COUNTA(CADASTRO_01!A:A)))=0),INDIRECT("CADASTRO_01!$B$2:B"&amp;COUNTA(CADASTRO_01!A:A))),0)</f>
        <v>0</v>
      </c>
      <c r="K24">
        <f ca="1">IF(RELATORIO_03!$O$1=1,(IF(RELATORIO_03!$N$1="Todos",SUMIFS(LANÇAMENTOS_01!$J:$J,LANÇAMENTOS_01!$L:$L,"&lt;&gt;"&amp;$I$1,LANÇAMENTOS_01!$C:$C,AUX_03!J24,LANÇAMENTOS_01!$L:$L,"&gt;="&amp;RELATORIO_03!$O$3,LANÇAMENTOS_01!$L:$L,"&lt;="&amp;RELATORIO_03!$P$14),SUMIFS(LANÇAMENTOS_01!$J:$J,LANÇAMENTOS_01!$C:$C,AUX_03!J24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24,LANÇAMENTOS_01!$K:$K,"&gt;="&amp;RELATORIO_03!$O$3,LANÇAMENTOS_01!$K:$K,"&lt;="&amp;RELATORIO_03!$P$14),SUMIFS(LANÇAMENTOS_01!$J:$J,LANÇAMENTOS_01!$C:$C,AUX_03!J24,LANÇAMENTOS_01!$K:$K,"&gt;="&amp;RELATORIO_03!$O$3,LANÇAMENTOS_01!$K:$K,"&lt;="&amp;RELATORIO_03!$P$14,LANÇAMENTOS_01!$H:$H,RELATORIO_03!$N$1)))</f>
        <v>0</v>
      </c>
      <c r="L24">
        <f ca="1">IFERROR(LOOKUP(1,1/(COUNTIF($L$1:L23,INDIRECT("CADASTRO_02!$B$2:B"&amp;COUNTA(CADASTRO_02!A:A)))=0),INDIRECT("CADASTRO_02!$B$2:B"&amp;COUNTA(CADASTRO_02!A:A))),0)</f>
        <v>0</v>
      </c>
      <c r="M24">
        <f ca="1">IF(RELATORIO_03!$O$1=1,(IF(RELATORIO_03!$N$1="Todos",SUMIFS(LANÇAMENTOS_02!$J:$J,LANÇAMENTOS_02!$L:$L,"&lt;&gt;"&amp;$I$1,LANÇAMENTOS_02!$C:$C,AUX_03!L24,LANÇAMENTOS_02!$L:$L,"&gt;="&amp;RELATORIO_03!$O$3,LANÇAMENTOS_02!$L:$L,"&lt;="&amp;RELATORIO_03!$P$14),SUMIFS(LANÇAMENTOS_02!$J:$J,LANÇAMENTOS_02!$C:$C,AUX_03!L24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24,LANÇAMENTOS_02!$K:$K,"&gt;="&amp;RELATORIO_03!$O$3,LANÇAMENTOS_02!$K:$K,"&lt;="&amp;RELATORIO_03!$P$14),SUMIFS(LANÇAMENTOS_02!$J:$J,LANÇAMENTOS_02!$C:$C,AUX_03!L24,LANÇAMENTOS_02!$K:$K,"&gt;="&amp;RELATORIO_03!$O$3,LANÇAMENTOS_02!$K:$K,"&lt;="&amp;RELATORIO_03!$P$14,LANÇAMENTOS_02!$H:$H,RELATORIO_03!$N$1)))</f>
        <v>0</v>
      </c>
    </row>
    <row r="25" spans="2:13" x14ac:dyDescent="0.25">
      <c r="B25" s="31"/>
      <c r="F25" s="32"/>
      <c r="I25" s="32"/>
      <c r="J25">
        <f ca="1">IFERROR(LOOKUP(1,1/(COUNTIF($J$1:J24,INDIRECT("CADASTRO_01!$B$2:B"&amp;COUNTA(CADASTRO_01!A:A)))=0),INDIRECT("CADASTRO_01!$B$2:B"&amp;COUNTA(CADASTRO_01!A:A))),0)</f>
        <v>0</v>
      </c>
      <c r="K25">
        <f ca="1">IF(RELATORIO_03!$O$1=1,(IF(RELATORIO_03!$N$1="Todos",SUMIFS(LANÇAMENTOS_01!$J:$J,LANÇAMENTOS_01!$L:$L,"&lt;&gt;"&amp;$I$1,LANÇAMENTOS_01!$C:$C,AUX_03!J25,LANÇAMENTOS_01!$L:$L,"&gt;="&amp;RELATORIO_03!$O$3,LANÇAMENTOS_01!$L:$L,"&lt;="&amp;RELATORIO_03!$P$14),SUMIFS(LANÇAMENTOS_01!$J:$J,LANÇAMENTOS_01!$C:$C,AUX_03!J25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25,LANÇAMENTOS_01!$K:$K,"&gt;="&amp;RELATORIO_03!$O$3,LANÇAMENTOS_01!$K:$K,"&lt;="&amp;RELATORIO_03!$P$14),SUMIFS(LANÇAMENTOS_01!$J:$J,LANÇAMENTOS_01!$C:$C,AUX_03!J25,LANÇAMENTOS_01!$K:$K,"&gt;="&amp;RELATORIO_03!$O$3,LANÇAMENTOS_01!$K:$K,"&lt;="&amp;RELATORIO_03!$P$14,LANÇAMENTOS_01!$H:$H,RELATORIO_03!$N$1)))</f>
        <v>0</v>
      </c>
      <c r="L25">
        <f ca="1">IFERROR(LOOKUP(1,1/(COUNTIF($L$1:L24,INDIRECT("CADASTRO_02!$B$2:B"&amp;COUNTA(CADASTRO_02!A:A)))=0),INDIRECT("CADASTRO_02!$B$2:B"&amp;COUNTA(CADASTRO_02!A:A))),0)</f>
        <v>0</v>
      </c>
      <c r="M25">
        <f ca="1">IF(RELATORIO_03!$O$1=1,(IF(RELATORIO_03!$N$1="Todos",SUMIFS(LANÇAMENTOS_02!$J:$J,LANÇAMENTOS_02!$L:$L,"&lt;&gt;"&amp;$I$1,LANÇAMENTOS_02!$C:$C,AUX_03!L25,LANÇAMENTOS_02!$L:$L,"&gt;="&amp;RELATORIO_03!$O$3,LANÇAMENTOS_02!$L:$L,"&lt;="&amp;RELATORIO_03!$P$14),SUMIFS(LANÇAMENTOS_02!$J:$J,LANÇAMENTOS_02!$C:$C,AUX_03!L25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25,LANÇAMENTOS_02!$K:$K,"&gt;="&amp;RELATORIO_03!$O$3,LANÇAMENTOS_02!$K:$K,"&lt;="&amp;RELATORIO_03!$P$14),SUMIFS(LANÇAMENTOS_02!$J:$J,LANÇAMENTOS_02!$C:$C,AUX_03!L25,LANÇAMENTOS_02!$K:$K,"&gt;="&amp;RELATORIO_03!$O$3,LANÇAMENTOS_02!$K:$K,"&lt;="&amp;RELATORIO_03!$P$14,LANÇAMENTOS_02!$H:$H,RELATORIO_03!$N$1)))</f>
        <v>0</v>
      </c>
    </row>
    <row r="26" spans="2:13" x14ac:dyDescent="0.25">
      <c r="B26" s="31"/>
      <c r="F26" s="32"/>
      <c r="I26" s="32"/>
      <c r="J26">
        <f ca="1">IFERROR(LOOKUP(1,1/(COUNTIF($J$1:J25,INDIRECT("CADASTRO_01!$B$2:B"&amp;COUNTA(CADASTRO_01!A:A)))=0),INDIRECT("CADASTRO_01!$B$2:B"&amp;COUNTA(CADASTRO_01!A:A))),0)</f>
        <v>0</v>
      </c>
      <c r="K26">
        <f ca="1">IF(RELATORIO_03!$O$1=1,(IF(RELATORIO_03!$N$1="Todos",SUMIFS(LANÇAMENTOS_01!$J:$J,LANÇAMENTOS_01!$L:$L,"&lt;&gt;"&amp;$I$1,LANÇAMENTOS_01!$C:$C,AUX_03!J26,LANÇAMENTOS_01!$L:$L,"&gt;="&amp;RELATORIO_03!$O$3,LANÇAMENTOS_01!$L:$L,"&lt;="&amp;RELATORIO_03!$P$14),SUMIFS(LANÇAMENTOS_01!$J:$J,LANÇAMENTOS_01!$C:$C,AUX_03!J26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26,LANÇAMENTOS_01!$K:$K,"&gt;="&amp;RELATORIO_03!$O$3,LANÇAMENTOS_01!$K:$K,"&lt;="&amp;RELATORIO_03!$P$14),SUMIFS(LANÇAMENTOS_01!$J:$J,LANÇAMENTOS_01!$C:$C,AUX_03!J26,LANÇAMENTOS_01!$K:$K,"&gt;="&amp;RELATORIO_03!$O$3,LANÇAMENTOS_01!$K:$K,"&lt;="&amp;RELATORIO_03!$P$14,LANÇAMENTOS_01!$H:$H,RELATORIO_03!$N$1)))</f>
        <v>0</v>
      </c>
      <c r="L26">
        <f ca="1">IFERROR(LOOKUP(1,1/(COUNTIF($L$1:L25,INDIRECT("CADASTRO_02!$B$2:B"&amp;COUNTA(CADASTRO_02!A:A)))=0),INDIRECT("CADASTRO_02!$B$2:B"&amp;COUNTA(CADASTRO_02!A:A))),0)</f>
        <v>0</v>
      </c>
      <c r="M26">
        <f ca="1">IF(RELATORIO_03!$O$1=1,(IF(RELATORIO_03!$N$1="Todos",SUMIFS(LANÇAMENTOS_02!$J:$J,LANÇAMENTOS_02!$L:$L,"&lt;&gt;"&amp;$I$1,LANÇAMENTOS_02!$C:$C,AUX_03!L26,LANÇAMENTOS_02!$L:$L,"&gt;="&amp;RELATORIO_03!$O$3,LANÇAMENTOS_02!$L:$L,"&lt;="&amp;RELATORIO_03!$P$14),SUMIFS(LANÇAMENTOS_02!$J:$J,LANÇAMENTOS_02!$C:$C,AUX_03!L26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26,LANÇAMENTOS_02!$K:$K,"&gt;="&amp;RELATORIO_03!$O$3,LANÇAMENTOS_02!$K:$K,"&lt;="&amp;RELATORIO_03!$P$14),SUMIFS(LANÇAMENTOS_02!$J:$J,LANÇAMENTOS_02!$C:$C,AUX_03!L26,LANÇAMENTOS_02!$K:$K,"&gt;="&amp;RELATORIO_03!$O$3,LANÇAMENTOS_02!$K:$K,"&lt;="&amp;RELATORIO_03!$P$14,LANÇAMENTOS_02!$H:$H,RELATORIO_03!$N$1)))</f>
        <v>0</v>
      </c>
    </row>
    <row r="27" spans="2:13" x14ac:dyDescent="0.25">
      <c r="B27" s="31"/>
      <c r="F27" s="32"/>
      <c r="I27" s="32"/>
      <c r="J27">
        <f ca="1">IFERROR(LOOKUP(1,1/(COUNTIF($J$1:J26,INDIRECT("CADASTRO_01!$B$2:B"&amp;COUNTA(CADASTRO_01!A:A)))=0),INDIRECT("CADASTRO_01!$B$2:B"&amp;COUNTA(CADASTRO_01!A:A))),0)</f>
        <v>0</v>
      </c>
      <c r="K27">
        <f ca="1">IF(RELATORIO_03!$O$1=1,(IF(RELATORIO_03!$N$1="Todos",SUMIFS(LANÇAMENTOS_01!$J:$J,LANÇAMENTOS_01!$L:$L,"&lt;&gt;"&amp;$I$1,LANÇAMENTOS_01!$C:$C,AUX_03!J27,LANÇAMENTOS_01!$L:$L,"&gt;="&amp;RELATORIO_03!$O$3,LANÇAMENTOS_01!$L:$L,"&lt;="&amp;RELATORIO_03!$P$14),SUMIFS(LANÇAMENTOS_01!$J:$J,LANÇAMENTOS_01!$C:$C,AUX_03!J27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27,LANÇAMENTOS_01!$K:$K,"&gt;="&amp;RELATORIO_03!$O$3,LANÇAMENTOS_01!$K:$K,"&lt;="&amp;RELATORIO_03!$P$14),SUMIFS(LANÇAMENTOS_01!$J:$J,LANÇAMENTOS_01!$C:$C,AUX_03!J27,LANÇAMENTOS_01!$K:$K,"&gt;="&amp;RELATORIO_03!$O$3,LANÇAMENTOS_01!$K:$K,"&lt;="&amp;RELATORIO_03!$P$14,LANÇAMENTOS_01!$H:$H,RELATORIO_03!$N$1)))</f>
        <v>0</v>
      </c>
      <c r="L27">
        <f ca="1">IFERROR(LOOKUP(1,1/(COUNTIF($L$1:L26,INDIRECT("CADASTRO_02!$B$2:B"&amp;COUNTA(CADASTRO_02!A:A)))=0),INDIRECT("CADASTRO_02!$B$2:B"&amp;COUNTA(CADASTRO_02!A:A))),0)</f>
        <v>0</v>
      </c>
      <c r="M27">
        <f ca="1">IF(RELATORIO_03!$O$1=1,(IF(RELATORIO_03!$N$1="Todos",SUMIFS(LANÇAMENTOS_02!$J:$J,LANÇAMENTOS_02!$L:$L,"&lt;&gt;"&amp;$I$1,LANÇAMENTOS_02!$C:$C,AUX_03!L27,LANÇAMENTOS_02!$L:$L,"&gt;="&amp;RELATORIO_03!$O$3,LANÇAMENTOS_02!$L:$L,"&lt;="&amp;RELATORIO_03!$P$14),SUMIFS(LANÇAMENTOS_02!$J:$J,LANÇAMENTOS_02!$C:$C,AUX_03!L27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27,LANÇAMENTOS_02!$K:$K,"&gt;="&amp;RELATORIO_03!$O$3,LANÇAMENTOS_02!$K:$K,"&lt;="&amp;RELATORIO_03!$P$14),SUMIFS(LANÇAMENTOS_02!$J:$J,LANÇAMENTOS_02!$C:$C,AUX_03!L27,LANÇAMENTOS_02!$K:$K,"&gt;="&amp;RELATORIO_03!$O$3,LANÇAMENTOS_02!$K:$K,"&lt;="&amp;RELATORIO_03!$P$14,LANÇAMENTOS_02!$H:$H,RELATORIO_03!$N$1)))</f>
        <v>0</v>
      </c>
    </row>
    <row r="28" spans="2:13" x14ac:dyDescent="0.25">
      <c r="B28" s="31"/>
      <c r="F28" s="32"/>
      <c r="I28" s="32"/>
      <c r="J28">
        <f ca="1">IFERROR(LOOKUP(1,1/(COUNTIF($J$1:J27,INDIRECT("CADASTRO_01!$B$2:B"&amp;COUNTA(CADASTRO_01!A:A)))=0),INDIRECT("CADASTRO_01!$B$2:B"&amp;COUNTA(CADASTRO_01!A:A))),0)</f>
        <v>0</v>
      </c>
      <c r="K28">
        <f ca="1">IF(RELATORIO_03!$O$1=1,(IF(RELATORIO_03!$N$1="Todos",SUMIFS(LANÇAMENTOS_01!$J:$J,LANÇAMENTOS_01!$L:$L,"&lt;&gt;"&amp;$I$1,LANÇAMENTOS_01!$C:$C,AUX_03!J28,LANÇAMENTOS_01!$L:$L,"&gt;="&amp;RELATORIO_03!$O$3,LANÇAMENTOS_01!$L:$L,"&lt;="&amp;RELATORIO_03!$P$14),SUMIFS(LANÇAMENTOS_01!$J:$J,LANÇAMENTOS_01!$C:$C,AUX_03!J28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28,LANÇAMENTOS_01!$K:$K,"&gt;="&amp;RELATORIO_03!$O$3,LANÇAMENTOS_01!$K:$K,"&lt;="&amp;RELATORIO_03!$P$14),SUMIFS(LANÇAMENTOS_01!$J:$J,LANÇAMENTOS_01!$C:$C,AUX_03!J28,LANÇAMENTOS_01!$K:$K,"&gt;="&amp;RELATORIO_03!$O$3,LANÇAMENTOS_01!$K:$K,"&lt;="&amp;RELATORIO_03!$P$14,LANÇAMENTOS_01!$H:$H,RELATORIO_03!$N$1)))</f>
        <v>0</v>
      </c>
      <c r="L28">
        <f ca="1">IFERROR(LOOKUP(1,1/(COUNTIF($L$1:L27,INDIRECT("CADASTRO_02!$B$2:B"&amp;COUNTA(CADASTRO_02!A:A)))=0),INDIRECT("CADASTRO_02!$B$2:B"&amp;COUNTA(CADASTRO_02!A:A))),0)</f>
        <v>0</v>
      </c>
      <c r="M28">
        <f ca="1">IF(RELATORIO_03!$O$1=1,(IF(RELATORIO_03!$N$1="Todos",SUMIFS(LANÇAMENTOS_02!$J:$J,LANÇAMENTOS_02!$L:$L,"&lt;&gt;"&amp;$I$1,LANÇAMENTOS_02!$C:$C,AUX_03!L28,LANÇAMENTOS_02!$L:$L,"&gt;="&amp;RELATORIO_03!$O$3,LANÇAMENTOS_02!$L:$L,"&lt;="&amp;RELATORIO_03!$P$14),SUMIFS(LANÇAMENTOS_02!$J:$J,LANÇAMENTOS_02!$C:$C,AUX_03!L28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28,LANÇAMENTOS_02!$K:$K,"&gt;="&amp;RELATORIO_03!$O$3,LANÇAMENTOS_02!$K:$K,"&lt;="&amp;RELATORIO_03!$P$14),SUMIFS(LANÇAMENTOS_02!$J:$J,LANÇAMENTOS_02!$C:$C,AUX_03!L28,LANÇAMENTOS_02!$K:$K,"&gt;="&amp;RELATORIO_03!$O$3,LANÇAMENTOS_02!$K:$K,"&lt;="&amp;RELATORIO_03!$P$14,LANÇAMENTOS_02!$H:$H,RELATORIO_03!$N$1)))</f>
        <v>0</v>
      </c>
    </row>
    <row r="29" spans="2:13" x14ac:dyDescent="0.25">
      <c r="B29" s="31"/>
      <c r="F29" s="32"/>
      <c r="I29" s="32"/>
      <c r="J29">
        <f ca="1">IFERROR(LOOKUP(1,1/(COUNTIF($J$1:J28,INDIRECT("CADASTRO_01!$B$2:B"&amp;COUNTA(CADASTRO_01!A:A)))=0),INDIRECT("CADASTRO_01!$B$2:B"&amp;COUNTA(CADASTRO_01!A:A))),0)</f>
        <v>0</v>
      </c>
      <c r="K29">
        <f ca="1">IF(RELATORIO_03!$O$1=1,(IF(RELATORIO_03!$N$1="Todos",SUMIFS(LANÇAMENTOS_01!$J:$J,LANÇAMENTOS_01!$L:$L,"&lt;&gt;"&amp;$I$1,LANÇAMENTOS_01!$C:$C,AUX_03!J29,LANÇAMENTOS_01!$L:$L,"&gt;="&amp;RELATORIO_03!$O$3,LANÇAMENTOS_01!$L:$L,"&lt;="&amp;RELATORIO_03!$P$14),SUMIFS(LANÇAMENTOS_01!$J:$J,LANÇAMENTOS_01!$C:$C,AUX_03!J29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29,LANÇAMENTOS_01!$K:$K,"&gt;="&amp;RELATORIO_03!$O$3,LANÇAMENTOS_01!$K:$K,"&lt;="&amp;RELATORIO_03!$P$14),SUMIFS(LANÇAMENTOS_01!$J:$J,LANÇAMENTOS_01!$C:$C,AUX_03!J29,LANÇAMENTOS_01!$K:$K,"&gt;="&amp;RELATORIO_03!$O$3,LANÇAMENTOS_01!$K:$K,"&lt;="&amp;RELATORIO_03!$P$14,LANÇAMENTOS_01!$H:$H,RELATORIO_03!$N$1)))</f>
        <v>0</v>
      </c>
      <c r="L29">
        <f ca="1">IFERROR(LOOKUP(1,1/(COUNTIF($L$1:L28,INDIRECT("CADASTRO_02!$B$2:B"&amp;COUNTA(CADASTRO_02!A:A)))=0),INDIRECT("CADASTRO_02!$B$2:B"&amp;COUNTA(CADASTRO_02!A:A))),0)</f>
        <v>0</v>
      </c>
      <c r="M29">
        <f ca="1">IF(RELATORIO_03!$O$1=1,(IF(RELATORIO_03!$N$1="Todos",SUMIFS(LANÇAMENTOS_02!$J:$J,LANÇAMENTOS_02!$L:$L,"&lt;&gt;"&amp;$I$1,LANÇAMENTOS_02!$C:$C,AUX_03!L29,LANÇAMENTOS_02!$L:$L,"&gt;="&amp;RELATORIO_03!$O$3,LANÇAMENTOS_02!$L:$L,"&lt;="&amp;RELATORIO_03!$P$14),SUMIFS(LANÇAMENTOS_02!$J:$J,LANÇAMENTOS_02!$C:$C,AUX_03!L29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29,LANÇAMENTOS_02!$K:$K,"&gt;="&amp;RELATORIO_03!$O$3,LANÇAMENTOS_02!$K:$K,"&lt;="&amp;RELATORIO_03!$P$14),SUMIFS(LANÇAMENTOS_02!$J:$J,LANÇAMENTOS_02!$C:$C,AUX_03!L29,LANÇAMENTOS_02!$K:$K,"&gt;="&amp;RELATORIO_03!$O$3,LANÇAMENTOS_02!$K:$K,"&lt;="&amp;RELATORIO_03!$P$14,LANÇAMENTOS_02!$H:$H,RELATORIO_03!$N$1)))</f>
        <v>0</v>
      </c>
    </row>
    <row r="30" spans="2:13" x14ac:dyDescent="0.25">
      <c r="B30" s="31"/>
      <c r="F30" s="32"/>
      <c r="I30" s="32"/>
      <c r="J30">
        <f ca="1">IFERROR(LOOKUP(1,1/(COUNTIF($J$1:J29,INDIRECT("CADASTRO_01!$B$2:B"&amp;COUNTA(CADASTRO_01!A:A)))=0),INDIRECT("CADASTRO_01!$B$2:B"&amp;COUNTA(CADASTRO_01!A:A))),0)</f>
        <v>0</v>
      </c>
      <c r="K30">
        <f ca="1">IF(RELATORIO_03!$O$1=1,(IF(RELATORIO_03!$N$1="Todos",SUMIFS(LANÇAMENTOS_01!$J:$J,LANÇAMENTOS_01!$L:$L,"&lt;&gt;"&amp;$I$1,LANÇAMENTOS_01!$C:$C,AUX_03!J30,LANÇAMENTOS_01!$L:$L,"&gt;="&amp;RELATORIO_03!$O$3,LANÇAMENTOS_01!$L:$L,"&lt;="&amp;RELATORIO_03!$P$14),SUMIFS(LANÇAMENTOS_01!$J:$J,LANÇAMENTOS_01!$C:$C,AUX_03!J30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30,LANÇAMENTOS_01!$K:$K,"&gt;="&amp;RELATORIO_03!$O$3,LANÇAMENTOS_01!$K:$K,"&lt;="&amp;RELATORIO_03!$P$14),SUMIFS(LANÇAMENTOS_01!$J:$J,LANÇAMENTOS_01!$C:$C,AUX_03!J30,LANÇAMENTOS_01!$K:$K,"&gt;="&amp;RELATORIO_03!$O$3,LANÇAMENTOS_01!$K:$K,"&lt;="&amp;RELATORIO_03!$P$14,LANÇAMENTOS_01!$H:$H,RELATORIO_03!$N$1)))</f>
        <v>0</v>
      </c>
      <c r="L30">
        <f ca="1">IFERROR(LOOKUP(1,1/(COUNTIF($L$1:L29,INDIRECT("CADASTRO_02!$B$2:B"&amp;COUNTA(CADASTRO_02!A:A)))=0),INDIRECT("CADASTRO_02!$B$2:B"&amp;COUNTA(CADASTRO_02!A:A))),0)</f>
        <v>0</v>
      </c>
      <c r="M30">
        <f ca="1">IF(RELATORIO_03!$O$1=1,(IF(RELATORIO_03!$N$1="Todos",SUMIFS(LANÇAMENTOS_02!$J:$J,LANÇAMENTOS_02!$L:$L,"&lt;&gt;"&amp;$I$1,LANÇAMENTOS_02!$C:$C,AUX_03!L30,LANÇAMENTOS_02!$L:$L,"&gt;="&amp;RELATORIO_03!$O$3,LANÇAMENTOS_02!$L:$L,"&lt;="&amp;RELATORIO_03!$P$14),SUMIFS(LANÇAMENTOS_02!$J:$J,LANÇAMENTOS_02!$C:$C,AUX_03!L30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30,LANÇAMENTOS_02!$K:$K,"&gt;="&amp;RELATORIO_03!$O$3,LANÇAMENTOS_02!$K:$K,"&lt;="&amp;RELATORIO_03!$P$14),SUMIFS(LANÇAMENTOS_02!$J:$J,LANÇAMENTOS_02!$C:$C,AUX_03!L30,LANÇAMENTOS_02!$K:$K,"&gt;="&amp;RELATORIO_03!$O$3,LANÇAMENTOS_02!$K:$K,"&lt;="&amp;RELATORIO_03!$P$14,LANÇAMENTOS_02!$H:$H,RELATORIO_03!$N$1)))</f>
        <v>0</v>
      </c>
    </row>
    <row r="31" spans="2:13" x14ac:dyDescent="0.25">
      <c r="B31" s="31"/>
      <c r="F31" s="32"/>
      <c r="I31" s="32"/>
      <c r="J31">
        <f ca="1">IFERROR(LOOKUP(1,1/(COUNTIF($J$1:J30,INDIRECT("CADASTRO_01!$B$2:B"&amp;COUNTA(CADASTRO_01!A:A)))=0),INDIRECT("CADASTRO_01!$B$2:B"&amp;COUNTA(CADASTRO_01!A:A))),0)</f>
        <v>0</v>
      </c>
      <c r="K31">
        <f ca="1">IF(RELATORIO_03!$O$1=1,(IF(RELATORIO_03!$N$1="Todos",SUMIFS(LANÇAMENTOS_01!$J:$J,LANÇAMENTOS_01!$L:$L,"&lt;&gt;"&amp;$I$1,LANÇAMENTOS_01!$C:$C,AUX_03!J31,LANÇAMENTOS_01!$L:$L,"&gt;="&amp;RELATORIO_03!$O$3,LANÇAMENTOS_01!$L:$L,"&lt;="&amp;RELATORIO_03!$P$14),SUMIFS(LANÇAMENTOS_01!$J:$J,LANÇAMENTOS_01!$C:$C,AUX_03!J31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31,LANÇAMENTOS_01!$K:$K,"&gt;="&amp;RELATORIO_03!$O$3,LANÇAMENTOS_01!$K:$K,"&lt;="&amp;RELATORIO_03!$P$14),SUMIFS(LANÇAMENTOS_01!$J:$J,LANÇAMENTOS_01!$C:$C,AUX_03!J31,LANÇAMENTOS_01!$K:$K,"&gt;="&amp;RELATORIO_03!$O$3,LANÇAMENTOS_01!$K:$K,"&lt;="&amp;RELATORIO_03!$P$14,LANÇAMENTOS_01!$H:$H,RELATORIO_03!$N$1)))</f>
        <v>0</v>
      </c>
      <c r="L31">
        <f ca="1">IFERROR(LOOKUP(1,1/(COUNTIF($L$1:L30,INDIRECT("CADASTRO_02!$B$2:B"&amp;COUNTA(CADASTRO_02!A:A)))=0),INDIRECT("CADASTRO_02!$B$2:B"&amp;COUNTA(CADASTRO_02!A:A))),0)</f>
        <v>0</v>
      </c>
      <c r="M31">
        <f ca="1">IF(RELATORIO_03!$O$1=1,(IF(RELATORIO_03!$N$1="Todos",SUMIFS(LANÇAMENTOS_02!$J:$J,LANÇAMENTOS_02!$L:$L,"&lt;&gt;"&amp;$I$1,LANÇAMENTOS_02!$C:$C,AUX_03!L31,LANÇAMENTOS_02!$L:$L,"&gt;="&amp;RELATORIO_03!$O$3,LANÇAMENTOS_02!$L:$L,"&lt;="&amp;RELATORIO_03!$P$14),SUMIFS(LANÇAMENTOS_02!$J:$J,LANÇAMENTOS_02!$C:$C,AUX_03!L31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31,LANÇAMENTOS_02!$K:$K,"&gt;="&amp;RELATORIO_03!$O$3,LANÇAMENTOS_02!$K:$K,"&lt;="&amp;RELATORIO_03!$P$14),SUMIFS(LANÇAMENTOS_02!$J:$J,LANÇAMENTOS_02!$C:$C,AUX_03!L31,LANÇAMENTOS_02!$K:$K,"&gt;="&amp;RELATORIO_03!$O$3,LANÇAMENTOS_02!$K:$K,"&lt;="&amp;RELATORIO_03!$P$14,LANÇAMENTOS_02!$H:$H,RELATORIO_03!$N$1)))</f>
        <v>0</v>
      </c>
    </row>
    <row r="32" spans="2:13" x14ac:dyDescent="0.25">
      <c r="B32" s="31"/>
      <c r="F32" s="32"/>
      <c r="I32" s="32"/>
      <c r="J32">
        <f ca="1">IFERROR(LOOKUP(1,1/(COUNTIF($J$1:J31,INDIRECT("CADASTRO_01!$B$2:B"&amp;COUNTA(CADASTRO_01!A:A)))=0),INDIRECT("CADASTRO_01!$B$2:B"&amp;COUNTA(CADASTRO_01!A:A))),0)</f>
        <v>0</v>
      </c>
      <c r="K32">
        <f ca="1">IF(RELATORIO_03!$O$1=1,(IF(RELATORIO_03!$N$1="Todos",SUMIFS(LANÇAMENTOS_01!$J:$J,LANÇAMENTOS_01!$L:$L,"&lt;&gt;"&amp;$I$1,LANÇAMENTOS_01!$C:$C,AUX_03!J32,LANÇAMENTOS_01!$L:$L,"&gt;="&amp;RELATORIO_03!$O$3,LANÇAMENTOS_01!$L:$L,"&lt;="&amp;RELATORIO_03!$P$14),SUMIFS(LANÇAMENTOS_01!$J:$J,LANÇAMENTOS_01!$C:$C,AUX_03!J32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32,LANÇAMENTOS_01!$K:$K,"&gt;="&amp;RELATORIO_03!$O$3,LANÇAMENTOS_01!$K:$K,"&lt;="&amp;RELATORIO_03!$P$14),SUMIFS(LANÇAMENTOS_01!$J:$J,LANÇAMENTOS_01!$C:$C,AUX_03!J32,LANÇAMENTOS_01!$K:$K,"&gt;="&amp;RELATORIO_03!$O$3,LANÇAMENTOS_01!$K:$K,"&lt;="&amp;RELATORIO_03!$P$14,LANÇAMENTOS_01!$H:$H,RELATORIO_03!$N$1)))</f>
        <v>0</v>
      </c>
      <c r="L32">
        <f ca="1">IFERROR(LOOKUP(1,1/(COUNTIF($L$1:L31,INDIRECT("CADASTRO_02!$B$2:B"&amp;COUNTA(CADASTRO_02!A:A)))=0),INDIRECT("CADASTRO_02!$B$2:B"&amp;COUNTA(CADASTRO_02!A:A))),0)</f>
        <v>0</v>
      </c>
      <c r="M32">
        <f ca="1">IF(RELATORIO_03!$O$1=1,(IF(RELATORIO_03!$N$1="Todos",SUMIFS(LANÇAMENTOS_02!$J:$J,LANÇAMENTOS_02!$L:$L,"&lt;&gt;"&amp;$I$1,LANÇAMENTOS_02!$C:$C,AUX_03!L32,LANÇAMENTOS_02!$L:$L,"&gt;="&amp;RELATORIO_03!$O$3,LANÇAMENTOS_02!$L:$L,"&lt;="&amp;RELATORIO_03!$P$14),SUMIFS(LANÇAMENTOS_02!$J:$J,LANÇAMENTOS_02!$C:$C,AUX_03!L32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32,LANÇAMENTOS_02!$K:$K,"&gt;="&amp;RELATORIO_03!$O$3,LANÇAMENTOS_02!$K:$K,"&lt;="&amp;RELATORIO_03!$P$14),SUMIFS(LANÇAMENTOS_02!$J:$J,LANÇAMENTOS_02!$C:$C,AUX_03!L32,LANÇAMENTOS_02!$K:$K,"&gt;="&amp;RELATORIO_03!$O$3,LANÇAMENTOS_02!$K:$K,"&lt;="&amp;RELATORIO_03!$P$14,LANÇAMENTOS_02!$H:$H,RELATORIO_03!$N$1)))</f>
        <v>0</v>
      </c>
    </row>
    <row r="33" spans="2:13" x14ac:dyDescent="0.25">
      <c r="B33" s="31"/>
      <c r="F33" s="32"/>
      <c r="I33" s="32"/>
      <c r="J33">
        <f ca="1">IFERROR(LOOKUP(1,1/(COUNTIF($J$1:J32,INDIRECT("CADASTRO_01!$B$2:B"&amp;COUNTA(CADASTRO_01!A:A)))=0),INDIRECT("CADASTRO_01!$B$2:B"&amp;COUNTA(CADASTRO_01!A:A))),0)</f>
        <v>0</v>
      </c>
      <c r="K33">
        <f ca="1">IF(RELATORIO_03!$O$1=1,(IF(RELATORIO_03!$N$1="Todos",SUMIFS(LANÇAMENTOS_01!$J:$J,LANÇAMENTOS_01!$L:$L,"&lt;&gt;"&amp;$I$1,LANÇAMENTOS_01!$C:$C,AUX_03!J33,LANÇAMENTOS_01!$L:$L,"&gt;="&amp;RELATORIO_03!$O$3,LANÇAMENTOS_01!$L:$L,"&lt;="&amp;RELATORIO_03!$P$14),SUMIFS(LANÇAMENTOS_01!$J:$J,LANÇAMENTOS_01!$C:$C,AUX_03!J33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33,LANÇAMENTOS_01!$K:$K,"&gt;="&amp;RELATORIO_03!$O$3,LANÇAMENTOS_01!$K:$K,"&lt;="&amp;RELATORIO_03!$P$14),SUMIFS(LANÇAMENTOS_01!$J:$J,LANÇAMENTOS_01!$C:$C,AUX_03!J33,LANÇAMENTOS_01!$K:$K,"&gt;="&amp;RELATORIO_03!$O$3,LANÇAMENTOS_01!$K:$K,"&lt;="&amp;RELATORIO_03!$P$14,LANÇAMENTOS_01!$H:$H,RELATORIO_03!$N$1)))</f>
        <v>0</v>
      </c>
      <c r="L33">
        <f ca="1">IFERROR(LOOKUP(1,1/(COUNTIF($L$1:L32,INDIRECT("CADASTRO_02!$B$2:B"&amp;COUNTA(CADASTRO_02!A:A)))=0),INDIRECT("CADASTRO_02!$B$2:B"&amp;COUNTA(CADASTRO_02!A:A))),0)</f>
        <v>0</v>
      </c>
      <c r="M33">
        <f ca="1">IF(RELATORIO_03!$O$1=1,(IF(RELATORIO_03!$N$1="Todos",SUMIFS(LANÇAMENTOS_02!$J:$J,LANÇAMENTOS_02!$L:$L,"&lt;&gt;"&amp;$I$1,LANÇAMENTOS_02!$C:$C,AUX_03!L33,LANÇAMENTOS_02!$L:$L,"&gt;="&amp;RELATORIO_03!$O$3,LANÇAMENTOS_02!$L:$L,"&lt;="&amp;RELATORIO_03!$P$14),SUMIFS(LANÇAMENTOS_02!$J:$J,LANÇAMENTOS_02!$C:$C,AUX_03!L33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33,LANÇAMENTOS_02!$K:$K,"&gt;="&amp;RELATORIO_03!$O$3,LANÇAMENTOS_02!$K:$K,"&lt;="&amp;RELATORIO_03!$P$14),SUMIFS(LANÇAMENTOS_02!$J:$J,LANÇAMENTOS_02!$C:$C,AUX_03!L33,LANÇAMENTOS_02!$K:$K,"&gt;="&amp;RELATORIO_03!$O$3,LANÇAMENTOS_02!$K:$K,"&lt;="&amp;RELATORIO_03!$P$14,LANÇAMENTOS_02!$H:$H,RELATORIO_03!$N$1)))</f>
        <v>0</v>
      </c>
    </row>
    <row r="34" spans="2:13" x14ac:dyDescent="0.25">
      <c r="B34" s="31"/>
      <c r="F34" s="32"/>
      <c r="I34" s="32"/>
      <c r="J34">
        <f ca="1">IFERROR(LOOKUP(1,1/(COUNTIF($J$1:J33,INDIRECT("CADASTRO_01!$B$2:B"&amp;COUNTA(CADASTRO_01!A:A)))=0),INDIRECT("CADASTRO_01!$B$2:B"&amp;COUNTA(CADASTRO_01!A:A))),0)</f>
        <v>0</v>
      </c>
      <c r="K34">
        <f ca="1">IF(RELATORIO_03!$O$1=1,(IF(RELATORIO_03!$N$1="Todos",SUMIFS(LANÇAMENTOS_01!$J:$J,LANÇAMENTOS_01!$L:$L,"&lt;&gt;"&amp;$I$1,LANÇAMENTOS_01!$C:$C,AUX_03!J34,LANÇAMENTOS_01!$L:$L,"&gt;="&amp;RELATORIO_03!$O$3,LANÇAMENTOS_01!$L:$L,"&lt;="&amp;RELATORIO_03!$P$14),SUMIFS(LANÇAMENTOS_01!$J:$J,LANÇAMENTOS_01!$C:$C,AUX_03!J34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34,LANÇAMENTOS_01!$K:$K,"&gt;="&amp;RELATORIO_03!$O$3,LANÇAMENTOS_01!$K:$K,"&lt;="&amp;RELATORIO_03!$P$14),SUMIFS(LANÇAMENTOS_01!$J:$J,LANÇAMENTOS_01!$C:$C,AUX_03!J34,LANÇAMENTOS_01!$K:$K,"&gt;="&amp;RELATORIO_03!$O$3,LANÇAMENTOS_01!$K:$K,"&lt;="&amp;RELATORIO_03!$P$14,LANÇAMENTOS_01!$H:$H,RELATORIO_03!$N$1)))</f>
        <v>0</v>
      </c>
      <c r="L34">
        <f ca="1">IFERROR(LOOKUP(1,1/(COUNTIF($L$1:L33,INDIRECT("CADASTRO_02!$B$2:B"&amp;COUNTA(CADASTRO_02!A:A)))=0),INDIRECT("CADASTRO_02!$B$2:B"&amp;COUNTA(CADASTRO_02!A:A))),0)</f>
        <v>0</v>
      </c>
      <c r="M34">
        <f ca="1">IF(RELATORIO_03!$O$1=1,(IF(RELATORIO_03!$N$1="Todos",SUMIFS(LANÇAMENTOS_02!$J:$J,LANÇAMENTOS_02!$L:$L,"&lt;&gt;"&amp;$I$1,LANÇAMENTOS_02!$C:$C,AUX_03!L34,LANÇAMENTOS_02!$L:$L,"&gt;="&amp;RELATORIO_03!$O$3,LANÇAMENTOS_02!$L:$L,"&lt;="&amp;RELATORIO_03!$P$14),SUMIFS(LANÇAMENTOS_02!$J:$J,LANÇAMENTOS_02!$C:$C,AUX_03!L34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34,LANÇAMENTOS_02!$K:$K,"&gt;="&amp;RELATORIO_03!$O$3,LANÇAMENTOS_02!$K:$K,"&lt;="&amp;RELATORIO_03!$P$14),SUMIFS(LANÇAMENTOS_02!$J:$J,LANÇAMENTOS_02!$C:$C,AUX_03!L34,LANÇAMENTOS_02!$K:$K,"&gt;="&amp;RELATORIO_03!$O$3,LANÇAMENTOS_02!$K:$K,"&lt;="&amp;RELATORIO_03!$P$14,LANÇAMENTOS_02!$H:$H,RELATORIO_03!$N$1)))</f>
        <v>0</v>
      </c>
    </row>
    <row r="35" spans="2:13" x14ac:dyDescent="0.25">
      <c r="B35" s="31"/>
      <c r="F35" s="32"/>
      <c r="I35" s="32"/>
      <c r="J35">
        <f ca="1">IFERROR(LOOKUP(1,1/(COUNTIF($J$1:J34,INDIRECT("CADASTRO_01!$B$2:B"&amp;COUNTA(CADASTRO_01!A:A)))=0),INDIRECT("CADASTRO_01!$B$2:B"&amp;COUNTA(CADASTRO_01!A:A))),0)</f>
        <v>0</v>
      </c>
      <c r="K35">
        <f ca="1">IF(RELATORIO_03!$O$1=1,(IF(RELATORIO_03!$N$1="Todos",SUMIFS(LANÇAMENTOS_01!$J:$J,LANÇAMENTOS_01!$L:$L,"&lt;&gt;"&amp;$I$1,LANÇAMENTOS_01!$C:$C,AUX_03!J35,LANÇAMENTOS_01!$L:$L,"&gt;="&amp;RELATORIO_03!$O$3,LANÇAMENTOS_01!$L:$L,"&lt;="&amp;RELATORIO_03!$P$14),SUMIFS(LANÇAMENTOS_01!$J:$J,LANÇAMENTOS_01!$C:$C,AUX_03!J35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35,LANÇAMENTOS_01!$K:$K,"&gt;="&amp;RELATORIO_03!$O$3,LANÇAMENTOS_01!$K:$K,"&lt;="&amp;RELATORIO_03!$P$14),SUMIFS(LANÇAMENTOS_01!$J:$J,LANÇAMENTOS_01!$C:$C,AUX_03!J35,LANÇAMENTOS_01!$K:$K,"&gt;="&amp;RELATORIO_03!$O$3,LANÇAMENTOS_01!$K:$K,"&lt;="&amp;RELATORIO_03!$P$14,LANÇAMENTOS_01!$H:$H,RELATORIO_03!$N$1)))</f>
        <v>0</v>
      </c>
      <c r="L35">
        <f ca="1">IFERROR(LOOKUP(1,1/(COUNTIF($L$1:L34,INDIRECT("CADASTRO_02!$B$2:B"&amp;COUNTA(CADASTRO_02!A:A)))=0),INDIRECT("CADASTRO_02!$B$2:B"&amp;COUNTA(CADASTRO_02!A:A))),0)</f>
        <v>0</v>
      </c>
      <c r="M35">
        <f ca="1">IF(RELATORIO_03!$O$1=1,(IF(RELATORIO_03!$N$1="Todos",SUMIFS(LANÇAMENTOS_02!$J:$J,LANÇAMENTOS_02!$L:$L,"&lt;&gt;"&amp;$I$1,LANÇAMENTOS_02!$C:$C,AUX_03!L35,LANÇAMENTOS_02!$L:$L,"&gt;="&amp;RELATORIO_03!$O$3,LANÇAMENTOS_02!$L:$L,"&lt;="&amp;RELATORIO_03!$P$14),SUMIFS(LANÇAMENTOS_02!$J:$J,LANÇAMENTOS_02!$C:$C,AUX_03!L35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35,LANÇAMENTOS_02!$K:$K,"&gt;="&amp;RELATORIO_03!$O$3,LANÇAMENTOS_02!$K:$K,"&lt;="&amp;RELATORIO_03!$P$14),SUMIFS(LANÇAMENTOS_02!$J:$J,LANÇAMENTOS_02!$C:$C,AUX_03!L35,LANÇAMENTOS_02!$K:$K,"&gt;="&amp;RELATORIO_03!$O$3,LANÇAMENTOS_02!$K:$K,"&lt;="&amp;RELATORIO_03!$P$14,LANÇAMENTOS_02!$H:$H,RELATORIO_03!$N$1)))</f>
        <v>0</v>
      </c>
    </row>
    <row r="36" spans="2:13" x14ac:dyDescent="0.25">
      <c r="B36" s="31"/>
      <c r="F36" s="32"/>
      <c r="I36" s="32"/>
      <c r="J36">
        <f ca="1">IFERROR(LOOKUP(1,1/(COUNTIF($J$1:J35,INDIRECT("CADASTRO_01!$B$2:B"&amp;COUNTA(CADASTRO_01!A:A)))=0),INDIRECT("CADASTRO_01!$B$2:B"&amp;COUNTA(CADASTRO_01!A:A))),0)</f>
        <v>0</v>
      </c>
      <c r="K36">
        <f ca="1">IF(RELATORIO_03!$O$1=1,(IF(RELATORIO_03!$N$1="Todos",SUMIFS(LANÇAMENTOS_01!$J:$J,LANÇAMENTOS_01!$L:$L,"&lt;&gt;"&amp;$I$1,LANÇAMENTOS_01!$C:$C,AUX_03!J36,LANÇAMENTOS_01!$L:$L,"&gt;="&amp;RELATORIO_03!$O$3,LANÇAMENTOS_01!$L:$L,"&lt;="&amp;RELATORIO_03!$P$14),SUMIFS(LANÇAMENTOS_01!$J:$J,LANÇAMENTOS_01!$C:$C,AUX_03!J36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36,LANÇAMENTOS_01!$K:$K,"&gt;="&amp;RELATORIO_03!$O$3,LANÇAMENTOS_01!$K:$K,"&lt;="&amp;RELATORIO_03!$P$14),SUMIFS(LANÇAMENTOS_01!$J:$J,LANÇAMENTOS_01!$C:$C,AUX_03!J36,LANÇAMENTOS_01!$K:$K,"&gt;="&amp;RELATORIO_03!$O$3,LANÇAMENTOS_01!$K:$K,"&lt;="&amp;RELATORIO_03!$P$14,LANÇAMENTOS_01!$H:$H,RELATORIO_03!$N$1)))</f>
        <v>0</v>
      </c>
      <c r="L36">
        <f ca="1">IFERROR(LOOKUP(1,1/(COUNTIF($L$1:L35,INDIRECT("CADASTRO_02!$B$2:B"&amp;COUNTA(CADASTRO_02!A:A)))=0),INDIRECT("CADASTRO_02!$B$2:B"&amp;COUNTA(CADASTRO_02!A:A))),0)</f>
        <v>0</v>
      </c>
      <c r="M36">
        <f ca="1">IF(RELATORIO_03!$O$1=1,(IF(RELATORIO_03!$N$1="Todos",SUMIFS(LANÇAMENTOS_02!$J:$J,LANÇAMENTOS_02!$L:$L,"&lt;&gt;"&amp;$I$1,LANÇAMENTOS_02!$C:$C,AUX_03!L36,LANÇAMENTOS_02!$L:$L,"&gt;="&amp;RELATORIO_03!$O$3,LANÇAMENTOS_02!$L:$L,"&lt;="&amp;RELATORIO_03!$P$14),SUMIFS(LANÇAMENTOS_02!$J:$J,LANÇAMENTOS_02!$C:$C,AUX_03!L36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36,LANÇAMENTOS_02!$K:$K,"&gt;="&amp;RELATORIO_03!$O$3,LANÇAMENTOS_02!$K:$K,"&lt;="&amp;RELATORIO_03!$P$14),SUMIFS(LANÇAMENTOS_02!$J:$J,LANÇAMENTOS_02!$C:$C,AUX_03!L36,LANÇAMENTOS_02!$K:$K,"&gt;="&amp;RELATORIO_03!$O$3,LANÇAMENTOS_02!$K:$K,"&lt;="&amp;RELATORIO_03!$P$14,LANÇAMENTOS_02!$H:$H,RELATORIO_03!$N$1)))</f>
        <v>0</v>
      </c>
    </row>
    <row r="37" spans="2:13" x14ac:dyDescent="0.25">
      <c r="B37" s="31"/>
      <c r="F37" s="32"/>
      <c r="I37" s="32"/>
      <c r="J37">
        <f ca="1">IFERROR(LOOKUP(1,1/(COUNTIF($J$1:J36,INDIRECT("CADASTRO_01!$B$2:B"&amp;COUNTA(CADASTRO_01!A:A)))=0),INDIRECT("CADASTRO_01!$B$2:B"&amp;COUNTA(CADASTRO_01!A:A))),0)</f>
        <v>0</v>
      </c>
      <c r="K37">
        <f ca="1">IF(RELATORIO_03!$O$1=1,(IF(RELATORIO_03!$N$1="Todos",SUMIFS(LANÇAMENTOS_01!$J:$J,LANÇAMENTOS_01!$L:$L,"&lt;&gt;"&amp;$I$1,LANÇAMENTOS_01!$C:$C,AUX_03!J37,LANÇAMENTOS_01!$L:$L,"&gt;="&amp;RELATORIO_03!$O$3,LANÇAMENTOS_01!$L:$L,"&lt;="&amp;RELATORIO_03!$P$14),SUMIFS(LANÇAMENTOS_01!$J:$J,LANÇAMENTOS_01!$C:$C,AUX_03!J37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37,LANÇAMENTOS_01!$K:$K,"&gt;="&amp;RELATORIO_03!$O$3,LANÇAMENTOS_01!$K:$K,"&lt;="&amp;RELATORIO_03!$P$14),SUMIFS(LANÇAMENTOS_01!$J:$J,LANÇAMENTOS_01!$C:$C,AUX_03!J37,LANÇAMENTOS_01!$K:$K,"&gt;="&amp;RELATORIO_03!$O$3,LANÇAMENTOS_01!$K:$K,"&lt;="&amp;RELATORIO_03!$P$14,LANÇAMENTOS_01!$H:$H,RELATORIO_03!$N$1)))</f>
        <v>0</v>
      </c>
      <c r="L37">
        <f ca="1">IFERROR(LOOKUP(1,1/(COUNTIF($L$1:L36,INDIRECT("CADASTRO_02!$B$2:B"&amp;COUNTA(CADASTRO_02!A:A)))=0),INDIRECT("CADASTRO_02!$B$2:B"&amp;COUNTA(CADASTRO_02!A:A))),0)</f>
        <v>0</v>
      </c>
      <c r="M37">
        <f ca="1">IF(RELATORIO_03!$O$1=1,(IF(RELATORIO_03!$N$1="Todos",SUMIFS(LANÇAMENTOS_02!$J:$J,LANÇAMENTOS_02!$L:$L,"&lt;&gt;"&amp;$I$1,LANÇAMENTOS_02!$C:$C,AUX_03!L37,LANÇAMENTOS_02!$L:$L,"&gt;="&amp;RELATORIO_03!$O$3,LANÇAMENTOS_02!$L:$L,"&lt;="&amp;RELATORIO_03!$P$14),SUMIFS(LANÇAMENTOS_02!$J:$J,LANÇAMENTOS_02!$C:$C,AUX_03!L37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37,LANÇAMENTOS_02!$K:$K,"&gt;="&amp;RELATORIO_03!$O$3,LANÇAMENTOS_02!$K:$K,"&lt;="&amp;RELATORIO_03!$P$14),SUMIFS(LANÇAMENTOS_02!$J:$J,LANÇAMENTOS_02!$C:$C,AUX_03!L37,LANÇAMENTOS_02!$K:$K,"&gt;="&amp;RELATORIO_03!$O$3,LANÇAMENTOS_02!$K:$K,"&lt;="&amp;RELATORIO_03!$P$14,LANÇAMENTOS_02!$H:$H,RELATORIO_03!$N$1)))</f>
        <v>0</v>
      </c>
    </row>
    <row r="38" spans="2:13" x14ac:dyDescent="0.25">
      <c r="B38" s="31"/>
      <c r="F38" s="32"/>
      <c r="I38" s="32"/>
      <c r="J38">
        <f ca="1">IFERROR(LOOKUP(1,1/(COUNTIF($J$1:J37,INDIRECT("CADASTRO_01!$B$2:B"&amp;COUNTA(CADASTRO_01!A:A)))=0),INDIRECT("CADASTRO_01!$B$2:B"&amp;COUNTA(CADASTRO_01!A:A))),0)</f>
        <v>0</v>
      </c>
      <c r="K38">
        <f ca="1">IF(RELATORIO_03!$O$1=1,(IF(RELATORIO_03!$N$1="Todos",SUMIFS(LANÇAMENTOS_01!$J:$J,LANÇAMENTOS_01!$L:$L,"&lt;&gt;"&amp;$I$1,LANÇAMENTOS_01!$C:$C,AUX_03!J38,LANÇAMENTOS_01!$L:$L,"&gt;="&amp;RELATORIO_03!$O$3,LANÇAMENTOS_01!$L:$L,"&lt;="&amp;RELATORIO_03!$P$14),SUMIFS(LANÇAMENTOS_01!$J:$J,LANÇAMENTOS_01!$C:$C,AUX_03!J38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38,LANÇAMENTOS_01!$K:$K,"&gt;="&amp;RELATORIO_03!$O$3,LANÇAMENTOS_01!$K:$K,"&lt;="&amp;RELATORIO_03!$P$14),SUMIFS(LANÇAMENTOS_01!$J:$J,LANÇAMENTOS_01!$C:$C,AUX_03!J38,LANÇAMENTOS_01!$K:$K,"&gt;="&amp;RELATORIO_03!$O$3,LANÇAMENTOS_01!$K:$K,"&lt;="&amp;RELATORIO_03!$P$14,LANÇAMENTOS_01!$H:$H,RELATORIO_03!$N$1)))</f>
        <v>0</v>
      </c>
      <c r="L38">
        <f ca="1">IFERROR(LOOKUP(1,1/(COUNTIF($L$1:L37,INDIRECT("CADASTRO_02!$B$2:B"&amp;COUNTA(CADASTRO_02!A:A)))=0),INDIRECT("CADASTRO_02!$B$2:B"&amp;COUNTA(CADASTRO_02!A:A))),0)</f>
        <v>0</v>
      </c>
      <c r="M38">
        <f ca="1">IF(RELATORIO_03!$O$1=1,(IF(RELATORIO_03!$N$1="Todos",SUMIFS(LANÇAMENTOS_02!$J:$J,LANÇAMENTOS_02!$L:$L,"&lt;&gt;"&amp;$I$1,LANÇAMENTOS_02!$C:$C,AUX_03!L38,LANÇAMENTOS_02!$L:$L,"&gt;="&amp;RELATORIO_03!$O$3,LANÇAMENTOS_02!$L:$L,"&lt;="&amp;RELATORIO_03!$P$14),SUMIFS(LANÇAMENTOS_02!$J:$J,LANÇAMENTOS_02!$C:$C,AUX_03!L38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38,LANÇAMENTOS_02!$K:$K,"&gt;="&amp;RELATORIO_03!$O$3,LANÇAMENTOS_02!$K:$K,"&lt;="&amp;RELATORIO_03!$P$14),SUMIFS(LANÇAMENTOS_02!$J:$J,LANÇAMENTOS_02!$C:$C,AUX_03!L38,LANÇAMENTOS_02!$K:$K,"&gt;="&amp;RELATORIO_03!$O$3,LANÇAMENTOS_02!$K:$K,"&lt;="&amp;RELATORIO_03!$P$14,LANÇAMENTOS_02!$H:$H,RELATORIO_03!$N$1)))</f>
        <v>0</v>
      </c>
    </row>
    <row r="39" spans="2:13" x14ac:dyDescent="0.25">
      <c r="B39" s="31"/>
      <c r="F39" s="32"/>
      <c r="I39" s="32"/>
      <c r="J39">
        <f ca="1">IFERROR(LOOKUP(1,1/(COUNTIF($J$1:J38,INDIRECT("CADASTRO_01!$B$2:B"&amp;COUNTA(CADASTRO_01!A:A)))=0),INDIRECT("CADASTRO_01!$B$2:B"&amp;COUNTA(CADASTRO_01!A:A))),0)</f>
        <v>0</v>
      </c>
      <c r="K39">
        <f ca="1">IF(RELATORIO_03!$O$1=1,(IF(RELATORIO_03!$N$1="Todos",SUMIFS(LANÇAMENTOS_01!$J:$J,LANÇAMENTOS_01!$L:$L,"&lt;&gt;"&amp;$I$1,LANÇAMENTOS_01!$C:$C,AUX_03!J39,LANÇAMENTOS_01!$L:$L,"&gt;="&amp;RELATORIO_03!$O$3,LANÇAMENTOS_01!$L:$L,"&lt;="&amp;RELATORIO_03!$P$14),SUMIFS(LANÇAMENTOS_01!$J:$J,LANÇAMENTOS_01!$C:$C,AUX_03!J39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39,LANÇAMENTOS_01!$K:$K,"&gt;="&amp;RELATORIO_03!$O$3,LANÇAMENTOS_01!$K:$K,"&lt;="&amp;RELATORIO_03!$P$14),SUMIFS(LANÇAMENTOS_01!$J:$J,LANÇAMENTOS_01!$C:$C,AUX_03!J39,LANÇAMENTOS_01!$K:$K,"&gt;="&amp;RELATORIO_03!$O$3,LANÇAMENTOS_01!$K:$K,"&lt;="&amp;RELATORIO_03!$P$14,LANÇAMENTOS_01!$H:$H,RELATORIO_03!$N$1)))</f>
        <v>0</v>
      </c>
      <c r="L39">
        <f ca="1">IFERROR(LOOKUP(1,1/(COUNTIF($L$1:L38,INDIRECT("CADASTRO_02!$B$2:B"&amp;COUNTA(CADASTRO_02!A:A)))=0),INDIRECT("CADASTRO_02!$B$2:B"&amp;COUNTA(CADASTRO_02!A:A))),0)</f>
        <v>0</v>
      </c>
      <c r="M39">
        <f ca="1">IF(RELATORIO_03!$O$1=1,(IF(RELATORIO_03!$N$1="Todos",SUMIFS(LANÇAMENTOS_02!$J:$J,LANÇAMENTOS_02!$L:$L,"&lt;&gt;"&amp;$I$1,LANÇAMENTOS_02!$C:$C,AUX_03!L39,LANÇAMENTOS_02!$L:$L,"&gt;="&amp;RELATORIO_03!$O$3,LANÇAMENTOS_02!$L:$L,"&lt;="&amp;RELATORIO_03!$P$14),SUMIFS(LANÇAMENTOS_02!$J:$J,LANÇAMENTOS_02!$C:$C,AUX_03!L39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39,LANÇAMENTOS_02!$K:$K,"&gt;="&amp;RELATORIO_03!$O$3,LANÇAMENTOS_02!$K:$K,"&lt;="&amp;RELATORIO_03!$P$14),SUMIFS(LANÇAMENTOS_02!$J:$J,LANÇAMENTOS_02!$C:$C,AUX_03!L39,LANÇAMENTOS_02!$K:$K,"&gt;="&amp;RELATORIO_03!$O$3,LANÇAMENTOS_02!$K:$K,"&lt;="&amp;RELATORIO_03!$P$14,LANÇAMENTOS_02!$H:$H,RELATORIO_03!$N$1)))</f>
        <v>0</v>
      </c>
    </row>
    <row r="40" spans="2:13" x14ac:dyDescent="0.25">
      <c r="B40" s="31"/>
      <c r="F40" s="32"/>
      <c r="I40" s="32"/>
      <c r="J40">
        <f ca="1">IFERROR(LOOKUP(1,1/(COUNTIF($J$1:J39,INDIRECT("CADASTRO_01!$B$2:B"&amp;COUNTA(CADASTRO_01!A:A)))=0),INDIRECT("CADASTRO_01!$B$2:B"&amp;COUNTA(CADASTRO_01!A:A))),0)</f>
        <v>0</v>
      </c>
      <c r="K40">
        <f ca="1">IF(RELATORIO_03!$O$1=1,(IF(RELATORIO_03!$N$1="Todos",SUMIFS(LANÇAMENTOS_01!$J:$J,LANÇAMENTOS_01!$L:$L,"&lt;&gt;"&amp;$I$1,LANÇAMENTOS_01!$C:$C,AUX_03!J40,LANÇAMENTOS_01!$L:$L,"&gt;="&amp;RELATORIO_03!$O$3,LANÇAMENTOS_01!$L:$L,"&lt;="&amp;RELATORIO_03!$P$14),SUMIFS(LANÇAMENTOS_01!$J:$J,LANÇAMENTOS_01!$C:$C,AUX_03!J40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40,LANÇAMENTOS_01!$K:$K,"&gt;="&amp;RELATORIO_03!$O$3,LANÇAMENTOS_01!$K:$K,"&lt;="&amp;RELATORIO_03!$P$14),SUMIFS(LANÇAMENTOS_01!$J:$J,LANÇAMENTOS_01!$C:$C,AUX_03!J40,LANÇAMENTOS_01!$K:$K,"&gt;="&amp;RELATORIO_03!$O$3,LANÇAMENTOS_01!$K:$K,"&lt;="&amp;RELATORIO_03!$P$14,LANÇAMENTOS_01!$H:$H,RELATORIO_03!$N$1)))</f>
        <v>0</v>
      </c>
      <c r="L40">
        <f ca="1">IFERROR(LOOKUP(1,1/(COUNTIF($L$1:L39,INDIRECT("CADASTRO_02!$B$2:B"&amp;COUNTA(CADASTRO_02!A:A)))=0),INDIRECT("CADASTRO_02!$B$2:B"&amp;COUNTA(CADASTRO_02!A:A))),0)</f>
        <v>0</v>
      </c>
      <c r="M40">
        <f ca="1">IF(RELATORIO_03!$O$1=1,(IF(RELATORIO_03!$N$1="Todos",SUMIFS(LANÇAMENTOS_02!$J:$J,LANÇAMENTOS_02!$L:$L,"&lt;&gt;"&amp;$I$1,LANÇAMENTOS_02!$C:$C,AUX_03!L40,LANÇAMENTOS_02!$L:$L,"&gt;="&amp;RELATORIO_03!$O$3,LANÇAMENTOS_02!$L:$L,"&lt;="&amp;RELATORIO_03!$P$14),SUMIFS(LANÇAMENTOS_02!$J:$J,LANÇAMENTOS_02!$C:$C,AUX_03!L40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40,LANÇAMENTOS_02!$K:$K,"&gt;="&amp;RELATORIO_03!$O$3,LANÇAMENTOS_02!$K:$K,"&lt;="&amp;RELATORIO_03!$P$14),SUMIFS(LANÇAMENTOS_02!$J:$J,LANÇAMENTOS_02!$C:$C,AUX_03!L40,LANÇAMENTOS_02!$K:$K,"&gt;="&amp;RELATORIO_03!$O$3,LANÇAMENTOS_02!$K:$K,"&lt;="&amp;RELATORIO_03!$P$14,LANÇAMENTOS_02!$H:$H,RELATORIO_03!$N$1)))</f>
        <v>0</v>
      </c>
    </row>
    <row r="41" spans="2:13" x14ac:dyDescent="0.25">
      <c r="B41" s="31"/>
      <c r="F41" s="32"/>
      <c r="I41" s="32"/>
      <c r="J41">
        <f ca="1">IFERROR(LOOKUP(1,1/(COUNTIF($J$1:J40,INDIRECT("CADASTRO_01!$B$2:B"&amp;COUNTA(CADASTRO_01!A:A)))=0),INDIRECT("CADASTRO_01!$B$2:B"&amp;COUNTA(CADASTRO_01!A:A))),0)</f>
        <v>0</v>
      </c>
      <c r="K41">
        <f ca="1">IF(RELATORIO_03!$O$1=1,(IF(RELATORIO_03!$N$1="Todos",SUMIFS(LANÇAMENTOS_01!$J:$J,LANÇAMENTOS_01!$L:$L,"&lt;&gt;"&amp;$I$1,LANÇAMENTOS_01!$C:$C,AUX_03!J41,LANÇAMENTOS_01!$L:$L,"&gt;="&amp;RELATORIO_03!$O$3,LANÇAMENTOS_01!$L:$L,"&lt;="&amp;RELATORIO_03!$P$14),SUMIFS(LANÇAMENTOS_01!$J:$J,LANÇAMENTOS_01!$C:$C,AUX_03!J41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41,LANÇAMENTOS_01!$K:$K,"&gt;="&amp;RELATORIO_03!$O$3,LANÇAMENTOS_01!$K:$K,"&lt;="&amp;RELATORIO_03!$P$14),SUMIFS(LANÇAMENTOS_01!$J:$J,LANÇAMENTOS_01!$C:$C,AUX_03!J41,LANÇAMENTOS_01!$K:$K,"&gt;="&amp;RELATORIO_03!$O$3,LANÇAMENTOS_01!$K:$K,"&lt;="&amp;RELATORIO_03!$P$14,LANÇAMENTOS_01!$H:$H,RELATORIO_03!$N$1)))</f>
        <v>0</v>
      </c>
      <c r="L41">
        <f ca="1">IFERROR(LOOKUP(1,1/(COUNTIF($L$1:L40,INDIRECT("CADASTRO_02!$B$2:B"&amp;COUNTA(CADASTRO_02!A:A)))=0),INDIRECT("CADASTRO_02!$B$2:B"&amp;COUNTA(CADASTRO_02!A:A))),0)</f>
        <v>0</v>
      </c>
      <c r="M41">
        <f ca="1">IF(RELATORIO_03!$O$1=1,(IF(RELATORIO_03!$N$1="Todos",SUMIFS(LANÇAMENTOS_02!$J:$J,LANÇAMENTOS_02!$L:$L,"&lt;&gt;"&amp;$I$1,LANÇAMENTOS_02!$C:$C,AUX_03!L41,LANÇAMENTOS_02!$L:$L,"&gt;="&amp;RELATORIO_03!$O$3,LANÇAMENTOS_02!$L:$L,"&lt;="&amp;RELATORIO_03!$P$14),SUMIFS(LANÇAMENTOS_02!$J:$J,LANÇAMENTOS_02!$C:$C,AUX_03!L41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41,LANÇAMENTOS_02!$K:$K,"&gt;="&amp;RELATORIO_03!$O$3,LANÇAMENTOS_02!$K:$K,"&lt;="&amp;RELATORIO_03!$P$14),SUMIFS(LANÇAMENTOS_02!$J:$J,LANÇAMENTOS_02!$C:$C,AUX_03!L41,LANÇAMENTOS_02!$K:$K,"&gt;="&amp;RELATORIO_03!$O$3,LANÇAMENTOS_02!$K:$K,"&lt;="&amp;RELATORIO_03!$P$14,LANÇAMENTOS_02!$H:$H,RELATORIO_03!$N$1)))</f>
        <v>0</v>
      </c>
    </row>
    <row r="42" spans="2:13" x14ac:dyDescent="0.25">
      <c r="B42" s="31"/>
      <c r="F42" s="32"/>
      <c r="I42" s="32"/>
      <c r="J42">
        <f ca="1">IFERROR(LOOKUP(1,1/(COUNTIF($J$1:J41,INDIRECT("CADASTRO_01!$B$2:B"&amp;COUNTA(CADASTRO_01!A:A)))=0),INDIRECT("CADASTRO_01!$B$2:B"&amp;COUNTA(CADASTRO_01!A:A))),0)</f>
        <v>0</v>
      </c>
      <c r="K42">
        <f ca="1">IF(RELATORIO_03!$O$1=1,(IF(RELATORIO_03!$N$1="Todos",SUMIFS(LANÇAMENTOS_01!$J:$J,LANÇAMENTOS_01!$L:$L,"&lt;&gt;"&amp;$I$1,LANÇAMENTOS_01!$C:$C,AUX_03!J42,LANÇAMENTOS_01!$L:$L,"&gt;="&amp;RELATORIO_03!$O$3,LANÇAMENTOS_01!$L:$L,"&lt;="&amp;RELATORIO_03!$P$14),SUMIFS(LANÇAMENTOS_01!$J:$J,LANÇAMENTOS_01!$C:$C,AUX_03!J42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42,LANÇAMENTOS_01!$K:$K,"&gt;="&amp;RELATORIO_03!$O$3,LANÇAMENTOS_01!$K:$K,"&lt;="&amp;RELATORIO_03!$P$14),SUMIFS(LANÇAMENTOS_01!$J:$J,LANÇAMENTOS_01!$C:$C,AUX_03!J42,LANÇAMENTOS_01!$K:$K,"&gt;="&amp;RELATORIO_03!$O$3,LANÇAMENTOS_01!$K:$K,"&lt;="&amp;RELATORIO_03!$P$14,LANÇAMENTOS_01!$H:$H,RELATORIO_03!$N$1)))</f>
        <v>0</v>
      </c>
      <c r="L42">
        <f ca="1">IFERROR(LOOKUP(1,1/(COUNTIF($L$1:L41,INDIRECT("CADASTRO_02!$B$2:B"&amp;COUNTA(CADASTRO_02!A:A)))=0),INDIRECT("CADASTRO_02!$B$2:B"&amp;COUNTA(CADASTRO_02!A:A))),0)</f>
        <v>0</v>
      </c>
      <c r="M42">
        <f ca="1">IF(RELATORIO_03!$O$1=1,(IF(RELATORIO_03!$N$1="Todos",SUMIFS(LANÇAMENTOS_02!$J:$J,LANÇAMENTOS_02!$L:$L,"&lt;&gt;"&amp;$I$1,LANÇAMENTOS_02!$C:$C,AUX_03!L42,LANÇAMENTOS_02!$L:$L,"&gt;="&amp;RELATORIO_03!$O$3,LANÇAMENTOS_02!$L:$L,"&lt;="&amp;RELATORIO_03!$P$14),SUMIFS(LANÇAMENTOS_02!$J:$J,LANÇAMENTOS_02!$C:$C,AUX_03!L42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42,LANÇAMENTOS_02!$K:$K,"&gt;="&amp;RELATORIO_03!$O$3,LANÇAMENTOS_02!$K:$K,"&lt;="&amp;RELATORIO_03!$P$14),SUMIFS(LANÇAMENTOS_02!$J:$J,LANÇAMENTOS_02!$C:$C,AUX_03!L42,LANÇAMENTOS_02!$K:$K,"&gt;="&amp;RELATORIO_03!$O$3,LANÇAMENTOS_02!$K:$K,"&lt;="&amp;RELATORIO_03!$P$14,LANÇAMENTOS_02!$H:$H,RELATORIO_03!$N$1)))</f>
        <v>0</v>
      </c>
    </row>
    <row r="43" spans="2:13" x14ac:dyDescent="0.25">
      <c r="B43" s="31"/>
      <c r="F43" s="32"/>
      <c r="I43" s="32"/>
      <c r="J43">
        <f ca="1">IFERROR(LOOKUP(1,1/(COUNTIF($J$1:J42,INDIRECT("CADASTRO_01!$B$2:B"&amp;COUNTA(CADASTRO_01!A:A)))=0),INDIRECT("CADASTRO_01!$B$2:B"&amp;COUNTA(CADASTRO_01!A:A))),0)</f>
        <v>0</v>
      </c>
      <c r="K43">
        <f ca="1">IF(RELATORIO_03!$O$1=1,(IF(RELATORIO_03!$N$1="Todos",SUMIFS(LANÇAMENTOS_01!$J:$J,LANÇAMENTOS_01!$L:$L,"&lt;&gt;"&amp;$I$1,LANÇAMENTOS_01!$C:$C,AUX_03!J43,LANÇAMENTOS_01!$L:$L,"&gt;="&amp;RELATORIO_03!$O$3,LANÇAMENTOS_01!$L:$L,"&lt;="&amp;RELATORIO_03!$P$14),SUMIFS(LANÇAMENTOS_01!$J:$J,LANÇAMENTOS_01!$C:$C,AUX_03!J43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43,LANÇAMENTOS_01!$K:$K,"&gt;="&amp;RELATORIO_03!$O$3,LANÇAMENTOS_01!$K:$K,"&lt;="&amp;RELATORIO_03!$P$14),SUMIFS(LANÇAMENTOS_01!$J:$J,LANÇAMENTOS_01!$C:$C,AUX_03!J43,LANÇAMENTOS_01!$K:$K,"&gt;="&amp;RELATORIO_03!$O$3,LANÇAMENTOS_01!$K:$K,"&lt;="&amp;RELATORIO_03!$P$14,LANÇAMENTOS_01!$H:$H,RELATORIO_03!$N$1)))</f>
        <v>0</v>
      </c>
      <c r="L43">
        <f ca="1">IFERROR(LOOKUP(1,1/(COUNTIF($L$1:L42,INDIRECT("CADASTRO_02!$B$2:B"&amp;COUNTA(CADASTRO_02!A:A)))=0),INDIRECT("CADASTRO_02!$B$2:B"&amp;COUNTA(CADASTRO_02!A:A))),0)</f>
        <v>0</v>
      </c>
      <c r="M43">
        <f ca="1">IF(RELATORIO_03!$O$1=1,(IF(RELATORIO_03!$N$1="Todos",SUMIFS(LANÇAMENTOS_02!$J:$J,LANÇAMENTOS_02!$L:$L,"&lt;&gt;"&amp;$I$1,LANÇAMENTOS_02!$C:$C,AUX_03!L43,LANÇAMENTOS_02!$L:$L,"&gt;="&amp;RELATORIO_03!$O$3,LANÇAMENTOS_02!$L:$L,"&lt;="&amp;RELATORIO_03!$P$14),SUMIFS(LANÇAMENTOS_02!$J:$J,LANÇAMENTOS_02!$C:$C,AUX_03!L43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43,LANÇAMENTOS_02!$K:$K,"&gt;="&amp;RELATORIO_03!$O$3,LANÇAMENTOS_02!$K:$K,"&lt;="&amp;RELATORIO_03!$P$14),SUMIFS(LANÇAMENTOS_02!$J:$J,LANÇAMENTOS_02!$C:$C,AUX_03!L43,LANÇAMENTOS_02!$K:$K,"&gt;="&amp;RELATORIO_03!$O$3,LANÇAMENTOS_02!$K:$K,"&lt;="&amp;RELATORIO_03!$P$14,LANÇAMENTOS_02!$H:$H,RELATORIO_03!$N$1)))</f>
        <v>0</v>
      </c>
    </row>
    <row r="44" spans="2:13" x14ac:dyDescent="0.25">
      <c r="B44" s="31"/>
      <c r="F44" s="32"/>
      <c r="I44" s="32"/>
      <c r="J44">
        <f ca="1">IFERROR(LOOKUP(1,1/(COUNTIF($J$1:J43,INDIRECT("CADASTRO_01!$B$2:B"&amp;COUNTA(CADASTRO_01!A:A)))=0),INDIRECT("CADASTRO_01!$B$2:B"&amp;COUNTA(CADASTRO_01!A:A))),0)</f>
        <v>0</v>
      </c>
      <c r="K44">
        <f ca="1">IF(RELATORIO_03!$O$1=1,(IF(RELATORIO_03!$N$1="Todos",SUMIFS(LANÇAMENTOS_01!$J:$J,LANÇAMENTOS_01!$L:$L,"&lt;&gt;"&amp;$I$1,LANÇAMENTOS_01!$C:$C,AUX_03!J44,LANÇAMENTOS_01!$L:$L,"&gt;="&amp;RELATORIO_03!$O$3,LANÇAMENTOS_01!$L:$L,"&lt;="&amp;RELATORIO_03!$P$14),SUMIFS(LANÇAMENTOS_01!$J:$J,LANÇAMENTOS_01!$C:$C,AUX_03!J44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44,LANÇAMENTOS_01!$K:$K,"&gt;="&amp;RELATORIO_03!$O$3,LANÇAMENTOS_01!$K:$K,"&lt;="&amp;RELATORIO_03!$P$14),SUMIFS(LANÇAMENTOS_01!$J:$J,LANÇAMENTOS_01!$C:$C,AUX_03!J44,LANÇAMENTOS_01!$K:$K,"&gt;="&amp;RELATORIO_03!$O$3,LANÇAMENTOS_01!$K:$K,"&lt;="&amp;RELATORIO_03!$P$14,LANÇAMENTOS_01!$H:$H,RELATORIO_03!$N$1)))</f>
        <v>0</v>
      </c>
      <c r="L44">
        <f ca="1">IFERROR(LOOKUP(1,1/(COUNTIF($L$1:L43,INDIRECT("CADASTRO_02!$B$2:B"&amp;COUNTA(CADASTRO_02!A:A)))=0),INDIRECT("CADASTRO_02!$B$2:B"&amp;COUNTA(CADASTRO_02!A:A))),0)</f>
        <v>0</v>
      </c>
      <c r="M44">
        <f ca="1">IF(RELATORIO_03!$O$1=1,(IF(RELATORIO_03!$N$1="Todos",SUMIFS(LANÇAMENTOS_02!$J:$J,LANÇAMENTOS_02!$L:$L,"&lt;&gt;"&amp;$I$1,LANÇAMENTOS_02!$C:$C,AUX_03!L44,LANÇAMENTOS_02!$L:$L,"&gt;="&amp;RELATORIO_03!$O$3,LANÇAMENTOS_02!$L:$L,"&lt;="&amp;RELATORIO_03!$P$14),SUMIFS(LANÇAMENTOS_02!$J:$J,LANÇAMENTOS_02!$C:$C,AUX_03!L44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44,LANÇAMENTOS_02!$K:$K,"&gt;="&amp;RELATORIO_03!$O$3,LANÇAMENTOS_02!$K:$K,"&lt;="&amp;RELATORIO_03!$P$14),SUMIFS(LANÇAMENTOS_02!$J:$J,LANÇAMENTOS_02!$C:$C,AUX_03!L44,LANÇAMENTOS_02!$K:$K,"&gt;="&amp;RELATORIO_03!$O$3,LANÇAMENTOS_02!$K:$K,"&lt;="&amp;RELATORIO_03!$P$14,LANÇAMENTOS_02!$H:$H,RELATORIO_03!$N$1)))</f>
        <v>0</v>
      </c>
    </row>
    <row r="45" spans="2:13" x14ac:dyDescent="0.25">
      <c r="B45" s="31"/>
      <c r="F45" s="32"/>
      <c r="I45" s="32"/>
      <c r="J45">
        <f ca="1">IFERROR(LOOKUP(1,1/(COUNTIF($J$1:J44,INDIRECT("CADASTRO_01!$B$2:B"&amp;COUNTA(CADASTRO_01!A:A)))=0),INDIRECT("CADASTRO_01!$B$2:B"&amp;COUNTA(CADASTRO_01!A:A))),0)</f>
        <v>0</v>
      </c>
      <c r="K45">
        <f ca="1">IF(RELATORIO_03!$O$1=1,(IF(RELATORIO_03!$N$1="Todos",SUMIFS(LANÇAMENTOS_01!$J:$J,LANÇAMENTOS_01!$L:$L,"&lt;&gt;"&amp;$I$1,LANÇAMENTOS_01!$C:$C,AUX_03!J45,LANÇAMENTOS_01!$L:$L,"&gt;="&amp;RELATORIO_03!$O$3,LANÇAMENTOS_01!$L:$L,"&lt;="&amp;RELATORIO_03!$P$14),SUMIFS(LANÇAMENTOS_01!$J:$J,LANÇAMENTOS_01!$C:$C,AUX_03!J45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45,LANÇAMENTOS_01!$K:$K,"&gt;="&amp;RELATORIO_03!$O$3,LANÇAMENTOS_01!$K:$K,"&lt;="&amp;RELATORIO_03!$P$14),SUMIFS(LANÇAMENTOS_01!$J:$J,LANÇAMENTOS_01!$C:$C,AUX_03!J45,LANÇAMENTOS_01!$K:$K,"&gt;="&amp;RELATORIO_03!$O$3,LANÇAMENTOS_01!$K:$K,"&lt;="&amp;RELATORIO_03!$P$14,LANÇAMENTOS_01!$H:$H,RELATORIO_03!$N$1)))</f>
        <v>0</v>
      </c>
      <c r="L45">
        <f ca="1">IFERROR(LOOKUP(1,1/(COUNTIF($L$1:L44,INDIRECT("CADASTRO_02!$B$2:B"&amp;COUNTA(CADASTRO_02!A:A)))=0),INDIRECT("CADASTRO_02!$B$2:B"&amp;COUNTA(CADASTRO_02!A:A))),0)</f>
        <v>0</v>
      </c>
      <c r="M45">
        <f ca="1">IF(RELATORIO_03!$O$1=1,(IF(RELATORIO_03!$N$1="Todos",SUMIFS(LANÇAMENTOS_02!$J:$J,LANÇAMENTOS_02!$L:$L,"&lt;&gt;"&amp;$I$1,LANÇAMENTOS_02!$C:$C,AUX_03!L45,LANÇAMENTOS_02!$L:$L,"&gt;="&amp;RELATORIO_03!$O$3,LANÇAMENTOS_02!$L:$L,"&lt;="&amp;RELATORIO_03!$P$14),SUMIFS(LANÇAMENTOS_02!$J:$J,LANÇAMENTOS_02!$C:$C,AUX_03!L45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45,LANÇAMENTOS_02!$K:$K,"&gt;="&amp;RELATORIO_03!$O$3,LANÇAMENTOS_02!$K:$K,"&lt;="&amp;RELATORIO_03!$P$14),SUMIFS(LANÇAMENTOS_02!$J:$J,LANÇAMENTOS_02!$C:$C,AUX_03!L45,LANÇAMENTOS_02!$K:$K,"&gt;="&amp;RELATORIO_03!$O$3,LANÇAMENTOS_02!$K:$K,"&lt;="&amp;RELATORIO_03!$P$14,LANÇAMENTOS_02!$H:$H,RELATORIO_03!$N$1)))</f>
        <v>0</v>
      </c>
    </row>
    <row r="46" spans="2:13" x14ac:dyDescent="0.25">
      <c r="B46" s="31"/>
      <c r="F46" s="32"/>
      <c r="I46" s="32"/>
      <c r="J46">
        <f ca="1">IFERROR(LOOKUP(1,1/(COUNTIF($J$1:J45,INDIRECT("CADASTRO_01!$B$2:B"&amp;COUNTA(CADASTRO_01!A:A)))=0),INDIRECT("CADASTRO_01!$B$2:B"&amp;COUNTA(CADASTRO_01!A:A))),0)</f>
        <v>0</v>
      </c>
      <c r="K46">
        <f ca="1">IF(RELATORIO_03!$O$1=1,(IF(RELATORIO_03!$N$1="Todos",SUMIFS(LANÇAMENTOS_01!$J:$J,LANÇAMENTOS_01!$L:$L,"&lt;&gt;"&amp;$I$1,LANÇAMENTOS_01!$C:$C,AUX_03!J46,LANÇAMENTOS_01!$L:$L,"&gt;="&amp;RELATORIO_03!$O$3,LANÇAMENTOS_01!$L:$L,"&lt;="&amp;RELATORIO_03!$P$14),SUMIFS(LANÇAMENTOS_01!$J:$J,LANÇAMENTOS_01!$C:$C,AUX_03!J46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46,LANÇAMENTOS_01!$K:$K,"&gt;="&amp;RELATORIO_03!$O$3,LANÇAMENTOS_01!$K:$K,"&lt;="&amp;RELATORIO_03!$P$14),SUMIFS(LANÇAMENTOS_01!$J:$J,LANÇAMENTOS_01!$C:$C,AUX_03!J46,LANÇAMENTOS_01!$K:$K,"&gt;="&amp;RELATORIO_03!$O$3,LANÇAMENTOS_01!$K:$K,"&lt;="&amp;RELATORIO_03!$P$14,LANÇAMENTOS_01!$H:$H,RELATORIO_03!$N$1)))</f>
        <v>0</v>
      </c>
      <c r="L46">
        <f ca="1">IFERROR(LOOKUP(1,1/(COUNTIF($L$1:L45,INDIRECT("CADASTRO_02!$B$2:B"&amp;COUNTA(CADASTRO_02!A:A)))=0),INDIRECT("CADASTRO_02!$B$2:B"&amp;COUNTA(CADASTRO_02!A:A))),0)</f>
        <v>0</v>
      </c>
      <c r="M46">
        <f ca="1">IF(RELATORIO_03!$O$1=1,(IF(RELATORIO_03!$N$1="Todos",SUMIFS(LANÇAMENTOS_02!$J:$J,LANÇAMENTOS_02!$L:$L,"&lt;&gt;"&amp;$I$1,LANÇAMENTOS_02!$C:$C,AUX_03!L46,LANÇAMENTOS_02!$L:$L,"&gt;="&amp;RELATORIO_03!$O$3,LANÇAMENTOS_02!$L:$L,"&lt;="&amp;RELATORIO_03!$P$14),SUMIFS(LANÇAMENTOS_02!$J:$J,LANÇAMENTOS_02!$C:$C,AUX_03!L46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46,LANÇAMENTOS_02!$K:$K,"&gt;="&amp;RELATORIO_03!$O$3,LANÇAMENTOS_02!$K:$K,"&lt;="&amp;RELATORIO_03!$P$14),SUMIFS(LANÇAMENTOS_02!$J:$J,LANÇAMENTOS_02!$C:$C,AUX_03!L46,LANÇAMENTOS_02!$K:$K,"&gt;="&amp;RELATORIO_03!$O$3,LANÇAMENTOS_02!$K:$K,"&lt;="&amp;RELATORIO_03!$P$14,LANÇAMENTOS_02!$H:$H,RELATORIO_03!$N$1)))</f>
        <v>0</v>
      </c>
    </row>
    <row r="47" spans="2:13" x14ac:dyDescent="0.25">
      <c r="B47" s="31"/>
      <c r="F47" s="32"/>
      <c r="I47" s="32"/>
      <c r="J47">
        <f ca="1">IFERROR(LOOKUP(1,1/(COUNTIF($J$1:J46,INDIRECT("CADASTRO_01!$B$2:B"&amp;COUNTA(CADASTRO_01!A:A)))=0),INDIRECT("CADASTRO_01!$B$2:B"&amp;COUNTA(CADASTRO_01!A:A))),0)</f>
        <v>0</v>
      </c>
      <c r="K47">
        <f ca="1">IF(RELATORIO_03!$O$1=1,(IF(RELATORIO_03!$N$1="Todos",SUMIFS(LANÇAMENTOS_01!$J:$J,LANÇAMENTOS_01!$L:$L,"&lt;&gt;"&amp;$I$1,LANÇAMENTOS_01!$C:$C,AUX_03!J47,LANÇAMENTOS_01!$L:$L,"&gt;="&amp;RELATORIO_03!$O$3,LANÇAMENTOS_01!$L:$L,"&lt;="&amp;RELATORIO_03!$P$14),SUMIFS(LANÇAMENTOS_01!$J:$J,LANÇAMENTOS_01!$C:$C,AUX_03!J47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47,LANÇAMENTOS_01!$K:$K,"&gt;="&amp;RELATORIO_03!$O$3,LANÇAMENTOS_01!$K:$K,"&lt;="&amp;RELATORIO_03!$P$14),SUMIFS(LANÇAMENTOS_01!$J:$J,LANÇAMENTOS_01!$C:$C,AUX_03!J47,LANÇAMENTOS_01!$K:$K,"&gt;="&amp;RELATORIO_03!$O$3,LANÇAMENTOS_01!$K:$K,"&lt;="&amp;RELATORIO_03!$P$14,LANÇAMENTOS_01!$H:$H,RELATORIO_03!$N$1)))</f>
        <v>0</v>
      </c>
      <c r="L47">
        <f ca="1">IFERROR(LOOKUP(1,1/(COUNTIF($L$1:L46,INDIRECT("CADASTRO_02!$B$2:B"&amp;COUNTA(CADASTRO_02!A:A)))=0),INDIRECT("CADASTRO_02!$B$2:B"&amp;COUNTA(CADASTRO_02!A:A))),0)</f>
        <v>0</v>
      </c>
      <c r="M47">
        <f ca="1">IF(RELATORIO_03!$O$1=1,(IF(RELATORIO_03!$N$1="Todos",SUMIFS(LANÇAMENTOS_02!$J:$J,LANÇAMENTOS_02!$L:$L,"&lt;&gt;"&amp;$I$1,LANÇAMENTOS_02!$C:$C,AUX_03!L47,LANÇAMENTOS_02!$L:$L,"&gt;="&amp;RELATORIO_03!$O$3,LANÇAMENTOS_02!$L:$L,"&lt;="&amp;RELATORIO_03!$P$14),SUMIFS(LANÇAMENTOS_02!$J:$J,LANÇAMENTOS_02!$C:$C,AUX_03!L47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47,LANÇAMENTOS_02!$K:$K,"&gt;="&amp;RELATORIO_03!$O$3,LANÇAMENTOS_02!$K:$K,"&lt;="&amp;RELATORIO_03!$P$14),SUMIFS(LANÇAMENTOS_02!$J:$J,LANÇAMENTOS_02!$C:$C,AUX_03!L47,LANÇAMENTOS_02!$K:$K,"&gt;="&amp;RELATORIO_03!$O$3,LANÇAMENTOS_02!$K:$K,"&lt;="&amp;RELATORIO_03!$P$14,LANÇAMENTOS_02!$H:$H,RELATORIO_03!$N$1)))</f>
        <v>0</v>
      </c>
    </row>
    <row r="48" spans="2:13" x14ac:dyDescent="0.25">
      <c r="B48" s="31"/>
      <c r="F48" s="32"/>
      <c r="I48" s="32"/>
      <c r="J48">
        <f ca="1">IFERROR(LOOKUP(1,1/(COUNTIF($J$1:J47,INDIRECT("CADASTRO_01!$B$2:B"&amp;COUNTA(CADASTRO_01!A:A)))=0),INDIRECT("CADASTRO_01!$B$2:B"&amp;COUNTA(CADASTRO_01!A:A))),0)</f>
        <v>0</v>
      </c>
      <c r="K48">
        <f ca="1">IF(RELATORIO_03!$O$1=1,(IF(RELATORIO_03!$N$1="Todos",SUMIFS(LANÇAMENTOS_01!$J:$J,LANÇAMENTOS_01!$L:$L,"&lt;&gt;"&amp;$I$1,LANÇAMENTOS_01!$C:$C,AUX_03!J48,LANÇAMENTOS_01!$L:$L,"&gt;="&amp;RELATORIO_03!$O$3,LANÇAMENTOS_01!$L:$L,"&lt;="&amp;RELATORIO_03!$P$14),SUMIFS(LANÇAMENTOS_01!$J:$J,LANÇAMENTOS_01!$C:$C,AUX_03!J48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48,LANÇAMENTOS_01!$K:$K,"&gt;="&amp;RELATORIO_03!$O$3,LANÇAMENTOS_01!$K:$K,"&lt;="&amp;RELATORIO_03!$P$14),SUMIFS(LANÇAMENTOS_01!$J:$J,LANÇAMENTOS_01!$C:$C,AUX_03!J48,LANÇAMENTOS_01!$K:$K,"&gt;="&amp;RELATORIO_03!$O$3,LANÇAMENTOS_01!$K:$K,"&lt;="&amp;RELATORIO_03!$P$14,LANÇAMENTOS_01!$H:$H,RELATORIO_03!$N$1)))</f>
        <v>0</v>
      </c>
      <c r="L48">
        <f ca="1">IFERROR(LOOKUP(1,1/(COUNTIF($L$1:L47,INDIRECT("CADASTRO_02!$B$2:B"&amp;COUNTA(CADASTRO_02!A:A)))=0),INDIRECT("CADASTRO_02!$B$2:B"&amp;COUNTA(CADASTRO_02!A:A))),0)</f>
        <v>0</v>
      </c>
      <c r="M48">
        <f ca="1">IF(RELATORIO_03!$O$1=1,(IF(RELATORIO_03!$N$1="Todos",SUMIFS(LANÇAMENTOS_02!$J:$J,LANÇAMENTOS_02!$L:$L,"&lt;&gt;"&amp;$I$1,LANÇAMENTOS_02!$C:$C,AUX_03!L48,LANÇAMENTOS_02!$L:$L,"&gt;="&amp;RELATORIO_03!$O$3,LANÇAMENTOS_02!$L:$L,"&lt;="&amp;RELATORIO_03!$P$14),SUMIFS(LANÇAMENTOS_02!$J:$J,LANÇAMENTOS_02!$C:$C,AUX_03!L48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48,LANÇAMENTOS_02!$K:$K,"&gt;="&amp;RELATORIO_03!$O$3,LANÇAMENTOS_02!$K:$K,"&lt;="&amp;RELATORIO_03!$P$14),SUMIFS(LANÇAMENTOS_02!$J:$J,LANÇAMENTOS_02!$C:$C,AUX_03!L48,LANÇAMENTOS_02!$K:$K,"&gt;="&amp;RELATORIO_03!$O$3,LANÇAMENTOS_02!$K:$K,"&lt;="&amp;RELATORIO_03!$P$14,LANÇAMENTOS_02!$H:$H,RELATORIO_03!$N$1)))</f>
        <v>0</v>
      </c>
    </row>
    <row r="49" spans="2:13" x14ac:dyDescent="0.25">
      <c r="B49" s="31"/>
      <c r="F49" s="32"/>
      <c r="I49" s="32"/>
      <c r="J49">
        <f ca="1">IFERROR(LOOKUP(1,1/(COUNTIF($J$1:J48,INDIRECT("CADASTRO_01!$B$2:B"&amp;COUNTA(CADASTRO_01!A:A)))=0),INDIRECT("CADASTRO_01!$B$2:B"&amp;COUNTA(CADASTRO_01!A:A))),0)</f>
        <v>0</v>
      </c>
      <c r="K49">
        <f ca="1">IF(RELATORIO_03!$O$1=1,(IF(RELATORIO_03!$N$1="Todos",SUMIFS(LANÇAMENTOS_01!$J:$J,LANÇAMENTOS_01!$L:$L,"&lt;&gt;"&amp;$I$1,LANÇAMENTOS_01!$C:$C,AUX_03!J49,LANÇAMENTOS_01!$L:$L,"&gt;="&amp;RELATORIO_03!$O$3,LANÇAMENTOS_01!$L:$L,"&lt;="&amp;RELATORIO_03!$P$14),SUMIFS(LANÇAMENTOS_01!$J:$J,LANÇAMENTOS_01!$C:$C,AUX_03!J49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49,LANÇAMENTOS_01!$K:$K,"&gt;="&amp;RELATORIO_03!$O$3,LANÇAMENTOS_01!$K:$K,"&lt;="&amp;RELATORIO_03!$P$14),SUMIFS(LANÇAMENTOS_01!$J:$J,LANÇAMENTOS_01!$C:$C,AUX_03!J49,LANÇAMENTOS_01!$K:$K,"&gt;="&amp;RELATORIO_03!$O$3,LANÇAMENTOS_01!$K:$K,"&lt;="&amp;RELATORIO_03!$P$14,LANÇAMENTOS_01!$H:$H,RELATORIO_03!$N$1)))</f>
        <v>0</v>
      </c>
      <c r="L49">
        <f ca="1">IFERROR(LOOKUP(1,1/(COUNTIF($L$1:L48,INDIRECT("CADASTRO_02!$B$2:B"&amp;COUNTA(CADASTRO_02!A:A)))=0),INDIRECT("CADASTRO_02!$B$2:B"&amp;COUNTA(CADASTRO_02!A:A))),0)</f>
        <v>0</v>
      </c>
      <c r="M49">
        <f ca="1">IF(RELATORIO_03!$O$1=1,(IF(RELATORIO_03!$N$1="Todos",SUMIFS(LANÇAMENTOS_02!$J:$J,LANÇAMENTOS_02!$L:$L,"&lt;&gt;"&amp;$I$1,LANÇAMENTOS_02!$C:$C,AUX_03!L49,LANÇAMENTOS_02!$L:$L,"&gt;="&amp;RELATORIO_03!$O$3,LANÇAMENTOS_02!$L:$L,"&lt;="&amp;RELATORIO_03!$P$14),SUMIFS(LANÇAMENTOS_02!$J:$J,LANÇAMENTOS_02!$C:$C,AUX_03!L49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49,LANÇAMENTOS_02!$K:$K,"&gt;="&amp;RELATORIO_03!$O$3,LANÇAMENTOS_02!$K:$K,"&lt;="&amp;RELATORIO_03!$P$14),SUMIFS(LANÇAMENTOS_02!$J:$J,LANÇAMENTOS_02!$C:$C,AUX_03!L49,LANÇAMENTOS_02!$K:$K,"&gt;="&amp;RELATORIO_03!$O$3,LANÇAMENTOS_02!$K:$K,"&lt;="&amp;RELATORIO_03!$P$14,LANÇAMENTOS_02!$H:$H,RELATORIO_03!$N$1)))</f>
        <v>0</v>
      </c>
    </row>
    <row r="50" spans="2:13" x14ac:dyDescent="0.25">
      <c r="B50" s="31"/>
      <c r="F50" s="32"/>
      <c r="I50" s="32"/>
      <c r="J50">
        <f ca="1">IFERROR(LOOKUP(1,1/(COUNTIF($J$1:J49,INDIRECT("CADASTRO_01!$B$2:B"&amp;COUNTA(CADASTRO_01!A:A)))=0),INDIRECT("CADASTRO_01!$B$2:B"&amp;COUNTA(CADASTRO_01!A:A))),0)</f>
        <v>0</v>
      </c>
      <c r="K50">
        <f ca="1">IF(RELATORIO_03!$O$1=1,(IF(RELATORIO_03!$N$1="Todos",SUMIFS(LANÇAMENTOS_01!$J:$J,LANÇAMENTOS_01!$L:$L,"&lt;&gt;"&amp;$I$1,LANÇAMENTOS_01!$C:$C,AUX_03!J50,LANÇAMENTOS_01!$L:$L,"&gt;="&amp;RELATORIO_03!$O$3,LANÇAMENTOS_01!$L:$L,"&lt;="&amp;RELATORIO_03!$P$14),SUMIFS(LANÇAMENTOS_01!$J:$J,LANÇAMENTOS_01!$C:$C,AUX_03!J50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50,LANÇAMENTOS_01!$K:$K,"&gt;="&amp;RELATORIO_03!$O$3,LANÇAMENTOS_01!$K:$K,"&lt;="&amp;RELATORIO_03!$P$14),SUMIFS(LANÇAMENTOS_01!$J:$J,LANÇAMENTOS_01!$C:$C,AUX_03!J50,LANÇAMENTOS_01!$K:$K,"&gt;="&amp;RELATORIO_03!$O$3,LANÇAMENTOS_01!$K:$K,"&lt;="&amp;RELATORIO_03!$P$14,LANÇAMENTOS_01!$H:$H,RELATORIO_03!$N$1)))</f>
        <v>0</v>
      </c>
      <c r="L50">
        <f ca="1">IFERROR(LOOKUP(1,1/(COUNTIF($L$1:L49,INDIRECT("CADASTRO_02!$B$2:B"&amp;COUNTA(CADASTRO_02!A:A)))=0),INDIRECT("CADASTRO_02!$B$2:B"&amp;COUNTA(CADASTRO_02!A:A))),0)</f>
        <v>0</v>
      </c>
      <c r="M50">
        <f ca="1">IF(RELATORIO_03!$O$1=1,(IF(RELATORIO_03!$N$1="Todos",SUMIFS(LANÇAMENTOS_02!$J:$J,LANÇAMENTOS_02!$L:$L,"&lt;&gt;"&amp;$I$1,LANÇAMENTOS_02!$C:$C,AUX_03!L50,LANÇAMENTOS_02!$L:$L,"&gt;="&amp;RELATORIO_03!$O$3,LANÇAMENTOS_02!$L:$L,"&lt;="&amp;RELATORIO_03!$P$14),SUMIFS(LANÇAMENTOS_02!$J:$J,LANÇAMENTOS_02!$C:$C,AUX_03!L50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50,LANÇAMENTOS_02!$K:$K,"&gt;="&amp;RELATORIO_03!$O$3,LANÇAMENTOS_02!$K:$K,"&lt;="&amp;RELATORIO_03!$P$14),SUMIFS(LANÇAMENTOS_02!$J:$J,LANÇAMENTOS_02!$C:$C,AUX_03!L50,LANÇAMENTOS_02!$K:$K,"&gt;="&amp;RELATORIO_03!$O$3,LANÇAMENTOS_02!$K:$K,"&lt;="&amp;RELATORIO_03!$P$14,LANÇAMENTOS_02!$H:$H,RELATORIO_03!$N$1)))</f>
        <v>0</v>
      </c>
    </row>
    <row r="51" spans="2:13" x14ac:dyDescent="0.25">
      <c r="B51" s="31"/>
      <c r="F51" s="32"/>
      <c r="I51" s="32"/>
      <c r="J51">
        <f ca="1">IFERROR(LOOKUP(1,1/(COUNTIF($J$1:J50,INDIRECT("CADASTRO_01!$B$2:B"&amp;COUNTA(CADASTRO_01!A:A)))=0),INDIRECT("CADASTRO_01!$B$2:B"&amp;COUNTA(CADASTRO_01!A:A))),0)</f>
        <v>0</v>
      </c>
      <c r="K51">
        <f ca="1">IF(RELATORIO_03!$O$1=1,(IF(RELATORIO_03!$N$1="Todos",SUMIFS(LANÇAMENTOS_01!$J:$J,LANÇAMENTOS_01!$L:$L,"&lt;&gt;"&amp;$I$1,LANÇAMENTOS_01!$C:$C,AUX_03!J51,LANÇAMENTOS_01!$L:$L,"&gt;="&amp;RELATORIO_03!$O$3,LANÇAMENTOS_01!$L:$L,"&lt;="&amp;RELATORIO_03!$P$14),SUMIFS(LANÇAMENTOS_01!$J:$J,LANÇAMENTOS_01!$C:$C,AUX_03!J51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51,LANÇAMENTOS_01!$K:$K,"&gt;="&amp;RELATORIO_03!$O$3,LANÇAMENTOS_01!$K:$K,"&lt;="&amp;RELATORIO_03!$P$14),SUMIFS(LANÇAMENTOS_01!$J:$J,LANÇAMENTOS_01!$C:$C,AUX_03!J51,LANÇAMENTOS_01!$K:$K,"&gt;="&amp;RELATORIO_03!$O$3,LANÇAMENTOS_01!$K:$K,"&lt;="&amp;RELATORIO_03!$P$14,LANÇAMENTOS_01!$H:$H,RELATORIO_03!$N$1)))</f>
        <v>0</v>
      </c>
      <c r="L51">
        <f ca="1">IFERROR(LOOKUP(1,1/(COUNTIF($L$1:L50,INDIRECT("CADASTRO_02!$B$2:B"&amp;COUNTA(CADASTRO_02!A:A)))=0),INDIRECT("CADASTRO_02!$B$2:B"&amp;COUNTA(CADASTRO_02!A:A))),0)</f>
        <v>0</v>
      </c>
      <c r="M51">
        <f ca="1">IF(RELATORIO_03!$O$1=1,(IF(RELATORIO_03!$N$1="Todos",SUMIFS(LANÇAMENTOS_02!$J:$J,LANÇAMENTOS_02!$L:$L,"&lt;&gt;"&amp;$I$1,LANÇAMENTOS_02!$C:$C,AUX_03!L51,LANÇAMENTOS_02!$L:$L,"&gt;="&amp;RELATORIO_03!$O$3,LANÇAMENTOS_02!$L:$L,"&lt;="&amp;RELATORIO_03!$P$14),SUMIFS(LANÇAMENTOS_02!$J:$J,LANÇAMENTOS_02!$C:$C,AUX_03!L51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51,LANÇAMENTOS_02!$K:$K,"&gt;="&amp;RELATORIO_03!$O$3,LANÇAMENTOS_02!$K:$K,"&lt;="&amp;RELATORIO_03!$P$14),SUMIFS(LANÇAMENTOS_02!$J:$J,LANÇAMENTOS_02!$C:$C,AUX_03!L51,LANÇAMENTOS_02!$K:$K,"&gt;="&amp;RELATORIO_03!$O$3,LANÇAMENTOS_02!$K:$K,"&lt;="&amp;RELATORIO_03!$P$14,LANÇAMENTOS_02!$H:$H,RELATORIO_03!$N$1)))</f>
        <v>0</v>
      </c>
    </row>
    <row r="52" spans="2:13" x14ac:dyDescent="0.25">
      <c r="B52" s="31"/>
      <c r="F52" s="32"/>
      <c r="I52" s="32"/>
      <c r="J52">
        <f ca="1">IFERROR(LOOKUP(1,1/(COUNTIF($J$1:J51,INDIRECT("CADASTRO_01!$B$2:B"&amp;COUNTA(CADASTRO_01!A:A)))=0),INDIRECT("CADASTRO_01!$B$2:B"&amp;COUNTA(CADASTRO_01!A:A))),0)</f>
        <v>0</v>
      </c>
      <c r="K52">
        <f ca="1">IF(RELATORIO_03!$O$1=1,(IF(RELATORIO_03!$N$1="Todos",SUMIFS(LANÇAMENTOS_01!$J:$J,LANÇAMENTOS_01!$L:$L,"&lt;&gt;"&amp;$I$1,LANÇAMENTOS_01!$C:$C,AUX_03!J52,LANÇAMENTOS_01!$L:$L,"&gt;="&amp;RELATORIO_03!$O$3,LANÇAMENTOS_01!$L:$L,"&lt;="&amp;RELATORIO_03!$P$14),SUMIFS(LANÇAMENTOS_01!$J:$J,LANÇAMENTOS_01!$C:$C,AUX_03!J52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52,LANÇAMENTOS_01!$K:$K,"&gt;="&amp;RELATORIO_03!$O$3,LANÇAMENTOS_01!$K:$K,"&lt;="&amp;RELATORIO_03!$P$14),SUMIFS(LANÇAMENTOS_01!$J:$J,LANÇAMENTOS_01!$C:$C,AUX_03!J52,LANÇAMENTOS_01!$K:$K,"&gt;="&amp;RELATORIO_03!$O$3,LANÇAMENTOS_01!$K:$K,"&lt;="&amp;RELATORIO_03!$P$14,LANÇAMENTOS_01!$H:$H,RELATORIO_03!$N$1)))</f>
        <v>0</v>
      </c>
      <c r="L52">
        <f ca="1">IFERROR(LOOKUP(1,1/(COUNTIF($L$1:L51,INDIRECT("CADASTRO_02!$B$2:B"&amp;COUNTA(CADASTRO_02!A:A)))=0),INDIRECT("CADASTRO_02!$B$2:B"&amp;COUNTA(CADASTRO_02!A:A))),0)</f>
        <v>0</v>
      </c>
      <c r="M52">
        <f ca="1">IF(RELATORIO_03!$O$1=1,(IF(RELATORIO_03!$N$1="Todos",SUMIFS(LANÇAMENTOS_02!$J:$J,LANÇAMENTOS_02!$L:$L,"&lt;&gt;"&amp;$I$1,LANÇAMENTOS_02!$C:$C,AUX_03!L52,LANÇAMENTOS_02!$L:$L,"&gt;="&amp;RELATORIO_03!$O$3,LANÇAMENTOS_02!$L:$L,"&lt;="&amp;RELATORIO_03!$P$14),SUMIFS(LANÇAMENTOS_02!$J:$J,LANÇAMENTOS_02!$C:$C,AUX_03!L52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52,LANÇAMENTOS_02!$K:$K,"&gt;="&amp;RELATORIO_03!$O$3,LANÇAMENTOS_02!$K:$K,"&lt;="&amp;RELATORIO_03!$P$14),SUMIFS(LANÇAMENTOS_02!$J:$J,LANÇAMENTOS_02!$C:$C,AUX_03!L52,LANÇAMENTOS_02!$K:$K,"&gt;="&amp;RELATORIO_03!$O$3,LANÇAMENTOS_02!$K:$K,"&lt;="&amp;RELATORIO_03!$P$14,LANÇAMENTOS_02!$H:$H,RELATORIO_03!$N$1)))</f>
        <v>0</v>
      </c>
    </row>
    <row r="53" spans="2:13" x14ac:dyDescent="0.25">
      <c r="B53" s="31"/>
      <c r="F53" s="32"/>
      <c r="I53" s="32"/>
      <c r="J53">
        <f ca="1">IFERROR(LOOKUP(1,1/(COUNTIF($J$1:J52,INDIRECT("CADASTRO_01!$B$2:B"&amp;COUNTA(CADASTRO_01!A:A)))=0),INDIRECT("CADASTRO_01!$B$2:B"&amp;COUNTA(CADASTRO_01!A:A))),0)</f>
        <v>0</v>
      </c>
      <c r="K53">
        <f ca="1">IF(RELATORIO_03!$O$1=1,(IF(RELATORIO_03!$N$1="Todos",SUMIFS(LANÇAMENTOS_01!$J:$J,LANÇAMENTOS_01!$L:$L,"&lt;&gt;"&amp;$I$1,LANÇAMENTOS_01!$C:$C,AUX_03!J53,LANÇAMENTOS_01!$L:$L,"&gt;="&amp;RELATORIO_03!$O$3,LANÇAMENTOS_01!$L:$L,"&lt;="&amp;RELATORIO_03!$P$14),SUMIFS(LANÇAMENTOS_01!$J:$J,LANÇAMENTOS_01!$C:$C,AUX_03!J53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53,LANÇAMENTOS_01!$K:$K,"&gt;="&amp;RELATORIO_03!$O$3,LANÇAMENTOS_01!$K:$K,"&lt;="&amp;RELATORIO_03!$P$14),SUMIFS(LANÇAMENTOS_01!$J:$J,LANÇAMENTOS_01!$C:$C,AUX_03!J53,LANÇAMENTOS_01!$K:$K,"&gt;="&amp;RELATORIO_03!$O$3,LANÇAMENTOS_01!$K:$K,"&lt;="&amp;RELATORIO_03!$P$14,LANÇAMENTOS_01!$H:$H,RELATORIO_03!$N$1)))</f>
        <v>0</v>
      </c>
      <c r="L53">
        <f ca="1">IFERROR(LOOKUP(1,1/(COUNTIF($L$1:L52,INDIRECT("CADASTRO_02!$B$2:B"&amp;COUNTA(CADASTRO_02!A:A)))=0),INDIRECT("CADASTRO_02!$B$2:B"&amp;COUNTA(CADASTRO_02!A:A))),0)</f>
        <v>0</v>
      </c>
      <c r="M53">
        <f ca="1">IF(RELATORIO_03!$O$1=1,(IF(RELATORIO_03!$N$1="Todos",SUMIFS(LANÇAMENTOS_02!$J:$J,LANÇAMENTOS_02!$L:$L,"&lt;&gt;"&amp;$I$1,LANÇAMENTOS_02!$C:$C,AUX_03!L53,LANÇAMENTOS_02!$L:$L,"&gt;="&amp;RELATORIO_03!$O$3,LANÇAMENTOS_02!$L:$L,"&lt;="&amp;RELATORIO_03!$P$14),SUMIFS(LANÇAMENTOS_02!$J:$J,LANÇAMENTOS_02!$C:$C,AUX_03!L53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53,LANÇAMENTOS_02!$K:$K,"&gt;="&amp;RELATORIO_03!$O$3,LANÇAMENTOS_02!$K:$K,"&lt;="&amp;RELATORIO_03!$P$14),SUMIFS(LANÇAMENTOS_02!$J:$J,LANÇAMENTOS_02!$C:$C,AUX_03!L53,LANÇAMENTOS_02!$K:$K,"&gt;="&amp;RELATORIO_03!$O$3,LANÇAMENTOS_02!$K:$K,"&lt;="&amp;RELATORIO_03!$P$14,LANÇAMENTOS_02!$H:$H,RELATORIO_03!$N$1)))</f>
        <v>0</v>
      </c>
    </row>
    <row r="54" spans="2:13" x14ac:dyDescent="0.25">
      <c r="B54" s="31"/>
      <c r="F54" s="32"/>
      <c r="I54" s="32"/>
      <c r="J54">
        <f ca="1">IFERROR(LOOKUP(1,1/(COUNTIF($J$1:J53,INDIRECT("CADASTRO_01!$B$2:B"&amp;COUNTA(CADASTRO_01!A:A)))=0),INDIRECT("CADASTRO_01!$B$2:B"&amp;COUNTA(CADASTRO_01!A:A))),0)</f>
        <v>0</v>
      </c>
      <c r="K54">
        <f ca="1">IF(RELATORIO_03!$O$1=1,(IF(RELATORIO_03!$N$1="Todos",SUMIFS(LANÇAMENTOS_01!$J:$J,LANÇAMENTOS_01!$L:$L,"&lt;&gt;"&amp;$I$1,LANÇAMENTOS_01!$C:$C,AUX_03!J54,LANÇAMENTOS_01!$L:$L,"&gt;="&amp;RELATORIO_03!$O$3,LANÇAMENTOS_01!$L:$L,"&lt;="&amp;RELATORIO_03!$P$14),SUMIFS(LANÇAMENTOS_01!$J:$J,LANÇAMENTOS_01!$C:$C,AUX_03!J54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54,LANÇAMENTOS_01!$K:$K,"&gt;="&amp;RELATORIO_03!$O$3,LANÇAMENTOS_01!$K:$K,"&lt;="&amp;RELATORIO_03!$P$14),SUMIFS(LANÇAMENTOS_01!$J:$J,LANÇAMENTOS_01!$C:$C,AUX_03!J54,LANÇAMENTOS_01!$K:$K,"&gt;="&amp;RELATORIO_03!$O$3,LANÇAMENTOS_01!$K:$K,"&lt;="&amp;RELATORIO_03!$P$14,LANÇAMENTOS_01!$H:$H,RELATORIO_03!$N$1)))</f>
        <v>0</v>
      </c>
      <c r="L54">
        <f ca="1">IFERROR(LOOKUP(1,1/(COUNTIF($L$1:L53,INDIRECT("CADASTRO_02!$B$2:B"&amp;COUNTA(CADASTRO_02!A:A)))=0),INDIRECT("CADASTRO_02!$B$2:B"&amp;COUNTA(CADASTRO_02!A:A))),0)</f>
        <v>0</v>
      </c>
      <c r="M54">
        <f ca="1">IF(RELATORIO_03!$O$1=1,(IF(RELATORIO_03!$N$1="Todos",SUMIFS(LANÇAMENTOS_02!$J:$J,LANÇAMENTOS_02!$L:$L,"&lt;&gt;"&amp;$I$1,LANÇAMENTOS_02!$C:$C,AUX_03!L54,LANÇAMENTOS_02!$L:$L,"&gt;="&amp;RELATORIO_03!$O$3,LANÇAMENTOS_02!$L:$L,"&lt;="&amp;RELATORIO_03!$P$14),SUMIFS(LANÇAMENTOS_02!$J:$J,LANÇAMENTOS_02!$C:$C,AUX_03!L54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54,LANÇAMENTOS_02!$K:$K,"&gt;="&amp;RELATORIO_03!$O$3,LANÇAMENTOS_02!$K:$K,"&lt;="&amp;RELATORIO_03!$P$14),SUMIFS(LANÇAMENTOS_02!$J:$J,LANÇAMENTOS_02!$C:$C,AUX_03!L54,LANÇAMENTOS_02!$K:$K,"&gt;="&amp;RELATORIO_03!$O$3,LANÇAMENTOS_02!$K:$K,"&lt;="&amp;RELATORIO_03!$P$14,LANÇAMENTOS_02!$H:$H,RELATORIO_03!$N$1)))</f>
        <v>0</v>
      </c>
    </row>
    <row r="55" spans="2:13" x14ac:dyDescent="0.25">
      <c r="B55" s="31"/>
      <c r="F55" s="32"/>
      <c r="I55" s="32"/>
      <c r="J55">
        <f ca="1">IFERROR(LOOKUP(1,1/(COUNTIF($J$1:J54,INDIRECT("CADASTRO_01!$B$2:B"&amp;COUNTA(CADASTRO_01!A:A)))=0),INDIRECT("CADASTRO_01!$B$2:B"&amp;COUNTA(CADASTRO_01!A:A))),0)</f>
        <v>0</v>
      </c>
      <c r="K55">
        <f ca="1">IF(RELATORIO_03!$O$1=1,(IF(RELATORIO_03!$N$1="Todos",SUMIFS(LANÇAMENTOS_01!$J:$J,LANÇAMENTOS_01!$L:$L,"&lt;&gt;"&amp;$I$1,LANÇAMENTOS_01!$C:$C,AUX_03!J55,LANÇAMENTOS_01!$L:$L,"&gt;="&amp;RELATORIO_03!$O$3,LANÇAMENTOS_01!$L:$L,"&lt;="&amp;RELATORIO_03!$P$14),SUMIFS(LANÇAMENTOS_01!$J:$J,LANÇAMENTOS_01!$C:$C,AUX_03!J55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55,LANÇAMENTOS_01!$K:$K,"&gt;="&amp;RELATORIO_03!$O$3,LANÇAMENTOS_01!$K:$K,"&lt;="&amp;RELATORIO_03!$P$14),SUMIFS(LANÇAMENTOS_01!$J:$J,LANÇAMENTOS_01!$C:$C,AUX_03!J55,LANÇAMENTOS_01!$K:$K,"&gt;="&amp;RELATORIO_03!$O$3,LANÇAMENTOS_01!$K:$K,"&lt;="&amp;RELATORIO_03!$P$14,LANÇAMENTOS_01!$H:$H,RELATORIO_03!$N$1)))</f>
        <v>0</v>
      </c>
      <c r="L55">
        <f ca="1">IFERROR(LOOKUP(1,1/(COUNTIF($L$1:L54,INDIRECT("CADASTRO_02!$B$2:B"&amp;COUNTA(CADASTRO_02!A:A)))=0),INDIRECT("CADASTRO_02!$B$2:B"&amp;COUNTA(CADASTRO_02!A:A))),0)</f>
        <v>0</v>
      </c>
      <c r="M55">
        <f ca="1">IF(RELATORIO_03!$O$1=1,(IF(RELATORIO_03!$N$1="Todos",SUMIFS(LANÇAMENTOS_02!$J:$J,LANÇAMENTOS_02!$L:$L,"&lt;&gt;"&amp;$I$1,LANÇAMENTOS_02!$C:$C,AUX_03!L55,LANÇAMENTOS_02!$L:$L,"&gt;="&amp;RELATORIO_03!$O$3,LANÇAMENTOS_02!$L:$L,"&lt;="&amp;RELATORIO_03!$P$14),SUMIFS(LANÇAMENTOS_02!$J:$J,LANÇAMENTOS_02!$C:$C,AUX_03!L55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55,LANÇAMENTOS_02!$K:$K,"&gt;="&amp;RELATORIO_03!$O$3,LANÇAMENTOS_02!$K:$K,"&lt;="&amp;RELATORIO_03!$P$14),SUMIFS(LANÇAMENTOS_02!$J:$J,LANÇAMENTOS_02!$C:$C,AUX_03!L55,LANÇAMENTOS_02!$K:$K,"&gt;="&amp;RELATORIO_03!$O$3,LANÇAMENTOS_02!$K:$K,"&lt;="&amp;RELATORIO_03!$P$14,LANÇAMENTOS_02!$H:$H,RELATORIO_03!$N$1)))</f>
        <v>0</v>
      </c>
    </row>
    <row r="56" spans="2:13" x14ac:dyDescent="0.25">
      <c r="B56" s="31"/>
      <c r="F56" s="32"/>
      <c r="I56" s="32"/>
      <c r="J56">
        <f ca="1">IFERROR(LOOKUP(1,1/(COUNTIF($J$1:J55,INDIRECT("CADASTRO_01!$B$2:B"&amp;COUNTA(CADASTRO_01!A:A)))=0),INDIRECT("CADASTRO_01!$B$2:B"&amp;COUNTA(CADASTRO_01!A:A))),0)</f>
        <v>0</v>
      </c>
      <c r="K56">
        <f ca="1">IF(RELATORIO_03!$O$1=1,(IF(RELATORIO_03!$N$1="Todos",SUMIFS(LANÇAMENTOS_01!$J:$J,LANÇAMENTOS_01!$L:$L,"&lt;&gt;"&amp;$I$1,LANÇAMENTOS_01!$C:$C,AUX_03!J56,LANÇAMENTOS_01!$L:$L,"&gt;="&amp;RELATORIO_03!$O$3,LANÇAMENTOS_01!$L:$L,"&lt;="&amp;RELATORIO_03!$P$14),SUMIFS(LANÇAMENTOS_01!$J:$J,LANÇAMENTOS_01!$C:$C,AUX_03!J56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56,LANÇAMENTOS_01!$K:$K,"&gt;="&amp;RELATORIO_03!$O$3,LANÇAMENTOS_01!$K:$K,"&lt;="&amp;RELATORIO_03!$P$14),SUMIFS(LANÇAMENTOS_01!$J:$J,LANÇAMENTOS_01!$C:$C,AUX_03!J56,LANÇAMENTOS_01!$K:$K,"&gt;="&amp;RELATORIO_03!$O$3,LANÇAMENTOS_01!$K:$K,"&lt;="&amp;RELATORIO_03!$P$14,LANÇAMENTOS_01!$H:$H,RELATORIO_03!$N$1)))</f>
        <v>0</v>
      </c>
      <c r="L56">
        <f ca="1">IFERROR(LOOKUP(1,1/(COUNTIF($L$1:L55,INDIRECT("CADASTRO_02!$B$2:B"&amp;COUNTA(CADASTRO_02!A:A)))=0),INDIRECT("CADASTRO_02!$B$2:B"&amp;COUNTA(CADASTRO_02!A:A))),0)</f>
        <v>0</v>
      </c>
      <c r="M56">
        <f ca="1">IF(RELATORIO_03!$O$1=1,(IF(RELATORIO_03!$N$1="Todos",SUMIFS(LANÇAMENTOS_02!$J:$J,LANÇAMENTOS_02!$L:$L,"&lt;&gt;"&amp;$I$1,LANÇAMENTOS_02!$C:$C,AUX_03!L56,LANÇAMENTOS_02!$L:$L,"&gt;="&amp;RELATORIO_03!$O$3,LANÇAMENTOS_02!$L:$L,"&lt;="&amp;RELATORIO_03!$P$14),SUMIFS(LANÇAMENTOS_02!$J:$J,LANÇAMENTOS_02!$C:$C,AUX_03!L56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56,LANÇAMENTOS_02!$K:$K,"&gt;="&amp;RELATORIO_03!$O$3,LANÇAMENTOS_02!$K:$K,"&lt;="&amp;RELATORIO_03!$P$14),SUMIFS(LANÇAMENTOS_02!$J:$J,LANÇAMENTOS_02!$C:$C,AUX_03!L56,LANÇAMENTOS_02!$K:$K,"&gt;="&amp;RELATORIO_03!$O$3,LANÇAMENTOS_02!$K:$K,"&lt;="&amp;RELATORIO_03!$P$14,LANÇAMENTOS_02!$H:$H,RELATORIO_03!$N$1)))</f>
        <v>0</v>
      </c>
    </row>
    <row r="57" spans="2:13" x14ac:dyDescent="0.25">
      <c r="B57" s="31"/>
      <c r="F57" s="32"/>
      <c r="I57" s="32"/>
      <c r="J57">
        <f ca="1">IFERROR(LOOKUP(1,1/(COUNTIF($J$1:J56,INDIRECT("CADASTRO_01!$B$2:B"&amp;COUNTA(CADASTRO_01!A:A)))=0),INDIRECT("CADASTRO_01!$B$2:B"&amp;COUNTA(CADASTRO_01!A:A))),0)</f>
        <v>0</v>
      </c>
      <c r="K57">
        <f ca="1">IF(RELATORIO_03!$O$1=1,(IF(RELATORIO_03!$N$1="Todos",SUMIFS(LANÇAMENTOS_01!$J:$J,LANÇAMENTOS_01!$L:$L,"&lt;&gt;"&amp;$I$1,LANÇAMENTOS_01!$C:$C,AUX_03!J57,LANÇAMENTOS_01!$L:$L,"&gt;="&amp;RELATORIO_03!$O$3,LANÇAMENTOS_01!$L:$L,"&lt;="&amp;RELATORIO_03!$P$14),SUMIFS(LANÇAMENTOS_01!$J:$J,LANÇAMENTOS_01!$C:$C,AUX_03!J57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57,LANÇAMENTOS_01!$K:$K,"&gt;="&amp;RELATORIO_03!$O$3,LANÇAMENTOS_01!$K:$K,"&lt;="&amp;RELATORIO_03!$P$14),SUMIFS(LANÇAMENTOS_01!$J:$J,LANÇAMENTOS_01!$C:$C,AUX_03!J57,LANÇAMENTOS_01!$K:$K,"&gt;="&amp;RELATORIO_03!$O$3,LANÇAMENTOS_01!$K:$K,"&lt;="&amp;RELATORIO_03!$P$14,LANÇAMENTOS_01!$H:$H,RELATORIO_03!$N$1)))</f>
        <v>0</v>
      </c>
      <c r="L57">
        <f ca="1">IFERROR(LOOKUP(1,1/(COUNTIF($L$1:L56,INDIRECT("CADASTRO_02!$B$2:B"&amp;COUNTA(CADASTRO_02!A:A)))=0),INDIRECT("CADASTRO_02!$B$2:B"&amp;COUNTA(CADASTRO_02!A:A))),0)</f>
        <v>0</v>
      </c>
      <c r="M57">
        <f ca="1">IF(RELATORIO_03!$O$1=1,(IF(RELATORIO_03!$N$1="Todos",SUMIFS(LANÇAMENTOS_02!$J:$J,LANÇAMENTOS_02!$L:$L,"&lt;&gt;"&amp;$I$1,LANÇAMENTOS_02!$C:$C,AUX_03!L57,LANÇAMENTOS_02!$L:$L,"&gt;="&amp;RELATORIO_03!$O$3,LANÇAMENTOS_02!$L:$L,"&lt;="&amp;RELATORIO_03!$P$14),SUMIFS(LANÇAMENTOS_02!$J:$J,LANÇAMENTOS_02!$C:$C,AUX_03!L57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57,LANÇAMENTOS_02!$K:$K,"&gt;="&amp;RELATORIO_03!$O$3,LANÇAMENTOS_02!$K:$K,"&lt;="&amp;RELATORIO_03!$P$14),SUMIFS(LANÇAMENTOS_02!$J:$J,LANÇAMENTOS_02!$C:$C,AUX_03!L57,LANÇAMENTOS_02!$K:$K,"&gt;="&amp;RELATORIO_03!$O$3,LANÇAMENTOS_02!$K:$K,"&lt;="&amp;RELATORIO_03!$P$14,LANÇAMENTOS_02!$H:$H,RELATORIO_03!$N$1)))</f>
        <v>0</v>
      </c>
    </row>
    <row r="58" spans="2:13" x14ac:dyDescent="0.25">
      <c r="B58" s="31"/>
      <c r="F58" s="32"/>
      <c r="I58" s="32"/>
      <c r="J58">
        <f ca="1">IFERROR(LOOKUP(1,1/(COUNTIF($J$1:J57,INDIRECT("CADASTRO_01!$B$2:B"&amp;COUNTA(CADASTRO_01!A:A)))=0),INDIRECT("CADASTRO_01!$B$2:B"&amp;COUNTA(CADASTRO_01!A:A))),0)</f>
        <v>0</v>
      </c>
      <c r="K58">
        <f ca="1">IF(RELATORIO_03!$O$1=1,(IF(RELATORIO_03!$N$1="Todos",SUMIFS(LANÇAMENTOS_01!$J:$J,LANÇAMENTOS_01!$L:$L,"&lt;&gt;"&amp;$I$1,LANÇAMENTOS_01!$C:$C,AUX_03!J58,LANÇAMENTOS_01!$L:$L,"&gt;="&amp;RELATORIO_03!$O$3,LANÇAMENTOS_01!$L:$L,"&lt;="&amp;RELATORIO_03!$P$14),SUMIFS(LANÇAMENTOS_01!$J:$J,LANÇAMENTOS_01!$C:$C,AUX_03!J58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58,LANÇAMENTOS_01!$K:$K,"&gt;="&amp;RELATORIO_03!$O$3,LANÇAMENTOS_01!$K:$K,"&lt;="&amp;RELATORIO_03!$P$14),SUMIFS(LANÇAMENTOS_01!$J:$J,LANÇAMENTOS_01!$C:$C,AUX_03!J58,LANÇAMENTOS_01!$K:$K,"&gt;="&amp;RELATORIO_03!$O$3,LANÇAMENTOS_01!$K:$K,"&lt;="&amp;RELATORIO_03!$P$14,LANÇAMENTOS_01!$H:$H,RELATORIO_03!$N$1)))</f>
        <v>0</v>
      </c>
      <c r="L58">
        <f ca="1">IFERROR(LOOKUP(1,1/(COUNTIF($L$1:L57,INDIRECT("CADASTRO_02!$B$2:B"&amp;COUNTA(CADASTRO_02!A:A)))=0),INDIRECT("CADASTRO_02!$B$2:B"&amp;COUNTA(CADASTRO_02!A:A))),0)</f>
        <v>0</v>
      </c>
      <c r="M58">
        <f ca="1">IF(RELATORIO_03!$O$1=1,(IF(RELATORIO_03!$N$1="Todos",SUMIFS(LANÇAMENTOS_02!$J:$J,LANÇAMENTOS_02!$L:$L,"&lt;&gt;"&amp;$I$1,LANÇAMENTOS_02!$C:$C,AUX_03!L58,LANÇAMENTOS_02!$L:$L,"&gt;="&amp;RELATORIO_03!$O$3,LANÇAMENTOS_02!$L:$L,"&lt;="&amp;RELATORIO_03!$P$14),SUMIFS(LANÇAMENTOS_02!$J:$J,LANÇAMENTOS_02!$C:$C,AUX_03!L58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58,LANÇAMENTOS_02!$K:$K,"&gt;="&amp;RELATORIO_03!$O$3,LANÇAMENTOS_02!$K:$K,"&lt;="&amp;RELATORIO_03!$P$14),SUMIFS(LANÇAMENTOS_02!$J:$J,LANÇAMENTOS_02!$C:$C,AUX_03!L58,LANÇAMENTOS_02!$K:$K,"&gt;="&amp;RELATORIO_03!$O$3,LANÇAMENTOS_02!$K:$K,"&lt;="&amp;RELATORIO_03!$P$14,LANÇAMENTOS_02!$H:$H,RELATORIO_03!$N$1)))</f>
        <v>0</v>
      </c>
    </row>
    <row r="59" spans="2:13" x14ac:dyDescent="0.25">
      <c r="B59" s="31"/>
      <c r="F59" s="32"/>
      <c r="I59" s="32"/>
      <c r="J59">
        <f ca="1">IFERROR(LOOKUP(1,1/(COUNTIF($J$1:J58,INDIRECT("CADASTRO_01!$B$2:B"&amp;COUNTA(CADASTRO_01!A:A)))=0),INDIRECT("CADASTRO_01!$B$2:B"&amp;COUNTA(CADASTRO_01!A:A))),0)</f>
        <v>0</v>
      </c>
      <c r="K59">
        <f ca="1">IF(RELATORIO_03!$O$1=1,(IF(RELATORIO_03!$N$1="Todos",SUMIFS(LANÇAMENTOS_01!$J:$J,LANÇAMENTOS_01!$L:$L,"&lt;&gt;"&amp;$I$1,LANÇAMENTOS_01!$C:$C,AUX_03!J59,LANÇAMENTOS_01!$L:$L,"&gt;="&amp;RELATORIO_03!$O$3,LANÇAMENTOS_01!$L:$L,"&lt;="&amp;RELATORIO_03!$P$14),SUMIFS(LANÇAMENTOS_01!$J:$J,LANÇAMENTOS_01!$C:$C,AUX_03!J59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59,LANÇAMENTOS_01!$K:$K,"&gt;="&amp;RELATORIO_03!$O$3,LANÇAMENTOS_01!$K:$K,"&lt;="&amp;RELATORIO_03!$P$14),SUMIFS(LANÇAMENTOS_01!$J:$J,LANÇAMENTOS_01!$C:$C,AUX_03!J59,LANÇAMENTOS_01!$K:$K,"&gt;="&amp;RELATORIO_03!$O$3,LANÇAMENTOS_01!$K:$K,"&lt;="&amp;RELATORIO_03!$P$14,LANÇAMENTOS_01!$H:$H,RELATORIO_03!$N$1)))</f>
        <v>0</v>
      </c>
      <c r="L59">
        <f ca="1">IFERROR(LOOKUP(1,1/(COUNTIF($L$1:L58,INDIRECT("CADASTRO_02!$B$2:B"&amp;COUNTA(CADASTRO_02!A:A)))=0),INDIRECT("CADASTRO_02!$B$2:B"&amp;COUNTA(CADASTRO_02!A:A))),0)</f>
        <v>0</v>
      </c>
      <c r="M59">
        <f ca="1">IF(RELATORIO_03!$O$1=1,(IF(RELATORIO_03!$N$1="Todos",SUMIFS(LANÇAMENTOS_02!$J:$J,LANÇAMENTOS_02!$L:$L,"&lt;&gt;"&amp;$I$1,LANÇAMENTOS_02!$C:$C,AUX_03!L59,LANÇAMENTOS_02!$L:$L,"&gt;="&amp;RELATORIO_03!$O$3,LANÇAMENTOS_02!$L:$L,"&lt;="&amp;RELATORIO_03!$P$14),SUMIFS(LANÇAMENTOS_02!$J:$J,LANÇAMENTOS_02!$C:$C,AUX_03!L59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59,LANÇAMENTOS_02!$K:$K,"&gt;="&amp;RELATORIO_03!$O$3,LANÇAMENTOS_02!$K:$K,"&lt;="&amp;RELATORIO_03!$P$14),SUMIFS(LANÇAMENTOS_02!$J:$J,LANÇAMENTOS_02!$C:$C,AUX_03!L59,LANÇAMENTOS_02!$K:$K,"&gt;="&amp;RELATORIO_03!$O$3,LANÇAMENTOS_02!$K:$K,"&lt;="&amp;RELATORIO_03!$P$14,LANÇAMENTOS_02!$H:$H,RELATORIO_03!$N$1)))</f>
        <v>0</v>
      </c>
    </row>
    <row r="60" spans="2:13" x14ac:dyDescent="0.25">
      <c r="B60" s="31"/>
      <c r="F60" s="32"/>
      <c r="I60" s="32"/>
      <c r="J60">
        <f ca="1">IFERROR(LOOKUP(1,1/(COUNTIF($J$1:J59,INDIRECT("CADASTRO_01!$B$2:B"&amp;COUNTA(CADASTRO_01!A:A)))=0),INDIRECT("CADASTRO_01!$B$2:B"&amp;COUNTA(CADASTRO_01!A:A))),0)</f>
        <v>0</v>
      </c>
      <c r="K60">
        <f ca="1">IF(RELATORIO_03!$O$1=1,(IF(RELATORIO_03!$N$1="Todos",SUMIFS(LANÇAMENTOS_01!$J:$J,LANÇAMENTOS_01!$L:$L,"&lt;&gt;"&amp;$I$1,LANÇAMENTOS_01!$C:$C,AUX_03!J60,LANÇAMENTOS_01!$L:$L,"&gt;="&amp;RELATORIO_03!$O$3,LANÇAMENTOS_01!$L:$L,"&lt;="&amp;RELATORIO_03!$P$14),SUMIFS(LANÇAMENTOS_01!$J:$J,LANÇAMENTOS_01!$C:$C,AUX_03!J60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60,LANÇAMENTOS_01!$K:$K,"&gt;="&amp;RELATORIO_03!$O$3,LANÇAMENTOS_01!$K:$K,"&lt;="&amp;RELATORIO_03!$P$14),SUMIFS(LANÇAMENTOS_01!$J:$J,LANÇAMENTOS_01!$C:$C,AUX_03!J60,LANÇAMENTOS_01!$K:$K,"&gt;="&amp;RELATORIO_03!$O$3,LANÇAMENTOS_01!$K:$K,"&lt;="&amp;RELATORIO_03!$P$14,LANÇAMENTOS_01!$H:$H,RELATORIO_03!$N$1)))</f>
        <v>0</v>
      </c>
      <c r="L60">
        <f ca="1">IFERROR(LOOKUP(1,1/(COUNTIF($L$1:L59,INDIRECT("CADASTRO_02!$B$2:B"&amp;COUNTA(CADASTRO_02!A:A)))=0),INDIRECT("CADASTRO_02!$B$2:B"&amp;COUNTA(CADASTRO_02!A:A))),0)</f>
        <v>0</v>
      </c>
      <c r="M60">
        <f ca="1">IF(RELATORIO_03!$O$1=1,(IF(RELATORIO_03!$N$1="Todos",SUMIFS(LANÇAMENTOS_02!$J:$J,LANÇAMENTOS_02!$L:$L,"&lt;&gt;"&amp;$I$1,LANÇAMENTOS_02!$C:$C,AUX_03!L60,LANÇAMENTOS_02!$L:$L,"&gt;="&amp;RELATORIO_03!$O$3,LANÇAMENTOS_02!$L:$L,"&lt;="&amp;RELATORIO_03!$P$14),SUMIFS(LANÇAMENTOS_02!$J:$J,LANÇAMENTOS_02!$C:$C,AUX_03!L60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60,LANÇAMENTOS_02!$K:$K,"&gt;="&amp;RELATORIO_03!$O$3,LANÇAMENTOS_02!$K:$K,"&lt;="&amp;RELATORIO_03!$P$14),SUMIFS(LANÇAMENTOS_02!$J:$J,LANÇAMENTOS_02!$C:$C,AUX_03!L60,LANÇAMENTOS_02!$K:$K,"&gt;="&amp;RELATORIO_03!$O$3,LANÇAMENTOS_02!$K:$K,"&lt;="&amp;RELATORIO_03!$P$14,LANÇAMENTOS_02!$H:$H,RELATORIO_03!$N$1)))</f>
        <v>0</v>
      </c>
    </row>
    <row r="61" spans="2:13" x14ac:dyDescent="0.25">
      <c r="B61" s="31"/>
      <c r="F61" s="32"/>
      <c r="I61" s="32"/>
      <c r="J61">
        <f ca="1">IFERROR(LOOKUP(1,1/(COUNTIF($J$1:J60,INDIRECT("CADASTRO_01!$B$2:B"&amp;COUNTA(CADASTRO_01!A:A)))=0),INDIRECT("CADASTRO_01!$B$2:B"&amp;COUNTA(CADASTRO_01!A:A))),0)</f>
        <v>0</v>
      </c>
      <c r="K61">
        <f ca="1">IF(RELATORIO_03!$O$1=1,(IF(RELATORIO_03!$N$1="Todos",SUMIFS(LANÇAMENTOS_01!$J:$J,LANÇAMENTOS_01!$L:$L,"&lt;&gt;"&amp;$I$1,LANÇAMENTOS_01!$C:$C,AUX_03!J61,LANÇAMENTOS_01!$L:$L,"&gt;="&amp;RELATORIO_03!$O$3,LANÇAMENTOS_01!$L:$L,"&lt;="&amp;RELATORIO_03!$P$14),SUMIFS(LANÇAMENTOS_01!$J:$J,LANÇAMENTOS_01!$C:$C,AUX_03!J61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61,LANÇAMENTOS_01!$K:$K,"&gt;="&amp;RELATORIO_03!$O$3,LANÇAMENTOS_01!$K:$K,"&lt;="&amp;RELATORIO_03!$P$14),SUMIFS(LANÇAMENTOS_01!$J:$J,LANÇAMENTOS_01!$C:$C,AUX_03!J61,LANÇAMENTOS_01!$K:$K,"&gt;="&amp;RELATORIO_03!$O$3,LANÇAMENTOS_01!$K:$K,"&lt;="&amp;RELATORIO_03!$P$14,LANÇAMENTOS_01!$H:$H,RELATORIO_03!$N$1)))</f>
        <v>0</v>
      </c>
      <c r="L61">
        <f ca="1">IFERROR(LOOKUP(1,1/(COUNTIF($L$1:L60,INDIRECT("CADASTRO_02!$B$2:B"&amp;COUNTA(CADASTRO_02!A:A)))=0),INDIRECT("CADASTRO_02!$B$2:B"&amp;COUNTA(CADASTRO_02!A:A))),0)</f>
        <v>0</v>
      </c>
      <c r="M61">
        <f ca="1">IF(RELATORIO_03!$O$1=1,(IF(RELATORIO_03!$N$1="Todos",SUMIFS(LANÇAMENTOS_02!$J:$J,LANÇAMENTOS_02!$L:$L,"&lt;&gt;"&amp;$I$1,LANÇAMENTOS_02!$C:$C,AUX_03!L61,LANÇAMENTOS_02!$L:$L,"&gt;="&amp;RELATORIO_03!$O$3,LANÇAMENTOS_02!$L:$L,"&lt;="&amp;RELATORIO_03!$P$14),SUMIFS(LANÇAMENTOS_02!$J:$J,LANÇAMENTOS_02!$C:$C,AUX_03!L61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61,LANÇAMENTOS_02!$K:$K,"&gt;="&amp;RELATORIO_03!$O$3,LANÇAMENTOS_02!$K:$K,"&lt;="&amp;RELATORIO_03!$P$14),SUMIFS(LANÇAMENTOS_02!$J:$J,LANÇAMENTOS_02!$C:$C,AUX_03!L61,LANÇAMENTOS_02!$K:$K,"&gt;="&amp;RELATORIO_03!$O$3,LANÇAMENTOS_02!$K:$K,"&lt;="&amp;RELATORIO_03!$P$14,LANÇAMENTOS_02!$H:$H,RELATORIO_03!$N$1)))</f>
        <v>0</v>
      </c>
    </row>
    <row r="62" spans="2:13" x14ac:dyDescent="0.25">
      <c r="B62" s="31"/>
      <c r="F62" s="32"/>
      <c r="I62" s="32"/>
      <c r="J62">
        <f ca="1">IFERROR(LOOKUP(1,1/(COUNTIF($J$1:J61,INDIRECT("CADASTRO_01!$B$2:B"&amp;COUNTA(CADASTRO_01!A:A)))=0),INDIRECT("CADASTRO_01!$B$2:B"&amp;COUNTA(CADASTRO_01!A:A))),0)</f>
        <v>0</v>
      </c>
      <c r="K62">
        <f ca="1">IF(RELATORIO_03!$O$1=1,(IF(RELATORIO_03!$N$1="Todos",SUMIFS(LANÇAMENTOS_01!$J:$J,LANÇAMENTOS_01!$L:$L,"&lt;&gt;"&amp;$I$1,LANÇAMENTOS_01!$C:$C,AUX_03!J62,LANÇAMENTOS_01!$L:$L,"&gt;="&amp;RELATORIO_03!$O$3,LANÇAMENTOS_01!$L:$L,"&lt;="&amp;RELATORIO_03!$P$14),SUMIFS(LANÇAMENTOS_01!$J:$J,LANÇAMENTOS_01!$C:$C,AUX_03!J62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62,LANÇAMENTOS_01!$K:$K,"&gt;="&amp;RELATORIO_03!$O$3,LANÇAMENTOS_01!$K:$K,"&lt;="&amp;RELATORIO_03!$P$14),SUMIFS(LANÇAMENTOS_01!$J:$J,LANÇAMENTOS_01!$C:$C,AUX_03!J62,LANÇAMENTOS_01!$K:$K,"&gt;="&amp;RELATORIO_03!$O$3,LANÇAMENTOS_01!$K:$K,"&lt;="&amp;RELATORIO_03!$P$14,LANÇAMENTOS_01!$H:$H,RELATORIO_03!$N$1)))</f>
        <v>0</v>
      </c>
      <c r="L62">
        <f ca="1">IFERROR(LOOKUP(1,1/(COUNTIF($L$1:L61,INDIRECT("CADASTRO_02!$B$2:B"&amp;COUNTA(CADASTRO_02!A:A)))=0),INDIRECT("CADASTRO_02!$B$2:B"&amp;COUNTA(CADASTRO_02!A:A))),0)</f>
        <v>0</v>
      </c>
      <c r="M62">
        <f ca="1">IF(RELATORIO_03!$O$1=1,(IF(RELATORIO_03!$N$1="Todos",SUMIFS(LANÇAMENTOS_02!$J:$J,LANÇAMENTOS_02!$L:$L,"&lt;&gt;"&amp;$I$1,LANÇAMENTOS_02!$C:$C,AUX_03!L62,LANÇAMENTOS_02!$L:$L,"&gt;="&amp;RELATORIO_03!$O$3,LANÇAMENTOS_02!$L:$L,"&lt;="&amp;RELATORIO_03!$P$14),SUMIFS(LANÇAMENTOS_02!$J:$J,LANÇAMENTOS_02!$C:$C,AUX_03!L62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62,LANÇAMENTOS_02!$K:$K,"&gt;="&amp;RELATORIO_03!$O$3,LANÇAMENTOS_02!$K:$K,"&lt;="&amp;RELATORIO_03!$P$14),SUMIFS(LANÇAMENTOS_02!$J:$J,LANÇAMENTOS_02!$C:$C,AUX_03!L62,LANÇAMENTOS_02!$K:$K,"&gt;="&amp;RELATORIO_03!$O$3,LANÇAMENTOS_02!$K:$K,"&lt;="&amp;RELATORIO_03!$P$14,LANÇAMENTOS_02!$H:$H,RELATORIO_03!$N$1)))</f>
        <v>0</v>
      </c>
    </row>
    <row r="63" spans="2:13" x14ac:dyDescent="0.25">
      <c r="B63" s="31"/>
      <c r="F63" s="32"/>
      <c r="I63" s="32"/>
      <c r="J63">
        <f ca="1">IFERROR(LOOKUP(1,1/(COUNTIF($J$1:J62,INDIRECT("CADASTRO_01!$B$2:B"&amp;COUNTA(CADASTRO_01!A:A)))=0),INDIRECT("CADASTRO_01!$B$2:B"&amp;COUNTA(CADASTRO_01!A:A))),0)</f>
        <v>0</v>
      </c>
      <c r="K63">
        <f ca="1">IF(RELATORIO_03!$O$1=1,(IF(RELATORIO_03!$N$1="Todos",SUMIFS(LANÇAMENTOS_01!$J:$J,LANÇAMENTOS_01!$L:$L,"&lt;&gt;"&amp;$I$1,LANÇAMENTOS_01!$C:$C,AUX_03!J63,LANÇAMENTOS_01!$L:$L,"&gt;="&amp;RELATORIO_03!$O$3,LANÇAMENTOS_01!$L:$L,"&lt;="&amp;RELATORIO_03!$P$14),SUMIFS(LANÇAMENTOS_01!$J:$J,LANÇAMENTOS_01!$C:$C,AUX_03!J63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63,LANÇAMENTOS_01!$K:$K,"&gt;="&amp;RELATORIO_03!$O$3,LANÇAMENTOS_01!$K:$K,"&lt;="&amp;RELATORIO_03!$P$14),SUMIFS(LANÇAMENTOS_01!$J:$J,LANÇAMENTOS_01!$C:$C,AUX_03!J63,LANÇAMENTOS_01!$K:$K,"&gt;="&amp;RELATORIO_03!$O$3,LANÇAMENTOS_01!$K:$K,"&lt;="&amp;RELATORIO_03!$P$14,LANÇAMENTOS_01!$H:$H,RELATORIO_03!$N$1)))</f>
        <v>0</v>
      </c>
      <c r="L63">
        <f ca="1">IFERROR(LOOKUP(1,1/(COUNTIF($L$1:L62,INDIRECT("CADASTRO_02!$B$2:B"&amp;COUNTA(CADASTRO_02!A:A)))=0),INDIRECT("CADASTRO_02!$B$2:B"&amp;COUNTA(CADASTRO_02!A:A))),0)</f>
        <v>0</v>
      </c>
      <c r="M63">
        <f ca="1">IF(RELATORIO_03!$O$1=1,(IF(RELATORIO_03!$N$1="Todos",SUMIFS(LANÇAMENTOS_02!$J:$J,LANÇAMENTOS_02!$L:$L,"&lt;&gt;"&amp;$I$1,LANÇAMENTOS_02!$C:$C,AUX_03!L63,LANÇAMENTOS_02!$L:$L,"&gt;="&amp;RELATORIO_03!$O$3,LANÇAMENTOS_02!$L:$L,"&lt;="&amp;RELATORIO_03!$P$14),SUMIFS(LANÇAMENTOS_02!$J:$J,LANÇAMENTOS_02!$C:$C,AUX_03!L63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63,LANÇAMENTOS_02!$K:$K,"&gt;="&amp;RELATORIO_03!$O$3,LANÇAMENTOS_02!$K:$K,"&lt;="&amp;RELATORIO_03!$P$14),SUMIFS(LANÇAMENTOS_02!$J:$J,LANÇAMENTOS_02!$C:$C,AUX_03!L63,LANÇAMENTOS_02!$K:$K,"&gt;="&amp;RELATORIO_03!$O$3,LANÇAMENTOS_02!$K:$K,"&lt;="&amp;RELATORIO_03!$P$14,LANÇAMENTOS_02!$H:$H,RELATORIO_03!$N$1)))</f>
        <v>0</v>
      </c>
    </row>
    <row r="64" spans="2:13" x14ac:dyDescent="0.25">
      <c r="B64" s="31"/>
      <c r="F64" s="32"/>
      <c r="I64" s="32"/>
      <c r="J64">
        <f ca="1">IFERROR(LOOKUP(1,1/(COUNTIF($J$1:J63,INDIRECT("CADASTRO_01!$B$2:B"&amp;COUNTA(CADASTRO_01!A:A)))=0),INDIRECT("CADASTRO_01!$B$2:B"&amp;COUNTA(CADASTRO_01!A:A))),0)</f>
        <v>0</v>
      </c>
      <c r="K64">
        <f ca="1">IF(RELATORIO_03!$O$1=1,(IF(RELATORIO_03!$N$1="Todos",SUMIFS(LANÇAMENTOS_01!$J:$J,LANÇAMENTOS_01!$L:$L,"&lt;&gt;"&amp;$I$1,LANÇAMENTOS_01!$C:$C,AUX_03!J64,LANÇAMENTOS_01!$L:$L,"&gt;="&amp;RELATORIO_03!$O$3,LANÇAMENTOS_01!$L:$L,"&lt;="&amp;RELATORIO_03!$P$14),SUMIFS(LANÇAMENTOS_01!$J:$J,LANÇAMENTOS_01!$C:$C,AUX_03!J64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64,LANÇAMENTOS_01!$K:$K,"&gt;="&amp;RELATORIO_03!$O$3,LANÇAMENTOS_01!$K:$K,"&lt;="&amp;RELATORIO_03!$P$14),SUMIFS(LANÇAMENTOS_01!$J:$J,LANÇAMENTOS_01!$C:$C,AUX_03!J64,LANÇAMENTOS_01!$K:$K,"&gt;="&amp;RELATORIO_03!$O$3,LANÇAMENTOS_01!$K:$K,"&lt;="&amp;RELATORIO_03!$P$14,LANÇAMENTOS_01!$H:$H,RELATORIO_03!$N$1)))</f>
        <v>0</v>
      </c>
      <c r="L64">
        <f ca="1">IFERROR(LOOKUP(1,1/(COUNTIF($L$1:L63,INDIRECT("CADASTRO_02!$B$2:B"&amp;COUNTA(CADASTRO_02!A:A)))=0),INDIRECT("CADASTRO_02!$B$2:B"&amp;COUNTA(CADASTRO_02!A:A))),0)</f>
        <v>0</v>
      </c>
      <c r="M64">
        <f ca="1">IF(RELATORIO_03!$O$1=1,(IF(RELATORIO_03!$N$1="Todos",SUMIFS(LANÇAMENTOS_02!$J:$J,LANÇAMENTOS_02!$L:$L,"&lt;&gt;"&amp;$I$1,LANÇAMENTOS_02!$C:$C,AUX_03!L64,LANÇAMENTOS_02!$L:$L,"&gt;="&amp;RELATORIO_03!$O$3,LANÇAMENTOS_02!$L:$L,"&lt;="&amp;RELATORIO_03!$P$14),SUMIFS(LANÇAMENTOS_02!$J:$J,LANÇAMENTOS_02!$C:$C,AUX_03!L64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64,LANÇAMENTOS_02!$K:$K,"&gt;="&amp;RELATORIO_03!$O$3,LANÇAMENTOS_02!$K:$K,"&lt;="&amp;RELATORIO_03!$P$14),SUMIFS(LANÇAMENTOS_02!$J:$J,LANÇAMENTOS_02!$C:$C,AUX_03!L64,LANÇAMENTOS_02!$K:$K,"&gt;="&amp;RELATORIO_03!$O$3,LANÇAMENTOS_02!$K:$K,"&lt;="&amp;RELATORIO_03!$P$14,LANÇAMENTOS_02!$H:$H,RELATORIO_03!$N$1)))</f>
        <v>0</v>
      </c>
    </row>
    <row r="65" spans="2:13" x14ac:dyDescent="0.25">
      <c r="B65" s="31"/>
      <c r="F65" s="32"/>
      <c r="I65" s="32"/>
      <c r="J65">
        <f ca="1">IFERROR(LOOKUP(1,1/(COUNTIF($J$1:J64,INDIRECT("CADASTRO_01!$B$2:B"&amp;COUNTA(CADASTRO_01!A:A)))=0),INDIRECT("CADASTRO_01!$B$2:B"&amp;COUNTA(CADASTRO_01!A:A))),0)</f>
        <v>0</v>
      </c>
      <c r="K65">
        <f ca="1">IF(RELATORIO_03!$O$1=1,(IF(RELATORIO_03!$N$1="Todos",SUMIFS(LANÇAMENTOS_01!$J:$J,LANÇAMENTOS_01!$L:$L,"&lt;&gt;"&amp;$I$1,LANÇAMENTOS_01!$C:$C,AUX_03!J65,LANÇAMENTOS_01!$L:$L,"&gt;="&amp;RELATORIO_03!$O$3,LANÇAMENTOS_01!$L:$L,"&lt;="&amp;RELATORIO_03!$P$14),SUMIFS(LANÇAMENTOS_01!$J:$J,LANÇAMENTOS_01!$C:$C,AUX_03!J65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65,LANÇAMENTOS_01!$K:$K,"&gt;="&amp;RELATORIO_03!$O$3,LANÇAMENTOS_01!$K:$K,"&lt;="&amp;RELATORIO_03!$P$14),SUMIFS(LANÇAMENTOS_01!$J:$J,LANÇAMENTOS_01!$C:$C,AUX_03!J65,LANÇAMENTOS_01!$K:$K,"&gt;="&amp;RELATORIO_03!$O$3,LANÇAMENTOS_01!$K:$K,"&lt;="&amp;RELATORIO_03!$P$14,LANÇAMENTOS_01!$H:$H,RELATORIO_03!$N$1)))</f>
        <v>0</v>
      </c>
      <c r="L65">
        <f ca="1">IFERROR(LOOKUP(1,1/(COUNTIF($L$1:L64,INDIRECT("CADASTRO_02!$B$2:B"&amp;COUNTA(CADASTRO_02!A:A)))=0),INDIRECT("CADASTRO_02!$B$2:B"&amp;COUNTA(CADASTRO_02!A:A))),0)</f>
        <v>0</v>
      </c>
      <c r="M65">
        <f ca="1">IF(RELATORIO_03!$O$1=1,(IF(RELATORIO_03!$N$1="Todos",SUMIFS(LANÇAMENTOS_02!$J:$J,LANÇAMENTOS_02!$L:$L,"&lt;&gt;"&amp;$I$1,LANÇAMENTOS_02!$C:$C,AUX_03!L65,LANÇAMENTOS_02!$L:$L,"&gt;="&amp;RELATORIO_03!$O$3,LANÇAMENTOS_02!$L:$L,"&lt;="&amp;RELATORIO_03!$P$14),SUMIFS(LANÇAMENTOS_02!$J:$J,LANÇAMENTOS_02!$C:$C,AUX_03!L65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65,LANÇAMENTOS_02!$K:$K,"&gt;="&amp;RELATORIO_03!$O$3,LANÇAMENTOS_02!$K:$K,"&lt;="&amp;RELATORIO_03!$P$14),SUMIFS(LANÇAMENTOS_02!$J:$J,LANÇAMENTOS_02!$C:$C,AUX_03!L65,LANÇAMENTOS_02!$K:$K,"&gt;="&amp;RELATORIO_03!$O$3,LANÇAMENTOS_02!$K:$K,"&lt;="&amp;RELATORIO_03!$P$14,LANÇAMENTOS_02!$H:$H,RELATORIO_03!$N$1)))</f>
        <v>0</v>
      </c>
    </row>
    <row r="66" spans="2:13" x14ac:dyDescent="0.25">
      <c r="B66" s="31"/>
      <c r="F66" s="32"/>
      <c r="I66" s="32"/>
      <c r="J66">
        <f ca="1">IFERROR(LOOKUP(1,1/(COUNTIF($J$1:J65,INDIRECT("CADASTRO_01!$B$2:B"&amp;COUNTA(CADASTRO_01!A:A)))=0),INDIRECT("CADASTRO_01!$B$2:B"&amp;COUNTA(CADASTRO_01!A:A))),0)</f>
        <v>0</v>
      </c>
      <c r="K66">
        <f ca="1">IF(RELATORIO_03!$O$1=1,(IF(RELATORIO_03!$N$1="Todos",SUMIFS(LANÇAMENTOS_01!$J:$J,LANÇAMENTOS_01!$L:$L,"&lt;&gt;"&amp;$I$1,LANÇAMENTOS_01!$C:$C,AUX_03!J66,LANÇAMENTOS_01!$L:$L,"&gt;="&amp;RELATORIO_03!$O$3,LANÇAMENTOS_01!$L:$L,"&lt;="&amp;RELATORIO_03!$P$14),SUMIFS(LANÇAMENTOS_01!$J:$J,LANÇAMENTOS_01!$C:$C,AUX_03!J66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66,LANÇAMENTOS_01!$K:$K,"&gt;="&amp;RELATORIO_03!$O$3,LANÇAMENTOS_01!$K:$K,"&lt;="&amp;RELATORIO_03!$P$14),SUMIFS(LANÇAMENTOS_01!$J:$J,LANÇAMENTOS_01!$C:$C,AUX_03!J66,LANÇAMENTOS_01!$K:$K,"&gt;="&amp;RELATORIO_03!$O$3,LANÇAMENTOS_01!$K:$K,"&lt;="&amp;RELATORIO_03!$P$14,LANÇAMENTOS_01!$H:$H,RELATORIO_03!$N$1)))</f>
        <v>0</v>
      </c>
      <c r="L66">
        <f ca="1">IFERROR(LOOKUP(1,1/(COUNTIF($L$1:L65,INDIRECT("CADASTRO_02!$B$2:B"&amp;COUNTA(CADASTRO_02!A:A)))=0),INDIRECT("CADASTRO_02!$B$2:B"&amp;COUNTA(CADASTRO_02!A:A))),0)</f>
        <v>0</v>
      </c>
      <c r="M66">
        <f ca="1">IF(RELATORIO_03!$O$1=1,(IF(RELATORIO_03!$N$1="Todos",SUMIFS(LANÇAMENTOS_02!$J:$J,LANÇAMENTOS_02!$L:$L,"&lt;&gt;"&amp;$I$1,LANÇAMENTOS_02!$C:$C,AUX_03!L66,LANÇAMENTOS_02!$L:$L,"&gt;="&amp;RELATORIO_03!$O$3,LANÇAMENTOS_02!$L:$L,"&lt;="&amp;RELATORIO_03!$P$14),SUMIFS(LANÇAMENTOS_02!$J:$J,LANÇAMENTOS_02!$C:$C,AUX_03!L66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66,LANÇAMENTOS_02!$K:$K,"&gt;="&amp;RELATORIO_03!$O$3,LANÇAMENTOS_02!$K:$K,"&lt;="&amp;RELATORIO_03!$P$14),SUMIFS(LANÇAMENTOS_02!$J:$J,LANÇAMENTOS_02!$C:$C,AUX_03!L66,LANÇAMENTOS_02!$K:$K,"&gt;="&amp;RELATORIO_03!$O$3,LANÇAMENTOS_02!$K:$K,"&lt;="&amp;RELATORIO_03!$P$14,LANÇAMENTOS_02!$H:$H,RELATORIO_03!$N$1)))</f>
        <v>0</v>
      </c>
    </row>
    <row r="67" spans="2:13" x14ac:dyDescent="0.25">
      <c r="B67" s="31"/>
      <c r="F67" s="32"/>
      <c r="I67" s="32"/>
      <c r="J67">
        <f ca="1">IFERROR(LOOKUP(1,1/(COUNTIF($J$1:J66,INDIRECT("CADASTRO_01!$B$2:B"&amp;COUNTA(CADASTRO_01!A:A)))=0),INDIRECT("CADASTRO_01!$B$2:B"&amp;COUNTA(CADASTRO_01!A:A))),0)</f>
        <v>0</v>
      </c>
      <c r="K67">
        <f ca="1">IF(RELATORIO_03!$O$1=1,(IF(RELATORIO_03!$N$1="Todos",SUMIFS(LANÇAMENTOS_01!$J:$J,LANÇAMENTOS_01!$L:$L,"&lt;&gt;"&amp;$I$1,LANÇAMENTOS_01!$C:$C,AUX_03!J67,LANÇAMENTOS_01!$L:$L,"&gt;="&amp;RELATORIO_03!$O$3,LANÇAMENTOS_01!$L:$L,"&lt;="&amp;RELATORIO_03!$P$14),SUMIFS(LANÇAMENTOS_01!$J:$J,LANÇAMENTOS_01!$C:$C,AUX_03!J67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67,LANÇAMENTOS_01!$K:$K,"&gt;="&amp;RELATORIO_03!$O$3,LANÇAMENTOS_01!$K:$K,"&lt;="&amp;RELATORIO_03!$P$14),SUMIFS(LANÇAMENTOS_01!$J:$J,LANÇAMENTOS_01!$C:$C,AUX_03!J67,LANÇAMENTOS_01!$K:$K,"&gt;="&amp;RELATORIO_03!$O$3,LANÇAMENTOS_01!$K:$K,"&lt;="&amp;RELATORIO_03!$P$14,LANÇAMENTOS_01!$H:$H,RELATORIO_03!$N$1)))</f>
        <v>0</v>
      </c>
      <c r="L67">
        <f ca="1">IFERROR(LOOKUP(1,1/(COUNTIF($L$1:L66,INDIRECT("CADASTRO_02!$B$2:B"&amp;COUNTA(CADASTRO_02!A:A)))=0),INDIRECT("CADASTRO_02!$B$2:B"&amp;COUNTA(CADASTRO_02!A:A))),0)</f>
        <v>0</v>
      </c>
      <c r="M67">
        <f ca="1">IF(RELATORIO_03!$O$1=1,(IF(RELATORIO_03!$N$1="Todos",SUMIFS(LANÇAMENTOS_02!$J:$J,LANÇAMENTOS_02!$L:$L,"&lt;&gt;"&amp;$I$1,LANÇAMENTOS_02!$C:$C,AUX_03!L67,LANÇAMENTOS_02!$L:$L,"&gt;="&amp;RELATORIO_03!$O$3,LANÇAMENTOS_02!$L:$L,"&lt;="&amp;RELATORIO_03!$P$14),SUMIFS(LANÇAMENTOS_02!$J:$J,LANÇAMENTOS_02!$C:$C,AUX_03!L67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67,LANÇAMENTOS_02!$K:$K,"&gt;="&amp;RELATORIO_03!$O$3,LANÇAMENTOS_02!$K:$K,"&lt;="&amp;RELATORIO_03!$P$14),SUMIFS(LANÇAMENTOS_02!$J:$J,LANÇAMENTOS_02!$C:$C,AUX_03!L67,LANÇAMENTOS_02!$K:$K,"&gt;="&amp;RELATORIO_03!$O$3,LANÇAMENTOS_02!$K:$K,"&lt;="&amp;RELATORIO_03!$P$14,LANÇAMENTOS_02!$H:$H,RELATORIO_03!$N$1)))</f>
        <v>0</v>
      </c>
    </row>
    <row r="68" spans="2:13" x14ac:dyDescent="0.25">
      <c r="B68" s="31"/>
      <c r="F68" s="32"/>
      <c r="I68" s="32"/>
      <c r="J68">
        <f ca="1">IFERROR(LOOKUP(1,1/(COUNTIF($J$1:J67,INDIRECT("CADASTRO_01!$B$2:B"&amp;COUNTA(CADASTRO_01!A:A)))=0),INDIRECT("CADASTRO_01!$B$2:B"&amp;COUNTA(CADASTRO_01!A:A))),0)</f>
        <v>0</v>
      </c>
      <c r="K68">
        <f ca="1">IF(RELATORIO_03!$O$1=1,(IF(RELATORIO_03!$N$1="Todos",SUMIFS(LANÇAMENTOS_01!$J:$J,LANÇAMENTOS_01!$L:$L,"&lt;&gt;"&amp;$I$1,LANÇAMENTOS_01!$C:$C,AUX_03!J68,LANÇAMENTOS_01!$L:$L,"&gt;="&amp;RELATORIO_03!$O$3,LANÇAMENTOS_01!$L:$L,"&lt;="&amp;RELATORIO_03!$P$14),SUMIFS(LANÇAMENTOS_01!$J:$J,LANÇAMENTOS_01!$C:$C,AUX_03!J68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68,LANÇAMENTOS_01!$K:$K,"&gt;="&amp;RELATORIO_03!$O$3,LANÇAMENTOS_01!$K:$K,"&lt;="&amp;RELATORIO_03!$P$14),SUMIFS(LANÇAMENTOS_01!$J:$J,LANÇAMENTOS_01!$C:$C,AUX_03!J68,LANÇAMENTOS_01!$K:$K,"&gt;="&amp;RELATORIO_03!$O$3,LANÇAMENTOS_01!$K:$K,"&lt;="&amp;RELATORIO_03!$P$14,LANÇAMENTOS_01!$H:$H,RELATORIO_03!$N$1)))</f>
        <v>0</v>
      </c>
      <c r="L68">
        <f ca="1">IFERROR(LOOKUP(1,1/(COUNTIF($L$1:L67,INDIRECT("CADASTRO_02!$B$2:B"&amp;COUNTA(CADASTRO_02!A:A)))=0),INDIRECT("CADASTRO_02!$B$2:B"&amp;COUNTA(CADASTRO_02!A:A))),0)</f>
        <v>0</v>
      </c>
      <c r="M68">
        <f ca="1">IF(RELATORIO_03!$O$1=1,(IF(RELATORIO_03!$N$1="Todos",SUMIFS(LANÇAMENTOS_02!$J:$J,LANÇAMENTOS_02!$L:$L,"&lt;&gt;"&amp;$I$1,LANÇAMENTOS_02!$C:$C,AUX_03!L68,LANÇAMENTOS_02!$L:$L,"&gt;="&amp;RELATORIO_03!$O$3,LANÇAMENTOS_02!$L:$L,"&lt;="&amp;RELATORIO_03!$P$14),SUMIFS(LANÇAMENTOS_02!$J:$J,LANÇAMENTOS_02!$C:$C,AUX_03!L68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68,LANÇAMENTOS_02!$K:$K,"&gt;="&amp;RELATORIO_03!$O$3,LANÇAMENTOS_02!$K:$K,"&lt;="&amp;RELATORIO_03!$P$14),SUMIFS(LANÇAMENTOS_02!$J:$J,LANÇAMENTOS_02!$C:$C,AUX_03!L68,LANÇAMENTOS_02!$K:$K,"&gt;="&amp;RELATORIO_03!$O$3,LANÇAMENTOS_02!$K:$K,"&lt;="&amp;RELATORIO_03!$P$14,LANÇAMENTOS_02!$H:$H,RELATORIO_03!$N$1)))</f>
        <v>0</v>
      </c>
    </row>
    <row r="69" spans="2:13" x14ac:dyDescent="0.25">
      <c r="B69" s="31"/>
      <c r="F69" s="32"/>
      <c r="I69" s="32"/>
      <c r="J69">
        <f ca="1">IFERROR(LOOKUP(1,1/(COUNTIF($J$1:J68,INDIRECT("CADASTRO_01!$B$2:B"&amp;COUNTA(CADASTRO_01!A:A)))=0),INDIRECT("CADASTRO_01!$B$2:B"&amp;COUNTA(CADASTRO_01!A:A))),0)</f>
        <v>0</v>
      </c>
      <c r="K69">
        <f ca="1">IF(RELATORIO_03!$O$1=1,(IF(RELATORIO_03!$N$1="Todos",SUMIFS(LANÇAMENTOS_01!$J:$J,LANÇAMENTOS_01!$L:$L,"&lt;&gt;"&amp;$I$1,LANÇAMENTOS_01!$C:$C,AUX_03!J69,LANÇAMENTOS_01!$L:$L,"&gt;="&amp;RELATORIO_03!$O$3,LANÇAMENTOS_01!$L:$L,"&lt;="&amp;RELATORIO_03!$P$14),SUMIFS(LANÇAMENTOS_01!$J:$J,LANÇAMENTOS_01!$C:$C,AUX_03!J69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69,LANÇAMENTOS_01!$K:$K,"&gt;="&amp;RELATORIO_03!$O$3,LANÇAMENTOS_01!$K:$K,"&lt;="&amp;RELATORIO_03!$P$14),SUMIFS(LANÇAMENTOS_01!$J:$J,LANÇAMENTOS_01!$C:$C,AUX_03!J69,LANÇAMENTOS_01!$K:$K,"&gt;="&amp;RELATORIO_03!$O$3,LANÇAMENTOS_01!$K:$K,"&lt;="&amp;RELATORIO_03!$P$14,LANÇAMENTOS_01!$H:$H,RELATORIO_03!$N$1)))</f>
        <v>0</v>
      </c>
      <c r="L69">
        <f ca="1">IFERROR(LOOKUP(1,1/(COUNTIF($L$1:L68,INDIRECT("CADASTRO_02!$B$2:B"&amp;COUNTA(CADASTRO_02!A:A)))=0),INDIRECT("CADASTRO_02!$B$2:B"&amp;COUNTA(CADASTRO_02!A:A))),0)</f>
        <v>0</v>
      </c>
      <c r="M69">
        <f ca="1">IF(RELATORIO_03!$O$1=1,(IF(RELATORIO_03!$N$1="Todos",SUMIFS(LANÇAMENTOS_02!$J:$J,LANÇAMENTOS_02!$L:$L,"&lt;&gt;"&amp;$I$1,LANÇAMENTOS_02!$C:$C,AUX_03!L69,LANÇAMENTOS_02!$L:$L,"&gt;="&amp;RELATORIO_03!$O$3,LANÇAMENTOS_02!$L:$L,"&lt;="&amp;RELATORIO_03!$P$14),SUMIFS(LANÇAMENTOS_02!$J:$J,LANÇAMENTOS_02!$C:$C,AUX_03!L69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69,LANÇAMENTOS_02!$K:$K,"&gt;="&amp;RELATORIO_03!$O$3,LANÇAMENTOS_02!$K:$K,"&lt;="&amp;RELATORIO_03!$P$14),SUMIFS(LANÇAMENTOS_02!$J:$J,LANÇAMENTOS_02!$C:$C,AUX_03!L69,LANÇAMENTOS_02!$K:$K,"&gt;="&amp;RELATORIO_03!$O$3,LANÇAMENTOS_02!$K:$K,"&lt;="&amp;RELATORIO_03!$P$14,LANÇAMENTOS_02!$H:$H,RELATORIO_03!$N$1)))</f>
        <v>0</v>
      </c>
    </row>
    <row r="70" spans="2:13" x14ac:dyDescent="0.25">
      <c r="B70" s="31"/>
      <c r="F70" s="32"/>
      <c r="I70" s="32"/>
      <c r="J70">
        <f ca="1">IFERROR(LOOKUP(1,1/(COUNTIF($J$1:J69,INDIRECT("CADASTRO_01!$B$2:B"&amp;COUNTA(CADASTRO_01!A:A)))=0),INDIRECT("CADASTRO_01!$B$2:B"&amp;COUNTA(CADASTRO_01!A:A))),0)</f>
        <v>0</v>
      </c>
      <c r="K70">
        <f ca="1">IF(RELATORIO_03!$O$1=1,(IF(RELATORIO_03!$N$1="Todos",SUMIFS(LANÇAMENTOS_01!$J:$J,LANÇAMENTOS_01!$L:$L,"&lt;&gt;"&amp;$I$1,LANÇAMENTOS_01!$C:$C,AUX_03!J70,LANÇAMENTOS_01!$L:$L,"&gt;="&amp;RELATORIO_03!$O$3,LANÇAMENTOS_01!$L:$L,"&lt;="&amp;RELATORIO_03!$P$14),SUMIFS(LANÇAMENTOS_01!$J:$J,LANÇAMENTOS_01!$C:$C,AUX_03!J70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70,LANÇAMENTOS_01!$K:$K,"&gt;="&amp;RELATORIO_03!$O$3,LANÇAMENTOS_01!$K:$K,"&lt;="&amp;RELATORIO_03!$P$14),SUMIFS(LANÇAMENTOS_01!$J:$J,LANÇAMENTOS_01!$C:$C,AUX_03!J70,LANÇAMENTOS_01!$K:$K,"&gt;="&amp;RELATORIO_03!$O$3,LANÇAMENTOS_01!$K:$K,"&lt;="&amp;RELATORIO_03!$P$14,LANÇAMENTOS_01!$H:$H,RELATORIO_03!$N$1)))</f>
        <v>0</v>
      </c>
      <c r="L70">
        <f ca="1">IFERROR(LOOKUP(1,1/(COUNTIF($L$1:L69,INDIRECT("CADASTRO_02!$B$2:B"&amp;COUNTA(CADASTRO_02!A:A)))=0),INDIRECT("CADASTRO_02!$B$2:B"&amp;COUNTA(CADASTRO_02!A:A))),0)</f>
        <v>0</v>
      </c>
      <c r="M70">
        <f ca="1">IF(RELATORIO_03!$O$1=1,(IF(RELATORIO_03!$N$1="Todos",SUMIFS(LANÇAMENTOS_02!$J:$J,LANÇAMENTOS_02!$L:$L,"&lt;&gt;"&amp;$I$1,LANÇAMENTOS_02!$C:$C,AUX_03!L70,LANÇAMENTOS_02!$L:$L,"&gt;="&amp;RELATORIO_03!$O$3,LANÇAMENTOS_02!$L:$L,"&lt;="&amp;RELATORIO_03!$P$14),SUMIFS(LANÇAMENTOS_02!$J:$J,LANÇAMENTOS_02!$C:$C,AUX_03!L70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70,LANÇAMENTOS_02!$K:$K,"&gt;="&amp;RELATORIO_03!$O$3,LANÇAMENTOS_02!$K:$K,"&lt;="&amp;RELATORIO_03!$P$14),SUMIFS(LANÇAMENTOS_02!$J:$J,LANÇAMENTOS_02!$C:$C,AUX_03!L70,LANÇAMENTOS_02!$K:$K,"&gt;="&amp;RELATORIO_03!$O$3,LANÇAMENTOS_02!$K:$K,"&lt;="&amp;RELATORIO_03!$P$14,LANÇAMENTOS_02!$H:$H,RELATORIO_03!$N$1)))</f>
        <v>0</v>
      </c>
    </row>
    <row r="71" spans="2:13" x14ac:dyDescent="0.25">
      <c r="B71" s="31"/>
      <c r="F71" s="32"/>
      <c r="I71" s="32"/>
      <c r="J71">
        <f ca="1">IFERROR(LOOKUP(1,1/(COUNTIF($J$1:J70,INDIRECT("CADASTRO_01!$B$2:B"&amp;COUNTA(CADASTRO_01!A:A)))=0),INDIRECT("CADASTRO_01!$B$2:B"&amp;COUNTA(CADASTRO_01!A:A))),0)</f>
        <v>0</v>
      </c>
      <c r="K71">
        <f ca="1">IF(RELATORIO_03!$O$1=1,(IF(RELATORIO_03!$N$1="Todos",SUMIFS(LANÇAMENTOS_01!$J:$J,LANÇAMENTOS_01!$L:$L,"&lt;&gt;"&amp;$I$1,LANÇAMENTOS_01!$C:$C,AUX_03!J71,LANÇAMENTOS_01!$L:$L,"&gt;="&amp;RELATORIO_03!$O$3,LANÇAMENTOS_01!$L:$L,"&lt;="&amp;RELATORIO_03!$P$14),SUMIFS(LANÇAMENTOS_01!$J:$J,LANÇAMENTOS_01!$C:$C,AUX_03!J71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71,LANÇAMENTOS_01!$K:$K,"&gt;="&amp;RELATORIO_03!$O$3,LANÇAMENTOS_01!$K:$K,"&lt;="&amp;RELATORIO_03!$P$14),SUMIFS(LANÇAMENTOS_01!$J:$J,LANÇAMENTOS_01!$C:$C,AUX_03!J71,LANÇAMENTOS_01!$K:$K,"&gt;="&amp;RELATORIO_03!$O$3,LANÇAMENTOS_01!$K:$K,"&lt;="&amp;RELATORIO_03!$P$14,LANÇAMENTOS_01!$H:$H,RELATORIO_03!$N$1)))</f>
        <v>0</v>
      </c>
      <c r="L71">
        <f ca="1">IFERROR(LOOKUP(1,1/(COUNTIF($L$1:L70,INDIRECT("CADASTRO_02!$B$2:B"&amp;COUNTA(CADASTRO_02!A:A)))=0),INDIRECT("CADASTRO_02!$B$2:B"&amp;COUNTA(CADASTRO_02!A:A))),0)</f>
        <v>0</v>
      </c>
      <c r="M71">
        <f ca="1">IF(RELATORIO_03!$O$1=1,(IF(RELATORIO_03!$N$1="Todos",SUMIFS(LANÇAMENTOS_02!$J:$J,LANÇAMENTOS_02!$L:$L,"&lt;&gt;"&amp;$I$1,LANÇAMENTOS_02!$C:$C,AUX_03!L71,LANÇAMENTOS_02!$L:$L,"&gt;="&amp;RELATORIO_03!$O$3,LANÇAMENTOS_02!$L:$L,"&lt;="&amp;RELATORIO_03!$P$14),SUMIFS(LANÇAMENTOS_02!$J:$J,LANÇAMENTOS_02!$C:$C,AUX_03!L71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71,LANÇAMENTOS_02!$K:$K,"&gt;="&amp;RELATORIO_03!$O$3,LANÇAMENTOS_02!$K:$K,"&lt;="&amp;RELATORIO_03!$P$14),SUMIFS(LANÇAMENTOS_02!$J:$J,LANÇAMENTOS_02!$C:$C,AUX_03!L71,LANÇAMENTOS_02!$K:$K,"&gt;="&amp;RELATORIO_03!$O$3,LANÇAMENTOS_02!$K:$K,"&lt;="&amp;RELATORIO_03!$P$14,LANÇAMENTOS_02!$H:$H,RELATORIO_03!$N$1)))</f>
        <v>0</v>
      </c>
    </row>
    <row r="72" spans="2:13" x14ac:dyDescent="0.25">
      <c r="B72" s="31"/>
      <c r="F72" s="32"/>
      <c r="I72" s="32"/>
      <c r="J72">
        <f ca="1">IFERROR(LOOKUP(1,1/(COUNTIF($J$1:J71,INDIRECT("CADASTRO_01!$B$2:B"&amp;COUNTA(CADASTRO_01!A:A)))=0),INDIRECT("CADASTRO_01!$B$2:B"&amp;COUNTA(CADASTRO_01!A:A))),0)</f>
        <v>0</v>
      </c>
      <c r="K72">
        <f ca="1">IF(RELATORIO_03!$O$1=1,(IF(RELATORIO_03!$N$1="Todos",SUMIFS(LANÇAMENTOS_01!$J:$J,LANÇAMENTOS_01!$L:$L,"&lt;&gt;"&amp;$I$1,LANÇAMENTOS_01!$C:$C,AUX_03!J72,LANÇAMENTOS_01!$L:$L,"&gt;="&amp;RELATORIO_03!$O$3,LANÇAMENTOS_01!$L:$L,"&lt;="&amp;RELATORIO_03!$P$14),SUMIFS(LANÇAMENTOS_01!$J:$J,LANÇAMENTOS_01!$C:$C,AUX_03!J72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72,LANÇAMENTOS_01!$K:$K,"&gt;="&amp;RELATORIO_03!$O$3,LANÇAMENTOS_01!$K:$K,"&lt;="&amp;RELATORIO_03!$P$14),SUMIFS(LANÇAMENTOS_01!$J:$J,LANÇAMENTOS_01!$C:$C,AUX_03!J72,LANÇAMENTOS_01!$K:$K,"&gt;="&amp;RELATORIO_03!$O$3,LANÇAMENTOS_01!$K:$K,"&lt;="&amp;RELATORIO_03!$P$14,LANÇAMENTOS_01!$H:$H,RELATORIO_03!$N$1)))</f>
        <v>0</v>
      </c>
      <c r="L72">
        <f ca="1">IFERROR(LOOKUP(1,1/(COUNTIF($L$1:L71,INDIRECT("CADASTRO_02!$B$2:B"&amp;COUNTA(CADASTRO_02!A:A)))=0),INDIRECT("CADASTRO_02!$B$2:B"&amp;COUNTA(CADASTRO_02!A:A))),0)</f>
        <v>0</v>
      </c>
      <c r="M72">
        <f ca="1">IF(RELATORIO_03!$O$1=1,(IF(RELATORIO_03!$N$1="Todos",SUMIFS(LANÇAMENTOS_02!$J:$J,LANÇAMENTOS_02!$L:$L,"&lt;&gt;"&amp;$I$1,LANÇAMENTOS_02!$C:$C,AUX_03!L72,LANÇAMENTOS_02!$L:$L,"&gt;="&amp;RELATORIO_03!$O$3,LANÇAMENTOS_02!$L:$L,"&lt;="&amp;RELATORIO_03!$P$14),SUMIFS(LANÇAMENTOS_02!$J:$J,LANÇAMENTOS_02!$C:$C,AUX_03!L72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72,LANÇAMENTOS_02!$K:$K,"&gt;="&amp;RELATORIO_03!$O$3,LANÇAMENTOS_02!$K:$K,"&lt;="&amp;RELATORIO_03!$P$14),SUMIFS(LANÇAMENTOS_02!$J:$J,LANÇAMENTOS_02!$C:$C,AUX_03!L72,LANÇAMENTOS_02!$K:$K,"&gt;="&amp;RELATORIO_03!$O$3,LANÇAMENTOS_02!$K:$K,"&lt;="&amp;RELATORIO_03!$P$14,LANÇAMENTOS_02!$H:$H,RELATORIO_03!$N$1)))</f>
        <v>0</v>
      </c>
    </row>
    <row r="73" spans="2:13" x14ac:dyDescent="0.25">
      <c r="B73" s="31"/>
      <c r="F73" s="32"/>
      <c r="I73" s="32"/>
      <c r="J73">
        <f ca="1">IFERROR(LOOKUP(1,1/(COUNTIF($J$1:J72,INDIRECT("CADASTRO_01!$B$2:B"&amp;COUNTA(CADASTRO_01!A:A)))=0),INDIRECT("CADASTRO_01!$B$2:B"&amp;COUNTA(CADASTRO_01!A:A))),0)</f>
        <v>0</v>
      </c>
      <c r="K73">
        <f ca="1">IF(RELATORIO_03!$O$1=1,(IF(RELATORIO_03!$N$1="Todos",SUMIFS(LANÇAMENTOS_01!$J:$J,LANÇAMENTOS_01!$L:$L,"&lt;&gt;"&amp;$I$1,LANÇAMENTOS_01!$C:$C,AUX_03!J73,LANÇAMENTOS_01!$L:$L,"&gt;="&amp;RELATORIO_03!$O$3,LANÇAMENTOS_01!$L:$L,"&lt;="&amp;RELATORIO_03!$P$14),SUMIFS(LANÇAMENTOS_01!$J:$J,LANÇAMENTOS_01!$C:$C,AUX_03!J73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73,LANÇAMENTOS_01!$K:$K,"&gt;="&amp;RELATORIO_03!$O$3,LANÇAMENTOS_01!$K:$K,"&lt;="&amp;RELATORIO_03!$P$14),SUMIFS(LANÇAMENTOS_01!$J:$J,LANÇAMENTOS_01!$C:$C,AUX_03!J73,LANÇAMENTOS_01!$K:$K,"&gt;="&amp;RELATORIO_03!$O$3,LANÇAMENTOS_01!$K:$K,"&lt;="&amp;RELATORIO_03!$P$14,LANÇAMENTOS_01!$H:$H,RELATORIO_03!$N$1)))</f>
        <v>0</v>
      </c>
      <c r="L73">
        <f ca="1">IFERROR(LOOKUP(1,1/(COUNTIF($L$1:L72,INDIRECT("CADASTRO_02!$B$2:B"&amp;COUNTA(CADASTRO_02!A:A)))=0),INDIRECT("CADASTRO_02!$B$2:B"&amp;COUNTA(CADASTRO_02!A:A))),0)</f>
        <v>0</v>
      </c>
      <c r="M73">
        <f ca="1">IF(RELATORIO_03!$O$1=1,(IF(RELATORIO_03!$N$1="Todos",SUMIFS(LANÇAMENTOS_02!$J:$J,LANÇAMENTOS_02!$L:$L,"&lt;&gt;"&amp;$I$1,LANÇAMENTOS_02!$C:$C,AUX_03!L73,LANÇAMENTOS_02!$L:$L,"&gt;="&amp;RELATORIO_03!$O$3,LANÇAMENTOS_02!$L:$L,"&lt;="&amp;RELATORIO_03!$P$14),SUMIFS(LANÇAMENTOS_02!$J:$J,LANÇAMENTOS_02!$C:$C,AUX_03!L73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73,LANÇAMENTOS_02!$K:$K,"&gt;="&amp;RELATORIO_03!$O$3,LANÇAMENTOS_02!$K:$K,"&lt;="&amp;RELATORIO_03!$P$14),SUMIFS(LANÇAMENTOS_02!$J:$J,LANÇAMENTOS_02!$C:$C,AUX_03!L73,LANÇAMENTOS_02!$K:$K,"&gt;="&amp;RELATORIO_03!$O$3,LANÇAMENTOS_02!$K:$K,"&lt;="&amp;RELATORIO_03!$P$14,LANÇAMENTOS_02!$H:$H,RELATORIO_03!$N$1)))</f>
        <v>0</v>
      </c>
    </row>
    <row r="74" spans="2:13" x14ac:dyDescent="0.25">
      <c r="B74" s="31"/>
      <c r="F74" s="32"/>
      <c r="I74" s="32"/>
      <c r="J74">
        <f ca="1">IFERROR(LOOKUP(1,1/(COUNTIF($J$1:J73,INDIRECT("CADASTRO_01!$B$2:B"&amp;COUNTA(CADASTRO_01!A:A)))=0),INDIRECT("CADASTRO_01!$B$2:B"&amp;COUNTA(CADASTRO_01!A:A))),0)</f>
        <v>0</v>
      </c>
      <c r="K74">
        <f ca="1">IF(RELATORIO_03!$O$1=1,(IF(RELATORIO_03!$N$1="Todos",SUMIFS(LANÇAMENTOS_01!$J:$J,LANÇAMENTOS_01!$L:$L,"&lt;&gt;"&amp;$I$1,LANÇAMENTOS_01!$C:$C,AUX_03!J74,LANÇAMENTOS_01!$L:$L,"&gt;="&amp;RELATORIO_03!$O$3,LANÇAMENTOS_01!$L:$L,"&lt;="&amp;RELATORIO_03!$P$14),SUMIFS(LANÇAMENTOS_01!$J:$J,LANÇAMENTOS_01!$C:$C,AUX_03!J74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74,LANÇAMENTOS_01!$K:$K,"&gt;="&amp;RELATORIO_03!$O$3,LANÇAMENTOS_01!$K:$K,"&lt;="&amp;RELATORIO_03!$P$14),SUMIFS(LANÇAMENTOS_01!$J:$J,LANÇAMENTOS_01!$C:$C,AUX_03!J74,LANÇAMENTOS_01!$K:$K,"&gt;="&amp;RELATORIO_03!$O$3,LANÇAMENTOS_01!$K:$K,"&lt;="&amp;RELATORIO_03!$P$14,LANÇAMENTOS_01!$H:$H,RELATORIO_03!$N$1)))</f>
        <v>0</v>
      </c>
      <c r="L74">
        <f ca="1">IFERROR(LOOKUP(1,1/(COUNTIF($L$1:L73,INDIRECT("CADASTRO_02!$B$2:B"&amp;COUNTA(CADASTRO_02!A:A)))=0),INDIRECT("CADASTRO_02!$B$2:B"&amp;COUNTA(CADASTRO_02!A:A))),0)</f>
        <v>0</v>
      </c>
      <c r="M74">
        <f ca="1">IF(RELATORIO_03!$O$1=1,(IF(RELATORIO_03!$N$1="Todos",SUMIFS(LANÇAMENTOS_02!$J:$J,LANÇAMENTOS_02!$L:$L,"&lt;&gt;"&amp;$I$1,LANÇAMENTOS_02!$C:$C,AUX_03!L74,LANÇAMENTOS_02!$L:$L,"&gt;="&amp;RELATORIO_03!$O$3,LANÇAMENTOS_02!$L:$L,"&lt;="&amp;RELATORIO_03!$P$14),SUMIFS(LANÇAMENTOS_02!$J:$J,LANÇAMENTOS_02!$C:$C,AUX_03!L74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74,LANÇAMENTOS_02!$K:$K,"&gt;="&amp;RELATORIO_03!$O$3,LANÇAMENTOS_02!$K:$K,"&lt;="&amp;RELATORIO_03!$P$14),SUMIFS(LANÇAMENTOS_02!$J:$J,LANÇAMENTOS_02!$C:$C,AUX_03!L74,LANÇAMENTOS_02!$K:$K,"&gt;="&amp;RELATORIO_03!$O$3,LANÇAMENTOS_02!$K:$K,"&lt;="&amp;RELATORIO_03!$P$14,LANÇAMENTOS_02!$H:$H,RELATORIO_03!$N$1)))</f>
        <v>0</v>
      </c>
    </row>
    <row r="75" spans="2:13" x14ac:dyDescent="0.25">
      <c r="B75" s="31"/>
      <c r="F75" s="32"/>
      <c r="I75" s="32"/>
      <c r="J75">
        <f ca="1">IFERROR(LOOKUP(1,1/(COUNTIF($J$1:J74,INDIRECT("CADASTRO_01!$B$2:B"&amp;COUNTA(CADASTRO_01!A:A)))=0),INDIRECT("CADASTRO_01!$B$2:B"&amp;COUNTA(CADASTRO_01!A:A))),0)</f>
        <v>0</v>
      </c>
      <c r="K75">
        <f ca="1">IF(RELATORIO_03!$O$1=1,(IF(RELATORIO_03!$N$1="Todos",SUMIFS(LANÇAMENTOS_01!$J:$J,LANÇAMENTOS_01!$L:$L,"&lt;&gt;"&amp;$I$1,LANÇAMENTOS_01!$C:$C,AUX_03!J75,LANÇAMENTOS_01!$L:$L,"&gt;="&amp;RELATORIO_03!$O$3,LANÇAMENTOS_01!$L:$L,"&lt;="&amp;RELATORIO_03!$P$14),SUMIFS(LANÇAMENTOS_01!$J:$J,LANÇAMENTOS_01!$C:$C,AUX_03!J75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75,LANÇAMENTOS_01!$K:$K,"&gt;="&amp;RELATORIO_03!$O$3,LANÇAMENTOS_01!$K:$K,"&lt;="&amp;RELATORIO_03!$P$14),SUMIFS(LANÇAMENTOS_01!$J:$J,LANÇAMENTOS_01!$C:$C,AUX_03!J75,LANÇAMENTOS_01!$K:$K,"&gt;="&amp;RELATORIO_03!$O$3,LANÇAMENTOS_01!$K:$K,"&lt;="&amp;RELATORIO_03!$P$14,LANÇAMENTOS_01!$H:$H,RELATORIO_03!$N$1)))</f>
        <v>0</v>
      </c>
      <c r="L75">
        <f ca="1">IFERROR(LOOKUP(1,1/(COUNTIF($L$1:L74,INDIRECT("CADASTRO_02!$B$2:B"&amp;COUNTA(CADASTRO_02!A:A)))=0),INDIRECT("CADASTRO_02!$B$2:B"&amp;COUNTA(CADASTRO_02!A:A))),0)</f>
        <v>0</v>
      </c>
      <c r="M75">
        <f ca="1">IF(RELATORIO_03!$O$1=1,(IF(RELATORIO_03!$N$1="Todos",SUMIFS(LANÇAMENTOS_02!$J:$J,LANÇAMENTOS_02!$L:$L,"&lt;&gt;"&amp;$I$1,LANÇAMENTOS_02!$C:$C,AUX_03!L75,LANÇAMENTOS_02!$L:$L,"&gt;="&amp;RELATORIO_03!$O$3,LANÇAMENTOS_02!$L:$L,"&lt;="&amp;RELATORIO_03!$P$14),SUMIFS(LANÇAMENTOS_02!$J:$J,LANÇAMENTOS_02!$C:$C,AUX_03!L75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75,LANÇAMENTOS_02!$K:$K,"&gt;="&amp;RELATORIO_03!$O$3,LANÇAMENTOS_02!$K:$K,"&lt;="&amp;RELATORIO_03!$P$14),SUMIFS(LANÇAMENTOS_02!$J:$J,LANÇAMENTOS_02!$C:$C,AUX_03!L75,LANÇAMENTOS_02!$K:$K,"&gt;="&amp;RELATORIO_03!$O$3,LANÇAMENTOS_02!$K:$K,"&lt;="&amp;RELATORIO_03!$P$14,LANÇAMENTOS_02!$H:$H,RELATORIO_03!$N$1)))</f>
        <v>0</v>
      </c>
    </row>
    <row r="76" spans="2:13" x14ac:dyDescent="0.25">
      <c r="B76" s="31"/>
      <c r="F76" s="32"/>
      <c r="I76" s="32"/>
      <c r="J76">
        <f ca="1">IFERROR(LOOKUP(1,1/(COUNTIF($J$1:J75,INDIRECT("CADASTRO_01!$B$2:B"&amp;COUNTA(CADASTRO_01!A:A)))=0),INDIRECT("CADASTRO_01!$B$2:B"&amp;COUNTA(CADASTRO_01!A:A))),0)</f>
        <v>0</v>
      </c>
      <c r="K76">
        <f ca="1">IF(RELATORIO_03!$O$1=1,(IF(RELATORIO_03!$N$1="Todos",SUMIFS(LANÇAMENTOS_01!$J:$J,LANÇAMENTOS_01!$L:$L,"&lt;&gt;"&amp;$I$1,LANÇAMENTOS_01!$C:$C,AUX_03!J76,LANÇAMENTOS_01!$L:$L,"&gt;="&amp;RELATORIO_03!$O$3,LANÇAMENTOS_01!$L:$L,"&lt;="&amp;RELATORIO_03!$P$14),SUMIFS(LANÇAMENTOS_01!$J:$J,LANÇAMENTOS_01!$C:$C,AUX_03!J76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76,LANÇAMENTOS_01!$K:$K,"&gt;="&amp;RELATORIO_03!$O$3,LANÇAMENTOS_01!$K:$K,"&lt;="&amp;RELATORIO_03!$P$14),SUMIFS(LANÇAMENTOS_01!$J:$J,LANÇAMENTOS_01!$C:$C,AUX_03!J76,LANÇAMENTOS_01!$K:$K,"&gt;="&amp;RELATORIO_03!$O$3,LANÇAMENTOS_01!$K:$K,"&lt;="&amp;RELATORIO_03!$P$14,LANÇAMENTOS_01!$H:$H,RELATORIO_03!$N$1)))</f>
        <v>0</v>
      </c>
      <c r="L76">
        <f ca="1">IFERROR(LOOKUP(1,1/(COUNTIF($L$1:L75,INDIRECT("CADASTRO_02!$B$2:B"&amp;COUNTA(CADASTRO_02!A:A)))=0),INDIRECT("CADASTRO_02!$B$2:B"&amp;COUNTA(CADASTRO_02!A:A))),0)</f>
        <v>0</v>
      </c>
      <c r="M76">
        <f ca="1">IF(RELATORIO_03!$O$1=1,(IF(RELATORIO_03!$N$1="Todos",SUMIFS(LANÇAMENTOS_02!$J:$J,LANÇAMENTOS_02!$L:$L,"&lt;&gt;"&amp;$I$1,LANÇAMENTOS_02!$C:$C,AUX_03!L76,LANÇAMENTOS_02!$L:$L,"&gt;="&amp;RELATORIO_03!$O$3,LANÇAMENTOS_02!$L:$L,"&lt;="&amp;RELATORIO_03!$P$14),SUMIFS(LANÇAMENTOS_02!$J:$J,LANÇAMENTOS_02!$C:$C,AUX_03!L76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76,LANÇAMENTOS_02!$K:$K,"&gt;="&amp;RELATORIO_03!$O$3,LANÇAMENTOS_02!$K:$K,"&lt;="&amp;RELATORIO_03!$P$14),SUMIFS(LANÇAMENTOS_02!$J:$J,LANÇAMENTOS_02!$C:$C,AUX_03!L76,LANÇAMENTOS_02!$K:$K,"&gt;="&amp;RELATORIO_03!$O$3,LANÇAMENTOS_02!$K:$K,"&lt;="&amp;RELATORIO_03!$P$14,LANÇAMENTOS_02!$H:$H,RELATORIO_03!$N$1)))</f>
        <v>0</v>
      </c>
    </row>
    <row r="77" spans="2:13" x14ac:dyDescent="0.25">
      <c r="B77" s="31"/>
      <c r="F77" s="32"/>
      <c r="I77" s="32"/>
      <c r="J77">
        <f ca="1">IFERROR(LOOKUP(1,1/(COUNTIF($J$1:J76,INDIRECT("CADASTRO_01!$B$2:B"&amp;COUNTA(CADASTRO_01!A:A)))=0),INDIRECT("CADASTRO_01!$B$2:B"&amp;COUNTA(CADASTRO_01!A:A))),0)</f>
        <v>0</v>
      </c>
      <c r="K77">
        <f ca="1">IF(RELATORIO_03!$O$1=1,(IF(RELATORIO_03!$N$1="Todos",SUMIFS(LANÇAMENTOS_01!$J:$J,LANÇAMENTOS_01!$L:$L,"&lt;&gt;"&amp;$I$1,LANÇAMENTOS_01!$C:$C,AUX_03!J77,LANÇAMENTOS_01!$L:$L,"&gt;="&amp;RELATORIO_03!$O$3,LANÇAMENTOS_01!$L:$L,"&lt;="&amp;RELATORIO_03!$P$14),SUMIFS(LANÇAMENTOS_01!$J:$J,LANÇAMENTOS_01!$C:$C,AUX_03!J77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77,LANÇAMENTOS_01!$K:$K,"&gt;="&amp;RELATORIO_03!$O$3,LANÇAMENTOS_01!$K:$K,"&lt;="&amp;RELATORIO_03!$P$14),SUMIFS(LANÇAMENTOS_01!$J:$J,LANÇAMENTOS_01!$C:$C,AUX_03!J77,LANÇAMENTOS_01!$K:$K,"&gt;="&amp;RELATORIO_03!$O$3,LANÇAMENTOS_01!$K:$K,"&lt;="&amp;RELATORIO_03!$P$14,LANÇAMENTOS_01!$H:$H,RELATORIO_03!$N$1)))</f>
        <v>0</v>
      </c>
      <c r="L77">
        <f ca="1">IFERROR(LOOKUP(1,1/(COUNTIF($L$1:L76,INDIRECT("CADASTRO_02!$B$2:B"&amp;COUNTA(CADASTRO_02!A:A)))=0),INDIRECT("CADASTRO_02!$B$2:B"&amp;COUNTA(CADASTRO_02!A:A))),0)</f>
        <v>0</v>
      </c>
      <c r="M77">
        <f ca="1">IF(RELATORIO_03!$O$1=1,(IF(RELATORIO_03!$N$1="Todos",SUMIFS(LANÇAMENTOS_02!$J:$J,LANÇAMENTOS_02!$L:$L,"&lt;&gt;"&amp;$I$1,LANÇAMENTOS_02!$C:$C,AUX_03!L77,LANÇAMENTOS_02!$L:$L,"&gt;="&amp;RELATORIO_03!$O$3,LANÇAMENTOS_02!$L:$L,"&lt;="&amp;RELATORIO_03!$P$14),SUMIFS(LANÇAMENTOS_02!$J:$J,LANÇAMENTOS_02!$C:$C,AUX_03!L77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77,LANÇAMENTOS_02!$K:$K,"&gt;="&amp;RELATORIO_03!$O$3,LANÇAMENTOS_02!$K:$K,"&lt;="&amp;RELATORIO_03!$P$14),SUMIFS(LANÇAMENTOS_02!$J:$J,LANÇAMENTOS_02!$C:$C,AUX_03!L77,LANÇAMENTOS_02!$K:$K,"&gt;="&amp;RELATORIO_03!$O$3,LANÇAMENTOS_02!$K:$K,"&lt;="&amp;RELATORIO_03!$P$14,LANÇAMENTOS_02!$H:$H,RELATORIO_03!$N$1)))</f>
        <v>0</v>
      </c>
    </row>
    <row r="78" spans="2:13" x14ac:dyDescent="0.25">
      <c r="B78" s="31"/>
      <c r="F78" s="32"/>
      <c r="I78" s="32"/>
      <c r="J78">
        <f ca="1">IFERROR(LOOKUP(1,1/(COUNTIF($J$1:J77,INDIRECT("CADASTRO_01!$B$2:B"&amp;COUNTA(CADASTRO_01!A:A)))=0),INDIRECT("CADASTRO_01!$B$2:B"&amp;COUNTA(CADASTRO_01!A:A))),0)</f>
        <v>0</v>
      </c>
      <c r="K78">
        <f ca="1">IF(RELATORIO_03!$O$1=1,(IF(RELATORIO_03!$N$1="Todos",SUMIFS(LANÇAMENTOS_01!$J:$J,LANÇAMENTOS_01!$L:$L,"&lt;&gt;"&amp;$I$1,LANÇAMENTOS_01!$C:$C,AUX_03!J78,LANÇAMENTOS_01!$L:$L,"&gt;="&amp;RELATORIO_03!$O$3,LANÇAMENTOS_01!$L:$L,"&lt;="&amp;RELATORIO_03!$P$14),SUMIFS(LANÇAMENTOS_01!$J:$J,LANÇAMENTOS_01!$C:$C,AUX_03!J78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78,LANÇAMENTOS_01!$K:$K,"&gt;="&amp;RELATORIO_03!$O$3,LANÇAMENTOS_01!$K:$K,"&lt;="&amp;RELATORIO_03!$P$14),SUMIFS(LANÇAMENTOS_01!$J:$J,LANÇAMENTOS_01!$C:$C,AUX_03!J78,LANÇAMENTOS_01!$K:$K,"&gt;="&amp;RELATORIO_03!$O$3,LANÇAMENTOS_01!$K:$K,"&lt;="&amp;RELATORIO_03!$P$14,LANÇAMENTOS_01!$H:$H,RELATORIO_03!$N$1)))</f>
        <v>0</v>
      </c>
      <c r="L78">
        <f ca="1">IFERROR(LOOKUP(1,1/(COUNTIF($L$1:L77,INDIRECT("CADASTRO_02!$B$2:B"&amp;COUNTA(CADASTRO_02!A:A)))=0),INDIRECT("CADASTRO_02!$B$2:B"&amp;COUNTA(CADASTRO_02!A:A))),0)</f>
        <v>0</v>
      </c>
      <c r="M78">
        <f ca="1">IF(RELATORIO_03!$O$1=1,(IF(RELATORIO_03!$N$1="Todos",SUMIFS(LANÇAMENTOS_02!$J:$J,LANÇAMENTOS_02!$L:$L,"&lt;&gt;"&amp;$I$1,LANÇAMENTOS_02!$C:$C,AUX_03!L78,LANÇAMENTOS_02!$L:$L,"&gt;="&amp;RELATORIO_03!$O$3,LANÇAMENTOS_02!$L:$L,"&lt;="&amp;RELATORIO_03!$P$14),SUMIFS(LANÇAMENTOS_02!$J:$J,LANÇAMENTOS_02!$C:$C,AUX_03!L78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78,LANÇAMENTOS_02!$K:$K,"&gt;="&amp;RELATORIO_03!$O$3,LANÇAMENTOS_02!$K:$K,"&lt;="&amp;RELATORIO_03!$P$14),SUMIFS(LANÇAMENTOS_02!$J:$J,LANÇAMENTOS_02!$C:$C,AUX_03!L78,LANÇAMENTOS_02!$K:$K,"&gt;="&amp;RELATORIO_03!$O$3,LANÇAMENTOS_02!$K:$K,"&lt;="&amp;RELATORIO_03!$P$14,LANÇAMENTOS_02!$H:$H,RELATORIO_03!$N$1)))</f>
        <v>0</v>
      </c>
    </row>
    <row r="79" spans="2:13" x14ac:dyDescent="0.25">
      <c r="B79" s="31"/>
      <c r="F79" s="32"/>
      <c r="I79" s="32"/>
      <c r="J79">
        <f ca="1">IFERROR(LOOKUP(1,1/(COUNTIF($J$1:J78,INDIRECT("CADASTRO_01!$B$2:B"&amp;COUNTA(CADASTRO_01!A:A)))=0),INDIRECT("CADASTRO_01!$B$2:B"&amp;COUNTA(CADASTRO_01!A:A))),0)</f>
        <v>0</v>
      </c>
      <c r="K79">
        <f ca="1">IF(RELATORIO_03!$O$1=1,(IF(RELATORIO_03!$N$1="Todos",SUMIFS(LANÇAMENTOS_01!$J:$J,LANÇAMENTOS_01!$L:$L,"&lt;&gt;"&amp;$I$1,LANÇAMENTOS_01!$C:$C,AUX_03!J79,LANÇAMENTOS_01!$L:$L,"&gt;="&amp;RELATORIO_03!$O$3,LANÇAMENTOS_01!$L:$L,"&lt;="&amp;RELATORIO_03!$P$14),SUMIFS(LANÇAMENTOS_01!$J:$J,LANÇAMENTOS_01!$C:$C,AUX_03!J79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79,LANÇAMENTOS_01!$K:$K,"&gt;="&amp;RELATORIO_03!$O$3,LANÇAMENTOS_01!$K:$K,"&lt;="&amp;RELATORIO_03!$P$14),SUMIFS(LANÇAMENTOS_01!$J:$J,LANÇAMENTOS_01!$C:$C,AUX_03!J79,LANÇAMENTOS_01!$K:$K,"&gt;="&amp;RELATORIO_03!$O$3,LANÇAMENTOS_01!$K:$K,"&lt;="&amp;RELATORIO_03!$P$14,LANÇAMENTOS_01!$H:$H,RELATORIO_03!$N$1)))</f>
        <v>0</v>
      </c>
      <c r="L79">
        <f ca="1">IFERROR(LOOKUP(1,1/(COUNTIF($L$1:L78,INDIRECT("CADASTRO_02!$B$2:B"&amp;COUNTA(CADASTRO_02!A:A)))=0),INDIRECT("CADASTRO_02!$B$2:B"&amp;COUNTA(CADASTRO_02!A:A))),0)</f>
        <v>0</v>
      </c>
      <c r="M79">
        <f ca="1">IF(RELATORIO_03!$O$1=1,(IF(RELATORIO_03!$N$1="Todos",SUMIFS(LANÇAMENTOS_02!$J:$J,LANÇAMENTOS_02!$L:$L,"&lt;&gt;"&amp;$I$1,LANÇAMENTOS_02!$C:$C,AUX_03!L79,LANÇAMENTOS_02!$L:$L,"&gt;="&amp;RELATORIO_03!$O$3,LANÇAMENTOS_02!$L:$L,"&lt;="&amp;RELATORIO_03!$P$14),SUMIFS(LANÇAMENTOS_02!$J:$J,LANÇAMENTOS_02!$C:$C,AUX_03!L79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79,LANÇAMENTOS_02!$K:$K,"&gt;="&amp;RELATORIO_03!$O$3,LANÇAMENTOS_02!$K:$K,"&lt;="&amp;RELATORIO_03!$P$14),SUMIFS(LANÇAMENTOS_02!$J:$J,LANÇAMENTOS_02!$C:$C,AUX_03!L79,LANÇAMENTOS_02!$K:$K,"&gt;="&amp;RELATORIO_03!$O$3,LANÇAMENTOS_02!$K:$K,"&lt;="&amp;RELATORIO_03!$P$14,LANÇAMENTOS_02!$H:$H,RELATORIO_03!$N$1)))</f>
        <v>0</v>
      </c>
    </row>
    <row r="80" spans="2:13" x14ac:dyDescent="0.25">
      <c r="B80" s="31"/>
      <c r="F80" s="32"/>
      <c r="I80" s="32"/>
      <c r="J80">
        <f ca="1">IFERROR(LOOKUP(1,1/(COUNTIF($J$1:J79,INDIRECT("CADASTRO_01!$B$2:B"&amp;COUNTA(CADASTRO_01!A:A)))=0),INDIRECT("CADASTRO_01!$B$2:B"&amp;COUNTA(CADASTRO_01!A:A))),0)</f>
        <v>0</v>
      </c>
      <c r="K80">
        <f ca="1">IF(RELATORIO_03!$O$1=1,(IF(RELATORIO_03!$N$1="Todos",SUMIFS(LANÇAMENTOS_01!$J:$J,LANÇAMENTOS_01!$L:$L,"&lt;&gt;"&amp;$I$1,LANÇAMENTOS_01!$C:$C,AUX_03!J80,LANÇAMENTOS_01!$L:$L,"&gt;="&amp;RELATORIO_03!$O$3,LANÇAMENTOS_01!$L:$L,"&lt;="&amp;RELATORIO_03!$P$14),SUMIFS(LANÇAMENTOS_01!$J:$J,LANÇAMENTOS_01!$C:$C,AUX_03!J80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80,LANÇAMENTOS_01!$K:$K,"&gt;="&amp;RELATORIO_03!$O$3,LANÇAMENTOS_01!$K:$K,"&lt;="&amp;RELATORIO_03!$P$14),SUMIFS(LANÇAMENTOS_01!$J:$J,LANÇAMENTOS_01!$C:$C,AUX_03!J80,LANÇAMENTOS_01!$K:$K,"&gt;="&amp;RELATORIO_03!$O$3,LANÇAMENTOS_01!$K:$K,"&lt;="&amp;RELATORIO_03!$P$14,LANÇAMENTOS_01!$H:$H,RELATORIO_03!$N$1)))</f>
        <v>0</v>
      </c>
      <c r="L80">
        <f ca="1">IFERROR(LOOKUP(1,1/(COUNTIF($L$1:L79,INDIRECT("CADASTRO_02!$B$2:B"&amp;COUNTA(CADASTRO_02!A:A)))=0),INDIRECT("CADASTRO_02!$B$2:B"&amp;COUNTA(CADASTRO_02!A:A))),0)</f>
        <v>0</v>
      </c>
      <c r="M80">
        <f ca="1">IF(RELATORIO_03!$O$1=1,(IF(RELATORIO_03!$N$1="Todos",SUMIFS(LANÇAMENTOS_02!$J:$J,LANÇAMENTOS_02!$L:$L,"&lt;&gt;"&amp;$I$1,LANÇAMENTOS_02!$C:$C,AUX_03!L80,LANÇAMENTOS_02!$L:$L,"&gt;="&amp;RELATORIO_03!$O$3,LANÇAMENTOS_02!$L:$L,"&lt;="&amp;RELATORIO_03!$P$14),SUMIFS(LANÇAMENTOS_02!$J:$J,LANÇAMENTOS_02!$C:$C,AUX_03!L80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80,LANÇAMENTOS_02!$K:$K,"&gt;="&amp;RELATORIO_03!$O$3,LANÇAMENTOS_02!$K:$K,"&lt;="&amp;RELATORIO_03!$P$14),SUMIFS(LANÇAMENTOS_02!$J:$J,LANÇAMENTOS_02!$C:$C,AUX_03!L80,LANÇAMENTOS_02!$K:$K,"&gt;="&amp;RELATORIO_03!$O$3,LANÇAMENTOS_02!$K:$K,"&lt;="&amp;RELATORIO_03!$P$14,LANÇAMENTOS_02!$H:$H,RELATORIO_03!$N$1)))</f>
        <v>0</v>
      </c>
    </row>
    <row r="81" spans="2:13" x14ac:dyDescent="0.25">
      <c r="B81" s="31"/>
      <c r="F81" s="32"/>
      <c r="I81" s="32"/>
      <c r="J81">
        <f ca="1">IFERROR(LOOKUP(1,1/(COUNTIF($J$1:J80,INDIRECT("CADASTRO_01!$B$2:B"&amp;COUNTA(CADASTRO_01!A:A)))=0),INDIRECT("CADASTRO_01!$B$2:B"&amp;COUNTA(CADASTRO_01!A:A))),0)</f>
        <v>0</v>
      </c>
      <c r="K81">
        <f ca="1">IF(RELATORIO_03!$O$1=1,(IF(RELATORIO_03!$N$1="Todos",SUMIFS(LANÇAMENTOS_01!$J:$J,LANÇAMENTOS_01!$L:$L,"&lt;&gt;"&amp;$I$1,LANÇAMENTOS_01!$C:$C,AUX_03!J81,LANÇAMENTOS_01!$L:$L,"&gt;="&amp;RELATORIO_03!$O$3,LANÇAMENTOS_01!$L:$L,"&lt;="&amp;RELATORIO_03!$P$14),SUMIFS(LANÇAMENTOS_01!$J:$J,LANÇAMENTOS_01!$C:$C,AUX_03!J81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81,LANÇAMENTOS_01!$K:$K,"&gt;="&amp;RELATORIO_03!$O$3,LANÇAMENTOS_01!$K:$K,"&lt;="&amp;RELATORIO_03!$P$14),SUMIFS(LANÇAMENTOS_01!$J:$J,LANÇAMENTOS_01!$C:$C,AUX_03!J81,LANÇAMENTOS_01!$K:$K,"&gt;="&amp;RELATORIO_03!$O$3,LANÇAMENTOS_01!$K:$K,"&lt;="&amp;RELATORIO_03!$P$14,LANÇAMENTOS_01!$H:$H,RELATORIO_03!$N$1)))</f>
        <v>0</v>
      </c>
      <c r="L81">
        <f ca="1">IFERROR(LOOKUP(1,1/(COUNTIF($L$1:L80,INDIRECT("CADASTRO_02!$B$2:B"&amp;COUNTA(CADASTRO_02!A:A)))=0),INDIRECT("CADASTRO_02!$B$2:B"&amp;COUNTA(CADASTRO_02!A:A))),0)</f>
        <v>0</v>
      </c>
      <c r="M81">
        <f ca="1">IF(RELATORIO_03!$O$1=1,(IF(RELATORIO_03!$N$1="Todos",SUMIFS(LANÇAMENTOS_02!$J:$J,LANÇAMENTOS_02!$L:$L,"&lt;&gt;"&amp;$I$1,LANÇAMENTOS_02!$C:$C,AUX_03!L81,LANÇAMENTOS_02!$L:$L,"&gt;="&amp;RELATORIO_03!$O$3,LANÇAMENTOS_02!$L:$L,"&lt;="&amp;RELATORIO_03!$P$14),SUMIFS(LANÇAMENTOS_02!$J:$J,LANÇAMENTOS_02!$C:$C,AUX_03!L81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81,LANÇAMENTOS_02!$K:$K,"&gt;="&amp;RELATORIO_03!$O$3,LANÇAMENTOS_02!$K:$K,"&lt;="&amp;RELATORIO_03!$P$14),SUMIFS(LANÇAMENTOS_02!$J:$J,LANÇAMENTOS_02!$C:$C,AUX_03!L81,LANÇAMENTOS_02!$K:$K,"&gt;="&amp;RELATORIO_03!$O$3,LANÇAMENTOS_02!$K:$K,"&lt;="&amp;RELATORIO_03!$P$14,LANÇAMENTOS_02!$H:$H,RELATORIO_03!$N$1)))</f>
        <v>0</v>
      </c>
    </row>
    <row r="82" spans="2:13" x14ac:dyDescent="0.25">
      <c r="B82" s="31"/>
      <c r="F82" s="32"/>
      <c r="I82" s="32"/>
      <c r="J82">
        <f ca="1">IFERROR(LOOKUP(1,1/(COUNTIF($J$1:J81,INDIRECT("CADASTRO_01!$B$2:B"&amp;COUNTA(CADASTRO_01!A:A)))=0),INDIRECT("CADASTRO_01!$B$2:B"&amp;COUNTA(CADASTRO_01!A:A))),0)</f>
        <v>0</v>
      </c>
      <c r="K82">
        <f ca="1">IF(RELATORIO_03!$O$1=1,(IF(RELATORIO_03!$N$1="Todos",SUMIFS(LANÇAMENTOS_01!$J:$J,LANÇAMENTOS_01!$L:$L,"&lt;&gt;"&amp;$I$1,LANÇAMENTOS_01!$C:$C,AUX_03!J82,LANÇAMENTOS_01!$L:$L,"&gt;="&amp;RELATORIO_03!$O$3,LANÇAMENTOS_01!$L:$L,"&lt;="&amp;RELATORIO_03!$P$14),SUMIFS(LANÇAMENTOS_01!$J:$J,LANÇAMENTOS_01!$C:$C,AUX_03!J82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82,LANÇAMENTOS_01!$K:$K,"&gt;="&amp;RELATORIO_03!$O$3,LANÇAMENTOS_01!$K:$K,"&lt;="&amp;RELATORIO_03!$P$14),SUMIFS(LANÇAMENTOS_01!$J:$J,LANÇAMENTOS_01!$C:$C,AUX_03!J82,LANÇAMENTOS_01!$K:$K,"&gt;="&amp;RELATORIO_03!$O$3,LANÇAMENTOS_01!$K:$K,"&lt;="&amp;RELATORIO_03!$P$14,LANÇAMENTOS_01!$H:$H,RELATORIO_03!$N$1)))</f>
        <v>0</v>
      </c>
      <c r="L82">
        <f ca="1">IFERROR(LOOKUP(1,1/(COUNTIF($L$1:L81,INDIRECT("CADASTRO_02!$B$2:B"&amp;COUNTA(CADASTRO_02!A:A)))=0),INDIRECT("CADASTRO_02!$B$2:B"&amp;COUNTA(CADASTRO_02!A:A))),0)</f>
        <v>0</v>
      </c>
      <c r="M82">
        <f ca="1">IF(RELATORIO_03!$O$1=1,(IF(RELATORIO_03!$N$1="Todos",SUMIFS(LANÇAMENTOS_02!$J:$J,LANÇAMENTOS_02!$L:$L,"&lt;&gt;"&amp;$I$1,LANÇAMENTOS_02!$C:$C,AUX_03!L82,LANÇAMENTOS_02!$L:$L,"&gt;="&amp;RELATORIO_03!$O$3,LANÇAMENTOS_02!$L:$L,"&lt;="&amp;RELATORIO_03!$P$14),SUMIFS(LANÇAMENTOS_02!$J:$J,LANÇAMENTOS_02!$C:$C,AUX_03!L82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82,LANÇAMENTOS_02!$K:$K,"&gt;="&amp;RELATORIO_03!$O$3,LANÇAMENTOS_02!$K:$K,"&lt;="&amp;RELATORIO_03!$P$14),SUMIFS(LANÇAMENTOS_02!$J:$J,LANÇAMENTOS_02!$C:$C,AUX_03!L82,LANÇAMENTOS_02!$K:$K,"&gt;="&amp;RELATORIO_03!$O$3,LANÇAMENTOS_02!$K:$K,"&lt;="&amp;RELATORIO_03!$P$14,LANÇAMENTOS_02!$H:$H,RELATORIO_03!$N$1)))</f>
        <v>0</v>
      </c>
    </row>
    <row r="83" spans="2:13" x14ac:dyDescent="0.25">
      <c r="B83" s="31"/>
      <c r="F83" s="32"/>
      <c r="I83" s="32"/>
      <c r="J83">
        <f ca="1">IFERROR(LOOKUP(1,1/(COUNTIF($J$1:J82,INDIRECT("CADASTRO_01!$B$2:B"&amp;COUNTA(CADASTRO_01!A:A)))=0),INDIRECT("CADASTRO_01!$B$2:B"&amp;COUNTA(CADASTRO_01!A:A))),0)</f>
        <v>0</v>
      </c>
      <c r="K83">
        <f ca="1">IF(RELATORIO_03!$O$1=1,(IF(RELATORIO_03!$N$1="Todos",SUMIFS(LANÇAMENTOS_01!$J:$J,LANÇAMENTOS_01!$L:$L,"&lt;&gt;"&amp;$I$1,LANÇAMENTOS_01!$C:$C,AUX_03!J83,LANÇAMENTOS_01!$L:$L,"&gt;="&amp;RELATORIO_03!$O$3,LANÇAMENTOS_01!$L:$L,"&lt;="&amp;RELATORIO_03!$P$14),SUMIFS(LANÇAMENTOS_01!$J:$J,LANÇAMENTOS_01!$C:$C,AUX_03!J83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83,LANÇAMENTOS_01!$K:$K,"&gt;="&amp;RELATORIO_03!$O$3,LANÇAMENTOS_01!$K:$K,"&lt;="&amp;RELATORIO_03!$P$14),SUMIFS(LANÇAMENTOS_01!$J:$J,LANÇAMENTOS_01!$C:$C,AUX_03!J83,LANÇAMENTOS_01!$K:$K,"&gt;="&amp;RELATORIO_03!$O$3,LANÇAMENTOS_01!$K:$K,"&lt;="&amp;RELATORIO_03!$P$14,LANÇAMENTOS_01!$H:$H,RELATORIO_03!$N$1)))</f>
        <v>0</v>
      </c>
      <c r="L83">
        <f ca="1">IFERROR(LOOKUP(1,1/(COUNTIF($L$1:L82,INDIRECT("CADASTRO_02!$B$2:B"&amp;COUNTA(CADASTRO_02!A:A)))=0),INDIRECT("CADASTRO_02!$B$2:B"&amp;COUNTA(CADASTRO_02!A:A))),0)</f>
        <v>0</v>
      </c>
      <c r="M83">
        <f ca="1">IF(RELATORIO_03!$O$1=1,(IF(RELATORIO_03!$N$1="Todos",SUMIFS(LANÇAMENTOS_02!$J:$J,LANÇAMENTOS_02!$L:$L,"&lt;&gt;"&amp;$I$1,LANÇAMENTOS_02!$C:$C,AUX_03!L83,LANÇAMENTOS_02!$L:$L,"&gt;="&amp;RELATORIO_03!$O$3,LANÇAMENTOS_02!$L:$L,"&lt;="&amp;RELATORIO_03!$P$14),SUMIFS(LANÇAMENTOS_02!$J:$J,LANÇAMENTOS_02!$C:$C,AUX_03!L83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83,LANÇAMENTOS_02!$K:$K,"&gt;="&amp;RELATORIO_03!$O$3,LANÇAMENTOS_02!$K:$K,"&lt;="&amp;RELATORIO_03!$P$14),SUMIFS(LANÇAMENTOS_02!$J:$J,LANÇAMENTOS_02!$C:$C,AUX_03!L83,LANÇAMENTOS_02!$K:$K,"&gt;="&amp;RELATORIO_03!$O$3,LANÇAMENTOS_02!$K:$K,"&lt;="&amp;RELATORIO_03!$P$14,LANÇAMENTOS_02!$H:$H,RELATORIO_03!$N$1)))</f>
        <v>0</v>
      </c>
    </row>
    <row r="84" spans="2:13" x14ac:dyDescent="0.25">
      <c r="B84" s="31"/>
      <c r="F84" s="32"/>
      <c r="I84" s="32"/>
      <c r="J84">
        <f ca="1">IFERROR(LOOKUP(1,1/(COUNTIF($J$1:J83,INDIRECT("CADASTRO_01!$B$2:B"&amp;COUNTA(CADASTRO_01!A:A)))=0),INDIRECT("CADASTRO_01!$B$2:B"&amp;COUNTA(CADASTRO_01!A:A))),0)</f>
        <v>0</v>
      </c>
      <c r="K84">
        <f ca="1">IF(RELATORIO_03!$O$1=1,(IF(RELATORIO_03!$N$1="Todos",SUMIFS(LANÇAMENTOS_01!$J:$J,LANÇAMENTOS_01!$L:$L,"&lt;&gt;"&amp;$I$1,LANÇAMENTOS_01!$C:$C,AUX_03!J84,LANÇAMENTOS_01!$L:$L,"&gt;="&amp;RELATORIO_03!$O$3,LANÇAMENTOS_01!$L:$L,"&lt;="&amp;RELATORIO_03!$P$14),SUMIFS(LANÇAMENTOS_01!$J:$J,LANÇAMENTOS_01!$C:$C,AUX_03!J84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84,LANÇAMENTOS_01!$K:$K,"&gt;="&amp;RELATORIO_03!$O$3,LANÇAMENTOS_01!$K:$K,"&lt;="&amp;RELATORIO_03!$P$14),SUMIFS(LANÇAMENTOS_01!$J:$J,LANÇAMENTOS_01!$C:$C,AUX_03!J84,LANÇAMENTOS_01!$K:$K,"&gt;="&amp;RELATORIO_03!$O$3,LANÇAMENTOS_01!$K:$K,"&lt;="&amp;RELATORIO_03!$P$14,LANÇAMENTOS_01!$H:$H,RELATORIO_03!$N$1)))</f>
        <v>0</v>
      </c>
      <c r="L84">
        <f ca="1">IFERROR(LOOKUP(1,1/(COUNTIF($L$1:L83,INDIRECT("CADASTRO_02!$B$2:B"&amp;COUNTA(CADASTRO_02!A:A)))=0),INDIRECT("CADASTRO_02!$B$2:B"&amp;COUNTA(CADASTRO_02!A:A))),0)</f>
        <v>0</v>
      </c>
      <c r="M84">
        <f ca="1">IF(RELATORIO_03!$O$1=1,(IF(RELATORIO_03!$N$1="Todos",SUMIFS(LANÇAMENTOS_02!$J:$J,LANÇAMENTOS_02!$L:$L,"&lt;&gt;"&amp;$I$1,LANÇAMENTOS_02!$C:$C,AUX_03!L84,LANÇAMENTOS_02!$L:$L,"&gt;="&amp;RELATORIO_03!$O$3,LANÇAMENTOS_02!$L:$L,"&lt;="&amp;RELATORIO_03!$P$14),SUMIFS(LANÇAMENTOS_02!$J:$J,LANÇAMENTOS_02!$C:$C,AUX_03!L84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84,LANÇAMENTOS_02!$K:$K,"&gt;="&amp;RELATORIO_03!$O$3,LANÇAMENTOS_02!$K:$K,"&lt;="&amp;RELATORIO_03!$P$14),SUMIFS(LANÇAMENTOS_02!$J:$J,LANÇAMENTOS_02!$C:$C,AUX_03!L84,LANÇAMENTOS_02!$K:$K,"&gt;="&amp;RELATORIO_03!$O$3,LANÇAMENTOS_02!$K:$K,"&lt;="&amp;RELATORIO_03!$P$14,LANÇAMENTOS_02!$H:$H,RELATORIO_03!$N$1)))</f>
        <v>0</v>
      </c>
    </row>
    <row r="85" spans="2:13" x14ac:dyDescent="0.25">
      <c r="B85" s="31"/>
      <c r="F85" s="32"/>
      <c r="I85" s="32"/>
      <c r="J85">
        <f ca="1">IFERROR(LOOKUP(1,1/(COUNTIF($J$1:J84,INDIRECT("CADASTRO_01!$B$2:B"&amp;COUNTA(CADASTRO_01!A:A)))=0),INDIRECT("CADASTRO_01!$B$2:B"&amp;COUNTA(CADASTRO_01!A:A))),0)</f>
        <v>0</v>
      </c>
      <c r="K85">
        <f ca="1">IF(RELATORIO_03!$O$1=1,(IF(RELATORIO_03!$N$1="Todos",SUMIFS(LANÇAMENTOS_01!$J:$J,LANÇAMENTOS_01!$L:$L,"&lt;&gt;"&amp;$I$1,LANÇAMENTOS_01!$C:$C,AUX_03!J85,LANÇAMENTOS_01!$L:$L,"&gt;="&amp;RELATORIO_03!$O$3,LANÇAMENTOS_01!$L:$L,"&lt;="&amp;RELATORIO_03!$P$14),SUMIFS(LANÇAMENTOS_01!$J:$J,LANÇAMENTOS_01!$C:$C,AUX_03!J85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85,LANÇAMENTOS_01!$K:$K,"&gt;="&amp;RELATORIO_03!$O$3,LANÇAMENTOS_01!$K:$K,"&lt;="&amp;RELATORIO_03!$P$14),SUMIFS(LANÇAMENTOS_01!$J:$J,LANÇAMENTOS_01!$C:$C,AUX_03!J85,LANÇAMENTOS_01!$K:$K,"&gt;="&amp;RELATORIO_03!$O$3,LANÇAMENTOS_01!$K:$K,"&lt;="&amp;RELATORIO_03!$P$14,LANÇAMENTOS_01!$H:$H,RELATORIO_03!$N$1)))</f>
        <v>0</v>
      </c>
      <c r="L85">
        <f ca="1">IFERROR(LOOKUP(1,1/(COUNTIF($L$1:L84,INDIRECT("CADASTRO_02!$B$2:B"&amp;COUNTA(CADASTRO_02!A:A)))=0),INDIRECT("CADASTRO_02!$B$2:B"&amp;COUNTA(CADASTRO_02!A:A))),0)</f>
        <v>0</v>
      </c>
      <c r="M85">
        <f ca="1">IF(RELATORIO_03!$O$1=1,(IF(RELATORIO_03!$N$1="Todos",SUMIFS(LANÇAMENTOS_02!$J:$J,LANÇAMENTOS_02!$L:$L,"&lt;&gt;"&amp;$I$1,LANÇAMENTOS_02!$C:$C,AUX_03!L85,LANÇAMENTOS_02!$L:$L,"&gt;="&amp;RELATORIO_03!$O$3,LANÇAMENTOS_02!$L:$L,"&lt;="&amp;RELATORIO_03!$P$14),SUMIFS(LANÇAMENTOS_02!$J:$J,LANÇAMENTOS_02!$C:$C,AUX_03!L85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85,LANÇAMENTOS_02!$K:$K,"&gt;="&amp;RELATORIO_03!$O$3,LANÇAMENTOS_02!$K:$K,"&lt;="&amp;RELATORIO_03!$P$14),SUMIFS(LANÇAMENTOS_02!$J:$J,LANÇAMENTOS_02!$C:$C,AUX_03!L85,LANÇAMENTOS_02!$K:$K,"&gt;="&amp;RELATORIO_03!$O$3,LANÇAMENTOS_02!$K:$K,"&lt;="&amp;RELATORIO_03!$P$14,LANÇAMENTOS_02!$H:$H,RELATORIO_03!$N$1)))</f>
        <v>0</v>
      </c>
    </row>
    <row r="86" spans="2:13" x14ac:dyDescent="0.25">
      <c r="B86" s="31"/>
      <c r="F86" s="32"/>
      <c r="I86" s="32"/>
      <c r="J86">
        <f ca="1">IFERROR(LOOKUP(1,1/(COUNTIF($J$1:J85,INDIRECT("CADASTRO_01!$B$2:B"&amp;COUNTA(CADASTRO_01!A:A)))=0),INDIRECT("CADASTRO_01!$B$2:B"&amp;COUNTA(CADASTRO_01!A:A))),0)</f>
        <v>0</v>
      </c>
      <c r="K86">
        <f ca="1">IF(RELATORIO_03!$O$1=1,(IF(RELATORIO_03!$N$1="Todos",SUMIFS(LANÇAMENTOS_01!$J:$J,LANÇAMENTOS_01!$L:$L,"&lt;&gt;"&amp;$I$1,LANÇAMENTOS_01!$C:$C,AUX_03!J86,LANÇAMENTOS_01!$L:$L,"&gt;="&amp;RELATORIO_03!$O$3,LANÇAMENTOS_01!$L:$L,"&lt;="&amp;RELATORIO_03!$P$14),SUMIFS(LANÇAMENTOS_01!$J:$J,LANÇAMENTOS_01!$C:$C,AUX_03!J86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86,LANÇAMENTOS_01!$K:$K,"&gt;="&amp;RELATORIO_03!$O$3,LANÇAMENTOS_01!$K:$K,"&lt;="&amp;RELATORIO_03!$P$14),SUMIFS(LANÇAMENTOS_01!$J:$J,LANÇAMENTOS_01!$C:$C,AUX_03!J86,LANÇAMENTOS_01!$K:$K,"&gt;="&amp;RELATORIO_03!$O$3,LANÇAMENTOS_01!$K:$K,"&lt;="&amp;RELATORIO_03!$P$14,LANÇAMENTOS_01!$H:$H,RELATORIO_03!$N$1)))</f>
        <v>0</v>
      </c>
      <c r="L86">
        <f ca="1">IFERROR(LOOKUP(1,1/(COUNTIF($L$1:L85,INDIRECT("CADASTRO_02!$B$2:B"&amp;COUNTA(CADASTRO_02!A:A)))=0),INDIRECT("CADASTRO_02!$B$2:B"&amp;COUNTA(CADASTRO_02!A:A))),0)</f>
        <v>0</v>
      </c>
      <c r="M86">
        <f ca="1">IF(RELATORIO_03!$O$1=1,(IF(RELATORIO_03!$N$1="Todos",SUMIFS(LANÇAMENTOS_02!$J:$J,LANÇAMENTOS_02!$L:$L,"&lt;&gt;"&amp;$I$1,LANÇAMENTOS_02!$C:$C,AUX_03!L86,LANÇAMENTOS_02!$L:$L,"&gt;="&amp;RELATORIO_03!$O$3,LANÇAMENTOS_02!$L:$L,"&lt;="&amp;RELATORIO_03!$P$14),SUMIFS(LANÇAMENTOS_02!$J:$J,LANÇAMENTOS_02!$C:$C,AUX_03!L86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86,LANÇAMENTOS_02!$K:$K,"&gt;="&amp;RELATORIO_03!$O$3,LANÇAMENTOS_02!$K:$K,"&lt;="&amp;RELATORIO_03!$P$14),SUMIFS(LANÇAMENTOS_02!$J:$J,LANÇAMENTOS_02!$C:$C,AUX_03!L86,LANÇAMENTOS_02!$K:$K,"&gt;="&amp;RELATORIO_03!$O$3,LANÇAMENTOS_02!$K:$K,"&lt;="&amp;RELATORIO_03!$P$14,LANÇAMENTOS_02!$H:$H,RELATORIO_03!$N$1)))</f>
        <v>0</v>
      </c>
    </row>
    <row r="87" spans="2:13" x14ac:dyDescent="0.25">
      <c r="B87" s="31"/>
      <c r="F87" s="32"/>
      <c r="I87" s="32"/>
      <c r="J87">
        <f ca="1">IFERROR(LOOKUP(1,1/(COUNTIF($J$1:J86,INDIRECT("CADASTRO_01!$B$2:B"&amp;COUNTA(CADASTRO_01!A:A)))=0),INDIRECT("CADASTRO_01!$B$2:B"&amp;COUNTA(CADASTRO_01!A:A))),0)</f>
        <v>0</v>
      </c>
      <c r="K87">
        <f ca="1">IF(RELATORIO_03!$O$1=1,(IF(RELATORIO_03!$N$1="Todos",SUMIFS(LANÇAMENTOS_01!$J:$J,LANÇAMENTOS_01!$L:$L,"&lt;&gt;"&amp;$I$1,LANÇAMENTOS_01!$C:$C,AUX_03!J87,LANÇAMENTOS_01!$L:$L,"&gt;="&amp;RELATORIO_03!$O$3,LANÇAMENTOS_01!$L:$L,"&lt;="&amp;RELATORIO_03!$P$14),SUMIFS(LANÇAMENTOS_01!$J:$J,LANÇAMENTOS_01!$C:$C,AUX_03!J87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87,LANÇAMENTOS_01!$K:$K,"&gt;="&amp;RELATORIO_03!$O$3,LANÇAMENTOS_01!$K:$K,"&lt;="&amp;RELATORIO_03!$P$14),SUMIFS(LANÇAMENTOS_01!$J:$J,LANÇAMENTOS_01!$C:$C,AUX_03!J87,LANÇAMENTOS_01!$K:$K,"&gt;="&amp;RELATORIO_03!$O$3,LANÇAMENTOS_01!$K:$K,"&lt;="&amp;RELATORIO_03!$P$14,LANÇAMENTOS_01!$H:$H,RELATORIO_03!$N$1)))</f>
        <v>0</v>
      </c>
      <c r="L87">
        <f ca="1">IFERROR(LOOKUP(1,1/(COUNTIF($L$1:L86,INDIRECT("CADASTRO_02!$B$2:B"&amp;COUNTA(CADASTRO_02!A:A)))=0),INDIRECT("CADASTRO_02!$B$2:B"&amp;COUNTA(CADASTRO_02!A:A))),0)</f>
        <v>0</v>
      </c>
      <c r="M87">
        <f ca="1">IF(RELATORIO_03!$O$1=1,(IF(RELATORIO_03!$N$1="Todos",SUMIFS(LANÇAMENTOS_02!$J:$J,LANÇAMENTOS_02!$L:$L,"&lt;&gt;"&amp;$I$1,LANÇAMENTOS_02!$C:$C,AUX_03!L87,LANÇAMENTOS_02!$L:$L,"&gt;="&amp;RELATORIO_03!$O$3,LANÇAMENTOS_02!$L:$L,"&lt;="&amp;RELATORIO_03!$P$14),SUMIFS(LANÇAMENTOS_02!$J:$J,LANÇAMENTOS_02!$C:$C,AUX_03!L87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87,LANÇAMENTOS_02!$K:$K,"&gt;="&amp;RELATORIO_03!$O$3,LANÇAMENTOS_02!$K:$K,"&lt;="&amp;RELATORIO_03!$P$14),SUMIFS(LANÇAMENTOS_02!$J:$J,LANÇAMENTOS_02!$C:$C,AUX_03!L87,LANÇAMENTOS_02!$K:$K,"&gt;="&amp;RELATORIO_03!$O$3,LANÇAMENTOS_02!$K:$K,"&lt;="&amp;RELATORIO_03!$P$14,LANÇAMENTOS_02!$H:$H,RELATORIO_03!$N$1)))</f>
        <v>0</v>
      </c>
    </row>
    <row r="88" spans="2:13" x14ac:dyDescent="0.25">
      <c r="B88" s="31"/>
      <c r="F88" s="32"/>
      <c r="I88" s="32"/>
      <c r="J88">
        <f ca="1">IFERROR(LOOKUP(1,1/(COUNTIF($J$1:J87,INDIRECT("CADASTRO_01!$B$2:B"&amp;COUNTA(CADASTRO_01!A:A)))=0),INDIRECT("CADASTRO_01!$B$2:B"&amp;COUNTA(CADASTRO_01!A:A))),0)</f>
        <v>0</v>
      </c>
      <c r="K88">
        <f ca="1">IF(RELATORIO_03!$O$1=1,(IF(RELATORIO_03!$N$1="Todos",SUMIFS(LANÇAMENTOS_01!$J:$J,LANÇAMENTOS_01!$L:$L,"&lt;&gt;"&amp;$I$1,LANÇAMENTOS_01!$C:$C,AUX_03!J88,LANÇAMENTOS_01!$L:$L,"&gt;="&amp;RELATORIO_03!$O$3,LANÇAMENTOS_01!$L:$L,"&lt;="&amp;RELATORIO_03!$P$14),SUMIFS(LANÇAMENTOS_01!$J:$J,LANÇAMENTOS_01!$C:$C,AUX_03!J88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88,LANÇAMENTOS_01!$K:$K,"&gt;="&amp;RELATORIO_03!$O$3,LANÇAMENTOS_01!$K:$K,"&lt;="&amp;RELATORIO_03!$P$14),SUMIFS(LANÇAMENTOS_01!$J:$J,LANÇAMENTOS_01!$C:$C,AUX_03!J88,LANÇAMENTOS_01!$K:$K,"&gt;="&amp;RELATORIO_03!$O$3,LANÇAMENTOS_01!$K:$K,"&lt;="&amp;RELATORIO_03!$P$14,LANÇAMENTOS_01!$H:$H,RELATORIO_03!$N$1)))</f>
        <v>0</v>
      </c>
      <c r="L88">
        <f ca="1">IFERROR(LOOKUP(1,1/(COUNTIF($L$1:L87,INDIRECT("CADASTRO_02!$B$2:B"&amp;COUNTA(CADASTRO_02!A:A)))=0),INDIRECT("CADASTRO_02!$B$2:B"&amp;COUNTA(CADASTRO_02!A:A))),0)</f>
        <v>0</v>
      </c>
      <c r="M88">
        <f ca="1">IF(RELATORIO_03!$O$1=1,(IF(RELATORIO_03!$N$1="Todos",SUMIFS(LANÇAMENTOS_02!$J:$J,LANÇAMENTOS_02!$L:$L,"&lt;&gt;"&amp;$I$1,LANÇAMENTOS_02!$C:$C,AUX_03!L88,LANÇAMENTOS_02!$L:$L,"&gt;="&amp;RELATORIO_03!$O$3,LANÇAMENTOS_02!$L:$L,"&lt;="&amp;RELATORIO_03!$P$14),SUMIFS(LANÇAMENTOS_02!$J:$J,LANÇAMENTOS_02!$C:$C,AUX_03!L88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88,LANÇAMENTOS_02!$K:$K,"&gt;="&amp;RELATORIO_03!$O$3,LANÇAMENTOS_02!$K:$K,"&lt;="&amp;RELATORIO_03!$P$14),SUMIFS(LANÇAMENTOS_02!$J:$J,LANÇAMENTOS_02!$C:$C,AUX_03!L88,LANÇAMENTOS_02!$K:$K,"&gt;="&amp;RELATORIO_03!$O$3,LANÇAMENTOS_02!$K:$K,"&lt;="&amp;RELATORIO_03!$P$14,LANÇAMENTOS_02!$H:$H,RELATORIO_03!$N$1)))</f>
        <v>0</v>
      </c>
    </row>
    <row r="89" spans="2:13" x14ac:dyDescent="0.25">
      <c r="B89" s="31"/>
      <c r="F89" s="32"/>
      <c r="I89" s="32"/>
      <c r="J89">
        <f ca="1">IFERROR(LOOKUP(1,1/(COUNTIF($J$1:J88,INDIRECT("CADASTRO_01!$B$2:B"&amp;COUNTA(CADASTRO_01!A:A)))=0),INDIRECT("CADASTRO_01!$B$2:B"&amp;COUNTA(CADASTRO_01!A:A))),0)</f>
        <v>0</v>
      </c>
      <c r="K89">
        <f ca="1">IF(RELATORIO_03!$O$1=1,(IF(RELATORIO_03!$N$1="Todos",SUMIFS(LANÇAMENTOS_01!$J:$J,LANÇAMENTOS_01!$L:$L,"&lt;&gt;"&amp;$I$1,LANÇAMENTOS_01!$C:$C,AUX_03!J89,LANÇAMENTOS_01!$L:$L,"&gt;="&amp;RELATORIO_03!$O$3,LANÇAMENTOS_01!$L:$L,"&lt;="&amp;RELATORIO_03!$P$14),SUMIFS(LANÇAMENTOS_01!$J:$J,LANÇAMENTOS_01!$C:$C,AUX_03!J89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89,LANÇAMENTOS_01!$K:$K,"&gt;="&amp;RELATORIO_03!$O$3,LANÇAMENTOS_01!$K:$K,"&lt;="&amp;RELATORIO_03!$P$14),SUMIFS(LANÇAMENTOS_01!$J:$J,LANÇAMENTOS_01!$C:$C,AUX_03!J89,LANÇAMENTOS_01!$K:$K,"&gt;="&amp;RELATORIO_03!$O$3,LANÇAMENTOS_01!$K:$K,"&lt;="&amp;RELATORIO_03!$P$14,LANÇAMENTOS_01!$H:$H,RELATORIO_03!$N$1)))</f>
        <v>0</v>
      </c>
      <c r="L89">
        <f ca="1">IFERROR(LOOKUP(1,1/(COUNTIF($L$1:L88,INDIRECT("CADASTRO_02!$B$2:B"&amp;COUNTA(CADASTRO_02!A:A)))=0),INDIRECT("CADASTRO_02!$B$2:B"&amp;COUNTA(CADASTRO_02!A:A))),0)</f>
        <v>0</v>
      </c>
      <c r="M89">
        <f ca="1">IF(RELATORIO_03!$O$1=1,(IF(RELATORIO_03!$N$1="Todos",SUMIFS(LANÇAMENTOS_02!$J:$J,LANÇAMENTOS_02!$L:$L,"&lt;&gt;"&amp;$I$1,LANÇAMENTOS_02!$C:$C,AUX_03!L89,LANÇAMENTOS_02!$L:$L,"&gt;="&amp;RELATORIO_03!$O$3,LANÇAMENTOS_02!$L:$L,"&lt;="&amp;RELATORIO_03!$P$14),SUMIFS(LANÇAMENTOS_02!$J:$J,LANÇAMENTOS_02!$C:$C,AUX_03!L89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89,LANÇAMENTOS_02!$K:$K,"&gt;="&amp;RELATORIO_03!$O$3,LANÇAMENTOS_02!$K:$K,"&lt;="&amp;RELATORIO_03!$P$14),SUMIFS(LANÇAMENTOS_02!$J:$J,LANÇAMENTOS_02!$C:$C,AUX_03!L89,LANÇAMENTOS_02!$K:$K,"&gt;="&amp;RELATORIO_03!$O$3,LANÇAMENTOS_02!$K:$K,"&lt;="&amp;RELATORIO_03!$P$14,LANÇAMENTOS_02!$H:$H,RELATORIO_03!$N$1)))</f>
        <v>0</v>
      </c>
    </row>
    <row r="90" spans="2:13" x14ac:dyDescent="0.25">
      <c r="B90" s="31"/>
      <c r="F90" s="32"/>
      <c r="I90" s="32"/>
      <c r="J90">
        <f ca="1">IFERROR(LOOKUP(1,1/(COUNTIF($J$1:J89,INDIRECT("CADASTRO_01!$B$2:B"&amp;COUNTA(CADASTRO_01!A:A)))=0),INDIRECT("CADASTRO_01!$B$2:B"&amp;COUNTA(CADASTRO_01!A:A))),0)</f>
        <v>0</v>
      </c>
      <c r="K90">
        <f ca="1">IF(RELATORIO_03!$O$1=1,(IF(RELATORIO_03!$N$1="Todos",SUMIFS(LANÇAMENTOS_01!$J:$J,LANÇAMENTOS_01!$L:$L,"&lt;&gt;"&amp;$I$1,LANÇAMENTOS_01!$C:$C,AUX_03!J90,LANÇAMENTOS_01!$L:$L,"&gt;="&amp;RELATORIO_03!$O$3,LANÇAMENTOS_01!$L:$L,"&lt;="&amp;RELATORIO_03!$P$14),SUMIFS(LANÇAMENTOS_01!$J:$J,LANÇAMENTOS_01!$C:$C,AUX_03!J90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90,LANÇAMENTOS_01!$K:$K,"&gt;="&amp;RELATORIO_03!$O$3,LANÇAMENTOS_01!$K:$K,"&lt;="&amp;RELATORIO_03!$P$14),SUMIFS(LANÇAMENTOS_01!$J:$J,LANÇAMENTOS_01!$C:$C,AUX_03!J90,LANÇAMENTOS_01!$K:$K,"&gt;="&amp;RELATORIO_03!$O$3,LANÇAMENTOS_01!$K:$K,"&lt;="&amp;RELATORIO_03!$P$14,LANÇAMENTOS_01!$H:$H,RELATORIO_03!$N$1)))</f>
        <v>0</v>
      </c>
      <c r="L90">
        <f ca="1">IFERROR(LOOKUP(1,1/(COUNTIF($L$1:L89,INDIRECT("CADASTRO_02!$B$2:B"&amp;COUNTA(CADASTRO_02!A:A)))=0),INDIRECT("CADASTRO_02!$B$2:B"&amp;COUNTA(CADASTRO_02!A:A))),0)</f>
        <v>0</v>
      </c>
      <c r="M90">
        <f ca="1">IF(RELATORIO_03!$O$1=1,(IF(RELATORIO_03!$N$1="Todos",SUMIFS(LANÇAMENTOS_02!$J:$J,LANÇAMENTOS_02!$L:$L,"&lt;&gt;"&amp;$I$1,LANÇAMENTOS_02!$C:$C,AUX_03!L90,LANÇAMENTOS_02!$L:$L,"&gt;="&amp;RELATORIO_03!$O$3,LANÇAMENTOS_02!$L:$L,"&lt;="&amp;RELATORIO_03!$P$14),SUMIFS(LANÇAMENTOS_02!$J:$J,LANÇAMENTOS_02!$C:$C,AUX_03!L90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90,LANÇAMENTOS_02!$K:$K,"&gt;="&amp;RELATORIO_03!$O$3,LANÇAMENTOS_02!$K:$K,"&lt;="&amp;RELATORIO_03!$P$14),SUMIFS(LANÇAMENTOS_02!$J:$J,LANÇAMENTOS_02!$C:$C,AUX_03!L90,LANÇAMENTOS_02!$K:$K,"&gt;="&amp;RELATORIO_03!$O$3,LANÇAMENTOS_02!$K:$K,"&lt;="&amp;RELATORIO_03!$P$14,LANÇAMENTOS_02!$H:$H,RELATORIO_03!$N$1)))</f>
        <v>0</v>
      </c>
    </row>
    <row r="91" spans="2:13" x14ac:dyDescent="0.25">
      <c r="B91" s="31"/>
      <c r="F91" s="32"/>
      <c r="I91" s="32"/>
      <c r="J91">
        <f ca="1">IFERROR(LOOKUP(1,1/(COUNTIF($J$1:J90,INDIRECT("CADASTRO_01!$B$2:B"&amp;COUNTA(CADASTRO_01!A:A)))=0),INDIRECT("CADASTRO_01!$B$2:B"&amp;COUNTA(CADASTRO_01!A:A))),0)</f>
        <v>0</v>
      </c>
      <c r="K91">
        <f ca="1">IF(RELATORIO_03!$O$1=1,(IF(RELATORIO_03!$N$1="Todos",SUMIFS(LANÇAMENTOS_01!$J:$J,LANÇAMENTOS_01!$L:$L,"&lt;&gt;"&amp;$I$1,LANÇAMENTOS_01!$C:$C,AUX_03!J91,LANÇAMENTOS_01!$L:$L,"&gt;="&amp;RELATORIO_03!$O$3,LANÇAMENTOS_01!$L:$L,"&lt;="&amp;RELATORIO_03!$P$14),SUMIFS(LANÇAMENTOS_01!$J:$J,LANÇAMENTOS_01!$C:$C,AUX_03!J91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91,LANÇAMENTOS_01!$K:$K,"&gt;="&amp;RELATORIO_03!$O$3,LANÇAMENTOS_01!$K:$K,"&lt;="&amp;RELATORIO_03!$P$14),SUMIFS(LANÇAMENTOS_01!$J:$J,LANÇAMENTOS_01!$C:$C,AUX_03!J91,LANÇAMENTOS_01!$K:$K,"&gt;="&amp;RELATORIO_03!$O$3,LANÇAMENTOS_01!$K:$K,"&lt;="&amp;RELATORIO_03!$P$14,LANÇAMENTOS_01!$H:$H,RELATORIO_03!$N$1)))</f>
        <v>0</v>
      </c>
      <c r="L91">
        <f ca="1">IFERROR(LOOKUP(1,1/(COUNTIF($L$1:L90,INDIRECT("CADASTRO_02!$B$2:B"&amp;COUNTA(CADASTRO_02!A:A)))=0),INDIRECT("CADASTRO_02!$B$2:B"&amp;COUNTA(CADASTRO_02!A:A))),0)</f>
        <v>0</v>
      </c>
      <c r="M91">
        <f ca="1">IF(RELATORIO_03!$O$1=1,(IF(RELATORIO_03!$N$1="Todos",SUMIFS(LANÇAMENTOS_02!$J:$J,LANÇAMENTOS_02!$L:$L,"&lt;&gt;"&amp;$I$1,LANÇAMENTOS_02!$C:$C,AUX_03!L91,LANÇAMENTOS_02!$L:$L,"&gt;="&amp;RELATORIO_03!$O$3,LANÇAMENTOS_02!$L:$L,"&lt;="&amp;RELATORIO_03!$P$14),SUMIFS(LANÇAMENTOS_02!$J:$J,LANÇAMENTOS_02!$C:$C,AUX_03!L91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91,LANÇAMENTOS_02!$K:$K,"&gt;="&amp;RELATORIO_03!$O$3,LANÇAMENTOS_02!$K:$K,"&lt;="&amp;RELATORIO_03!$P$14),SUMIFS(LANÇAMENTOS_02!$J:$J,LANÇAMENTOS_02!$C:$C,AUX_03!L91,LANÇAMENTOS_02!$K:$K,"&gt;="&amp;RELATORIO_03!$O$3,LANÇAMENTOS_02!$K:$K,"&lt;="&amp;RELATORIO_03!$P$14,LANÇAMENTOS_02!$H:$H,RELATORIO_03!$N$1)))</f>
        <v>0</v>
      </c>
    </row>
    <row r="92" spans="2:13" x14ac:dyDescent="0.25">
      <c r="B92" s="31"/>
      <c r="F92" s="32"/>
      <c r="I92" s="32"/>
      <c r="J92">
        <f ca="1">IFERROR(LOOKUP(1,1/(COUNTIF($J$1:J91,INDIRECT("CADASTRO_01!$B$2:B"&amp;COUNTA(CADASTRO_01!A:A)))=0),INDIRECT("CADASTRO_01!$B$2:B"&amp;COUNTA(CADASTRO_01!A:A))),0)</f>
        <v>0</v>
      </c>
      <c r="K92">
        <f ca="1">IF(RELATORIO_03!$O$1=1,(IF(RELATORIO_03!$N$1="Todos",SUMIFS(LANÇAMENTOS_01!$J:$J,LANÇAMENTOS_01!$L:$L,"&lt;&gt;"&amp;$I$1,LANÇAMENTOS_01!$C:$C,AUX_03!J92,LANÇAMENTOS_01!$L:$L,"&gt;="&amp;RELATORIO_03!$O$3,LANÇAMENTOS_01!$L:$L,"&lt;="&amp;RELATORIO_03!$P$14),SUMIFS(LANÇAMENTOS_01!$J:$J,LANÇAMENTOS_01!$C:$C,AUX_03!J92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92,LANÇAMENTOS_01!$K:$K,"&gt;="&amp;RELATORIO_03!$O$3,LANÇAMENTOS_01!$K:$K,"&lt;="&amp;RELATORIO_03!$P$14),SUMIFS(LANÇAMENTOS_01!$J:$J,LANÇAMENTOS_01!$C:$C,AUX_03!J92,LANÇAMENTOS_01!$K:$K,"&gt;="&amp;RELATORIO_03!$O$3,LANÇAMENTOS_01!$K:$K,"&lt;="&amp;RELATORIO_03!$P$14,LANÇAMENTOS_01!$H:$H,RELATORIO_03!$N$1)))</f>
        <v>0</v>
      </c>
      <c r="L92">
        <f ca="1">IFERROR(LOOKUP(1,1/(COUNTIF($L$1:L91,INDIRECT("CADASTRO_02!$B$2:B"&amp;COUNTA(CADASTRO_02!A:A)))=0),INDIRECT("CADASTRO_02!$B$2:B"&amp;COUNTA(CADASTRO_02!A:A))),0)</f>
        <v>0</v>
      </c>
      <c r="M92">
        <f ca="1">IF(RELATORIO_03!$O$1=1,(IF(RELATORIO_03!$N$1="Todos",SUMIFS(LANÇAMENTOS_02!$J:$J,LANÇAMENTOS_02!$L:$L,"&lt;&gt;"&amp;$I$1,LANÇAMENTOS_02!$C:$C,AUX_03!L92,LANÇAMENTOS_02!$L:$L,"&gt;="&amp;RELATORIO_03!$O$3,LANÇAMENTOS_02!$L:$L,"&lt;="&amp;RELATORIO_03!$P$14),SUMIFS(LANÇAMENTOS_02!$J:$J,LANÇAMENTOS_02!$C:$C,AUX_03!L92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92,LANÇAMENTOS_02!$K:$K,"&gt;="&amp;RELATORIO_03!$O$3,LANÇAMENTOS_02!$K:$K,"&lt;="&amp;RELATORIO_03!$P$14),SUMIFS(LANÇAMENTOS_02!$J:$J,LANÇAMENTOS_02!$C:$C,AUX_03!L92,LANÇAMENTOS_02!$K:$K,"&gt;="&amp;RELATORIO_03!$O$3,LANÇAMENTOS_02!$K:$K,"&lt;="&amp;RELATORIO_03!$P$14,LANÇAMENTOS_02!$H:$H,RELATORIO_03!$N$1)))</f>
        <v>0</v>
      </c>
    </row>
    <row r="93" spans="2:13" x14ac:dyDescent="0.25">
      <c r="B93" s="31"/>
      <c r="F93" s="32"/>
      <c r="I93" s="32"/>
      <c r="J93">
        <f ca="1">IFERROR(LOOKUP(1,1/(COUNTIF($J$1:J92,INDIRECT("CADASTRO_01!$B$2:B"&amp;COUNTA(CADASTRO_01!A:A)))=0),INDIRECT("CADASTRO_01!$B$2:B"&amp;COUNTA(CADASTRO_01!A:A))),0)</f>
        <v>0</v>
      </c>
      <c r="K93">
        <f ca="1">IF(RELATORIO_03!$O$1=1,(IF(RELATORIO_03!$N$1="Todos",SUMIFS(LANÇAMENTOS_01!$J:$J,LANÇAMENTOS_01!$L:$L,"&lt;&gt;"&amp;$I$1,LANÇAMENTOS_01!$C:$C,AUX_03!J93,LANÇAMENTOS_01!$L:$L,"&gt;="&amp;RELATORIO_03!$O$3,LANÇAMENTOS_01!$L:$L,"&lt;="&amp;RELATORIO_03!$P$14),SUMIFS(LANÇAMENTOS_01!$J:$J,LANÇAMENTOS_01!$C:$C,AUX_03!J93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93,LANÇAMENTOS_01!$K:$K,"&gt;="&amp;RELATORIO_03!$O$3,LANÇAMENTOS_01!$K:$K,"&lt;="&amp;RELATORIO_03!$P$14),SUMIFS(LANÇAMENTOS_01!$J:$J,LANÇAMENTOS_01!$C:$C,AUX_03!J93,LANÇAMENTOS_01!$K:$K,"&gt;="&amp;RELATORIO_03!$O$3,LANÇAMENTOS_01!$K:$K,"&lt;="&amp;RELATORIO_03!$P$14,LANÇAMENTOS_01!$H:$H,RELATORIO_03!$N$1)))</f>
        <v>0</v>
      </c>
      <c r="L93">
        <f ca="1">IFERROR(LOOKUP(1,1/(COUNTIF($L$1:L92,INDIRECT("CADASTRO_02!$B$2:B"&amp;COUNTA(CADASTRO_02!A:A)))=0),INDIRECT("CADASTRO_02!$B$2:B"&amp;COUNTA(CADASTRO_02!A:A))),0)</f>
        <v>0</v>
      </c>
      <c r="M93">
        <f ca="1">IF(RELATORIO_03!$O$1=1,(IF(RELATORIO_03!$N$1="Todos",SUMIFS(LANÇAMENTOS_02!$J:$J,LANÇAMENTOS_02!$L:$L,"&lt;&gt;"&amp;$I$1,LANÇAMENTOS_02!$C:$C,AUX_03!L93,LANÇAMENTOS_02!$L:$L,"&gt;="&amp;RELATORIO_03!$O$3,LANÇAMENTOS_02!$L:$L,"&lt;="&amp;RELATORIO_03!$P$14),SUMIFS(LANÇAMENTOS_02!$J:$J,LANÇAMENTOS_02!$C:$C,AUX_03!L93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93,LANÇAMENTOS_02!$K:$K,"&gt;="&amp;RELATORIO_03!$O$3,LANÇAMENTOS_02!$K:$K,"&lt;="&amp;RELATORIO_03!$P$14),SUMIFS(LANÇAMENTOS_02!$J:$J,LANÇAMENTOS_02!$C:$C,AUX_03!L93,LANÇAMENTOS_02!$K:$K,"&gt;="&amp;RELATORIO_03!$O$3,LANÇAMENTOS_02!$K:$K,"&lt;="&amp;RELATORIO_03!$P$14,LANÇAMENTOS_02!$H:$H,RELATORIO_03!$N$1)))</f>
        <v>0</v>
      </c>
    </row>
    <row r="94" spans="2:13" x14ac:dyDescent="0.25">
      <c r="B94" s="31"/>
      <c r="F94" s="32"/>
      <c r="I94" s="32"/>
      <c r="J94">
        <f ca="1">IFERROR(LOOKUP(1,1/(COUNTIF($J$1:J93,INDIRECT("CADASTRO_01!$B$2:B"&amp;COUNTA(CADASTRO_01!A:A)))=0),INDIRECT("CADASTRO_01!$B$2:B"&amp;COUNTA(CADASTRO_01!A:A))),0)</f>
        <v>0</v>
      </c>
      <c r="K94">
        <f ca="1">IF(RELATORIO_03!$O$1=1,(IF(RELATORIO_03!$N$1="Todos",SUMIFS(LANÇAMENTOS_01!$J:$J,LANÇAMENTOS_01!$L:$L,"&lt;&gt;"&amp;$I$1,LANÇAMENTOS_01!$C:$C,AUX_03!J94,LANÇAMENTOS_01!$L:$L,"&gt;="&amp;RELATORIO_03!$O$3,LANÇAMENTOS_01!$L:$L,"&lt;="&amp;RELATORIO_03!$P$14),SUMIFS(LANÇAMENTOS_01!$J:$J,LANÇAMENTOS_01!$C:$C,AUX_03!J94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94,LANÇAMENTOS_01!$K:$K,"&gt;="&amp;RELATORIO_03!$O$3,LANÇAMENTOS_01!$K:$K,"&lt;="&amp;RELATORIO_03!$P$14),SUMIFS(LANÇAMENTOS_01!$J:$J,LANÇAMENTOS_01!$C:$C,AUX_03!J94,LANÇAMENTOS_01!$K:$K,"&gt;="&amp;RELATORIO_03!$O$3,LANÇAMENTOS_01!$K:$K,"&lt;="&amp;RELATORIO_03!$P$14,LANÇAMENTOS_01!$H:$H,RELATORIO_03!$N$1)))</f>
        <v>0</v>
      </c>
      <c r="L94">
        <f ca="1">IFERROR(LOOKUP(1,1/(COUNTIF($L$1:L93,INDIRECT("CADASTRO_02!$B$2:B"&amp;COUNTA(CADASTRO_02!A:A)))=0),INDIRECT("CADASTRO_02!$B$2:B"&amp;COUNTA(CADASTRO_02!A:A))),0)</f>
        <v>0</v>
      </c>
      <c r="M94">
        <f ca="1">IF(RELATORIO_03!$O$1=1,(IF(RELATORIO_03!$N$1="Todos",SUMIFS(LANÇAMENTOS_02!$J:$J,LANÇAMENTOS_02!$L:$L,"&lt;&gt;"&amp;$I$1,LANÇAMENTOS_02!$C:$C,AUX_03!L94,LANÇAMENTOS_02!$L:$L,"&gt;="&amp;RELATORIO_03!$O$3,LANÇAMENTOS_02!$L:$L,"&lt;="&amp;RELATORIO_03!$P$14),SUMIFS(LANÇAMENTOS_02!$J:$J,LANÇAMENTOS_02!$C:$C,AUX_03!L94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94,LANÇAMENTOS_02!$K:$K,"&gt;="&amp;RELATORIO_03!$O$3,LANÇAMENTOS_02!$K:$K,"&lt;="&amp;RELATORIO_03!$P$14),SUMIFS(LANÇAMENTOS_02!$J:$J,LANÇAMENTOS_02!$C:$C,AUX_03!L94,LANÇAMENTOS_02!$K:$K,"&gt;="&amp;RELATORIO_03!$O$3,LANÇAMENTOS_02!$K:$K,"&lt;="&amp;RELATORIO_03!$P$14,LANÇAMENTOS_02!$H:$H,RELATORIO_03!$N$1)))</f>
        <v>0</v>
      </c>
    </row>
    <row r="95" spans="2:13" x14ac:dyDescent="0.25">
      <c r="B95" s="31"/>
      <c r="F95" s="32"/>
      <c r="I95" s="32"/>
      <c r="J95">
        <f ca="1">IFERROR(LOOKUP(1,1/(COUNTIF($J$1:J94,INDIRECT("CADASTRO_01!$B$2:B"&amp;COUNTA(CADASTRO_01!A:A)))=0),INDIRECT("CADASTRO_01!$B$2:B"&amp;COUNTA(CADASTRO_01!A:A))),0)</f>
        <v>0</v>
      </c>
      <c r="K95">
        <f ca="1">IF(RELATORIO_03!$O$1=1,(IF(RELATORIO_03!$N$1="Todos",SUMIFS(LANÇAMENTOS_01!$J:$J,LANÇAMENTOS_01!$L:$L,"&lt;&gt;"&amp;$I$1,LANÇAMENTOS_01!$C:$C,AUX_03!J95,LANÇAMENTOS_01!$L:$L,"&gt;="&amp;RELATORIO_03!$O$3,LANÇAMENTOS_01!$L:$L,"&lt;="&amp;RELATORIO_03!$P$14),SUMIFS(LANÇAMENTOS_01!$J:$J,LANÇAMENTOS_01!$C:$C,AUX_03!J95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95,LANÇAMENTOS_01!$K:$K,"&gt;="&amp;RELATORIO_03!$O$3,LANÇAMENTOS_01!$K:$K,"&lt;="&amp;RELATORIO_03!$P$14),SUMIFS(LANÇAMENTOS_01!$J:$J,LANÇAMENTOS_01!$C:$C,AUX_03!J95,LANÇAMENTOS_01!$K:$K,"&gt;="&amp;RELATORIO_03!$O$3,LANÇAMENTOS_01!$K:$K,"&lt;="&amp;RELATORIO_03!$P$14,LANÇAMENTOS_01!$H:$H,RELATORIO_03!$N$1)))</f>
        <v>0</v>
      </c>
      <c r="L95">
        <f ca="1">IFERROR(LOOKUP(1,1/(COUNTIF($L$1:L94,INDIRECT("CADASTRO_02!$B$2:B"&amp;COUNTA(CADASTRO_02!A:A)))=0),INDIRECT("CADASTRO_02!$B$2:B"&amp;COUNTA(CADASTRO_02!A:A))),0)</f>
        <v>0</v>
      </c>
      <c r="M95">
        <f ca="1">IF(RELATORIO_03!$O$1=1,(IF(RELATORIO_03!$N$1="Todos",SUMIFS(LANÇAMENTOS_02!$J:$J,LANÇAMENTOS_02!$L:$L,"&lt;&gt;"&amp;$I$1,LANÇAMENTOS_02!$C:$C,AUX_03!L95,LANÇAMENTOS_02!$L:$L,"&gt;="&amp;RELATORIO_03!$O$3,LANÇAMENTOS_02!$L:$L,"&lt;="&amp;RELATORIO_03!$P$14),SUMIFS(LANÇAMENTOS_02!$J:$J,LANÇAMENTOS_02!$C:$C,AUX_03!L95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95,LANÇAMENTOS_02!$K:$K,"&gt;="&amp;RELATORIO_03!$O$3,LANÇAMENTOS_02!$K:$K,"&lt;="&amp;RELATORIO_03!$P$14),SUMIFS(LANÇAMENTOS_02!$J:$J,LANÇAMENTOS_02!$C:$C,AUX_03!L95,LANÇAMENTOS_02!$K:$K,"&gt;="&amp;RELATORIO_03!$O$3,LANÇAMENTOS_02!$K:$K,"&lt;="&amp;RELATORIO_03!$P$14,LANÇAMENTOS_02!$H:$H,RELATORIO_03!$N$1)))</f>
        <v>0</v>
      </c>
    </row>
    <row r="96" spans="2:13" x14ac:dyDescent="0.25">
      <c r="B96" s="31"/>
      <c r="F96" s="32"/>
      <c r="I96" s="32"/>
      <c r="J96">
        <f ca="1">IFERROR(LOOKUP(1,1/(COUNTIF($J$1:J95,INDIRECT("CADASTRO_01!$B$2:B"&amp;COUNTA(CADASTRO_01!A:A)))=0),INDIRECT("CADASTRO_01!$B$2:B"&amp;COUNTA(CADASTRO_01!A:A))),0)</f>
        <v>0</v>
      </c>
      <c r="K96">
        <f ca="1">IF(RELATORIO_03!$O$1=1,(IF(RELATORIO_03!$N$1="Todos",SUMIFS(LANÇAMENTOS_01!$J:$J,LANÇAMENTOS_01!$L:$L,"&lt;&gt;"&amp;$I$1,LANÇAMENTOS_01!$C:$C,AUX_03!J96,LANÇAMENTOS_01!$L:$L,"&gt;="&amp;RELATORIO_03!$O$3,LANÇAMENTOS_01!$L:$L,"&lt;="&amp;RELATORIO_03!$P$14),SUMIFS(LANÇAMENTOS_01!$J:$J,LANÇAMENTOS_01!$C:$C,AUX_03!J96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96,LANÇAMENTOS_01!$K:$K,"&gt;="&amp;RELATORIO_03!$O$3,LANÇAMENTOS_01!$K:$K,"&lt;="&amp;RELATORIO_03!$P$14),SUMIFS(LANÇAMENTOS_01!$J:$J,LANÇAMENTOS_01!$C:$C,AUX_03!J96,LANÇAMENTOS_01!$K:$K,"&gt;="&amp;RELATORIO_03!$O$3,LANÇAMENTOS_01!$K:$K,"&lt;="&amp;RELATORIO_03!$P$14,LANÇAMENTOS_01!$H:$H,RELATORIO_03!$N$1)))</f>
        <v>0</v>
      </c>
      <c r="L96">
        <f ca="1">IFERROR(LOOKUP(1,1/(COUNTIF($L$1:L95,INDIRECT("CADASTRO_02!$B$2:B"&amp;COUNTA(CADASTRO_02!A:A)))=0),INDIRECT("CADASTRO_02!$B$2:B"&amp;COUNTA(CADASTRO_02!A:A))),0)</f>
        <v>0</v>
      </c>
      <c r="M96">
        <f ca="1">IF(RELATORIO_03!$O$1=1,(IF(RELATORIO_03!$N$1="Todos",SUMIFS(LANÇAMENTOS_02!$J:$J,LANÇAMENTOS_02!$L:$L,"&lt;&gt;"&amp;$I$1,LANÇAMENTOS_02!$C:$C,AUX_03!L96,LANÇAMENTOS_02!$L:$L,"&gt;="&amp;RELATORIO_03!$O$3,LANÇAMENTOS_02!$L:$L,"&lt;="&amp;RELATORIO_03!$P$14),SUMIFS(LANÇAMENTOS_02!$J:$J,LANÇAMENTOS_02!$C:$C,AUX_03!L96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96,LANÇAMENTOS_02!$K:$K,"&gt;="&amp;RELATORIO_03!$O$3,LANÇAMENTOS_02!$K:$K,"&lt;="&amp;RELATORIO_03!$P$14),SUMIFS(LANÇAMENTOS_02!$J:$J,LANÇAMENTOS_02!$C:$C,AUX_03!L96,LANÇAMENTOS_02!$K:$K,"&gt;="&amp;RELATORIO_03!$O$3,LANÇAMENTOS_02!$K:$K,"&lt;="&amp;RELATORIO_03!$P$14,LANÇAMENTOS_02!$H:$H,RELATORIO_03!$N$1)))</f>
        <v>0</v>
      </c>
    </row>
    <row r="97" spans="2:13" x14ac:dyDescent="0.25">
      <c r="B97" s="31"/>
      <c r="F97" s="32"/>
      <c r="I97" s="32"/>
      <c r="J97">
        <f ca="1">IFERROR(LOOKUP(1,1/(COUNTIF($J$1:J96,INDIRECT("CADASTRO_01!$B$2:B"&amp;COUNTA(CADASTRO_01!A:A)))=0),INDIRECT("CADASTRO_01!$B$2:B"&amp;COUNTA(CADASTRO_01!A:A))),0)</f>
        <v>0</v>
      </c>
      <c r="K97">
        <f ca="1">IF(RELATORIO_03!$O$1=1,(IF(RELATORIO_03!$N$1="Todos",SUMIFS(LANÇAMENTOS_01!$J:$J,LANÇAMENTOS_01!$L:$L,"&lt;&gt;"&amp;$I$1,LANÇAMENTOS_01!$C:$C,AUX_03!J97,LANÇAMENTOS_01!$L:$L,"&gt;="&amp;RELATORIO_03!$O$3,LANÇAMENTOS_01!$L:$L,"&lt;="&amp;RELATORIO_03!$P$14),SUMIFS(LANÇAMENTOS_01!$J:$J,LANÇAMENTOS_01!$C:$C,AUX_03!J97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97,LANÇAMENTOS_01!$K:$K,"&gt;="&amp;RELATORIO_03!$O$3,LANÇAMENTOS_01!$K:$K,"&lt;="&amp;RELATORIO_03!$P$14),SUMIFS(LANÇAMENTOS_01!$J:$J,LANÇAMENTOS_01!$C:$C,AUX_03!J97,LANÇAMENTOS_01!$K:$K,"&gt;="&amp;RELATORIO_03!$O$3,LANÇAMENTOS_01!$K:$K,"&lt;="&amp;RELATORIO_03!$P$14,LANÇAMENTOS_01!$H:$H,RELATORIO_03!$N$1)))</f>
        <v>0</v>
      </c>
      <c r="L97">
        <f ca="1">IFERROR(LOOKUP(1,1/(COUNTIF($L$1:L96,INDIRECT("CADASTRO_02!$B$2:B"&amp;COUNTA(CADASTRO_02!A:A)))=0),INDIRECT("CADASTRO_02!$B$2:B"&amp;COUNTA(CADASTRO_02!A:A))),0)</f>
        <v>0</v>
      </c>
      <c r="M97">
        <f ca="1">IF(RELATORIO_03!$O$1=1,(IF(RELATORIO_03!$N$1="Todos",SUMIFS(LANÇAMENTOS_02!$J:$J,LANÇAMENTOS_02!$L:$L,"&lt;&gt;"&amp;$I$1,LANÇAMENTOS_02!$C:$C,AUX_03!L97,LANÇAMENTOS_02!$L:$L,"&gt;="&amp;RELATORIO_03!$O$3,LANÇAMENTOS_02!$L:$L,"&lt;="&amp;RELATORIO_03!$P$14),SUMIFS(LANÇAMENTOS_02!$J:$J,LANÇAMENTOS_02!$C:$C,AUX_03!L97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97,LANÇAMENTOS_02!$K:$K,"&gt;="&amp;RELATORIO_03!$O$3,LANÇAMENTOS_02!$K:$K,"&lt;="&amp;RELATORIO_03!$P$14),SUMIFS(LANÇAMENTOS_02!$J:$J,LANÇAMENTOS_02!$C:$C,AUX_03!L97,LANÇAMENTOS_02!$K:$K,"&gt;="&amp;RELATORIO_03!$O$3,LANÇAMENTOS_02!$K:$K,"&lt;="&amp;RELATORIO_03!$P$14,LANÇAMENTOS_02!$H:$H,RELATORIO_03!$N$1)))</f>
        <v>0</v>
      </c>
    </row>
    <row r="98" spans="2:13" x14ac:dyDescent="0.25">
      <c r="B98" s="31"/>
      <c r="F98" s="32"/>
      <c r="I98" s="32"/>
      <c r="J98">
        <f ca="1">IFERROR(LOOKUP(1,1/(COUNTIF($J$1:J97,INDIRECT("CADASTRO_01!$B$2:B"&amp;COUNTA(CADASTRO_01!A:A)))=0),INDIRECT("CADASTRO_01!$B$2:B"&amp;COUNTA(CADASTRO_01!A:A))),0)</f>
        <v>0</v>
      </c>
      <c r="K98">
        <f ca="1">IF(RELATORIO_03!$O$1=1,(IF(RELATORIO_03!$N$1="Todos",SUMIFS(LANÇAMENTOS_01!$J:$J,LANÇAMENTOS_01!$L:$L,"&lt;&gt;"&amp;$I$1,LANÇAMENTOS_01!$C:$C,AUX_03!J98,LANÇAMENTOS_01!$L:$L,"&gt;="&amp;RELATORIO_03!$O$3,LANÇAMENTOS_01!$L:$L,"&lt;="&amp;RELATORIO_03!$P$14),SUMIFS(LANÇAMENTOS_01!$J:$J,LANÇAMENTOS_01!$C:$C,AUX_03!J98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98,LANÇAMENTOS_01!$K:$K,"&gt;="&amp;RELATORIO_03!$O$3,LANÇAMENTOS_01!$K:$K,"&lt;="&amp;RELATORIO_03!$P$14),SUMIFS(LANÇAMENTOS_01!$J:$J,LANÇAMENTOS_01!$C:$C,AUX_03!J98,LANÇAMENTOS_01!$K:$K,"&gt;="&amp;RELATORIO_03!$O$3,LANÇAMENTOS_01!$K:$K,"&lt;="&amp;RELATORIO_03!$P$14,LANÇAMENTOS_01!$H:$H,RELATORIO_03!$N$1)))</f>
        <v>0</v>
      </c>
      <c r="L98">
        <f ca="1">IFERROR(LOOKUP(1,1/(COUNTIF($L$1:L97,INDIRECT("CADASTRO_02!$B$2:B"&amp;COUNTA(CADASTRO_02!A:A)))=0),INDIRECT("CADASTRO_02!$B$2:B"&amp;COUNTA(CADASTRO_02!A:A))),0)</f>
        <v>0</v>
      </c>
      <c r="M98">
        <f ca="1">IF(RELATORIO_03!$O$1=1,(IF(RELATORIO_03!$N$1="Todos",SUMIFS(LANÇAMENTOS_02!$J:$J,LANÇAMENTOS_02!$L:$L,"&lt;&gt;"&amp;$I$1,LANÇAMENTOS_02!$C:$C,AUX_03!L98,LANÇAMENTOS_02!$L:$L,"&gt;="&amp;RELATORIO_03!$O$3,LANÇAMENTOS_02!$L:$L,"&lt;="&amp;RELATORIO_03!$P$14),SUMIFS(LANÇAMENTOS_02!$J:$J,LANÇAMENTOS_02!$C:$C,AUX_03!L98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98,LANÇAMENTOS_02!$K:$K,"&gt;="&amp;RELATORIO_03!$O$3,LANÇAMENTOS_02!$K:$K,"&lt;="&amp;RELATORIO_03!$P$14),SUMIFS(LANÇAMENTOS_02!$J:$J,LANÇAMENTOS_02!$C:$C,AUX_03!L98,LANÇAMENTOS_02!$K:$K,"&gt;="&amp;RELATORIO_03!$O$3,LANÇAMENTOS_02!$K:$K,"&lt;="&amp;RELATORIO_03!$P$14,LANÇAMENTOS_02!$H:$H,RELATORIO_03!$N$1)))</f>
        <v>0</v>
      </c>
    </row>
    <row r="99" spans="2:13" x14ac:dyDescent="0.25">
      <c r="B99" s="31"/>
      <c r="F99" s="32"/>
      <c r="I99" s="32"/>
      <c r="J99">
        <f ca="1">IFERROR(LOOKUP(1,1/(COUNTIF($J$1:J98,INDIRECT("CADASTRO_01!$B$2:B"&amp;COUNTA(CADASTRO_01!A:A)))=0),INDIRECT("CADASTRO_01!$B$2:B"&amp;COUNTA(CADASTRO_01!A:A))),0)</f>
        <v>0</v>
      </c>
      <c r="K99">
        <f ca="1">IF(RELATORIO_03!$O$1=1,(IF(RELATORIO_03!$N$1="Todos",SUMIFS(LANÇAMENTOS_01!$J:$J,LANÇAMENTOS_01!$L:$L,"&lt;&gt;"&amp;$I$1,LANÇAMENTOS_01!$C:$C,AUX_03!J99,LANÇAMENTOS_01!$L:$L,"&gt;="&amp;RELATORIO_03!$O$3,LANÇAMENTOS_01!$L:$L,"&lt;="&amp;RELATORIO_03!$P$14),SUMIFS(LANÇAMENTOS_01!$J:$J,LANÇAMENTOS_01!$C:$C,AUX_03!J99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99,LANÇAMENTOS_01!$K:$K,"&gt;="&amp;RELATORIO_03!$O$3,LANÇAMENTOS_01!$K:$K,"&lt;="&amp;RELATORIO_03!$P$14),SUMIFS(LANÇAMENTOS_01!$J:$J,LANÇAMENTOS_01!$C:$C,AUX_03!J99,LANÇAMENTOS_01!$K:$K,"&gt;="&amp;RELATORIO_03!$O$3,LANÇAMENTOS_01!$K:$K,"&lt;="&amp;RELATORIO_03!$P$14,LANÇAMENTOS_01!$H:$H,RELATORIO_03!$N$1)))</f>
        <v>0</v>
      </c>
      <c r="L99">
        <f ca="1">IFERROR(LOOKUP(1,1/(COUNTIF($L$1:L98,INDIRECT("CADASTRO_02!$B$2:B"&amp;COUNTA(CADASTRO_02!A:A)))=0),INDIRECT("CADASTRO_02!$B$2:B"&amp;COUNTA(CADASTRO_02!A:A))),0)</f>
        <v>0</v>
      </c>
      <c r="M99">
        <f ca="1">IF(RELATORIO_03!$O$1=1,(IF(RELATORIO_03!$N$1="Todos",SUMIFS(LANÇAMENTOS_02!$J:$J,LANÇAMENTOS_02!$L:$L,"&lt;&gt;"&amp;$I$1,LANÇAMENTOS_02!$C:$C,AUX_03!L99,LANÇAMENTOS_02!$L:$L,"&gt;="&amp;RELATORIO_03!$O$3,LANÇAMENTOS_02!$L:$L,"&lt;="&amp;RELATORIO_03!$P$14),SUMIFS(LANÇAMENTOS_02!$J:$J,LANÇAMENTOS_02!$C:$C,AUX_03!L99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99,LANÇAMENTOS_02!$K:$K,"&gt;="&amp;RELATORIO_03!$O$3,LANÇAMENTOS_02!$K:$K,"&lt;="&amp;RELATORIO_03!$P$14),SUMIFS(LANÇAMENTOS_02!$J:$J,LANÇAMENTOS_02!$C:$C,AUX_03!L99,LANÇAMENTOS_02!$K:$K,"&gt;="&amp;RELATORIO_03!$O$3,LANÇAMENTOS_02!$K:$K,"&lt;="&amp;RELATORIO_03!$P$14,LANÇAMENTOS_02!$H:$H,RELATORIO_03!$N$1)))</f>
        <v>0</v>
      </c>
    </row>
    <row r="100" spans="2:13" x14ac:dyDescent="0.25">
      <c r="B100" s="31"/>
      <c r="F100" s="32"/>
      <c r="I100" s="32"/>
      <c r="J100">
        <f ca="1">IFERROR(LOOKUP(1,1/(COUNTIF($J$1:J99,INDIRECT("CADASTRO_01!$B$2:B"&amp;COUNTA(CADASTRO_01!A:A)))=0),INDIRECT("CADASTRO_01!$B$2:B"&amp;COUNTA(CADASTRO_01!A:A))),0)</f>
        <v>0</v>
      </c>
      <c r="K100">
        <f ca="1">IF(RELATORIO_03!$O$1=1,(IF(RELATORIO_03!$N$1="Todos",SUMIFS(LANÇAMENTOS_01!$J:$J,LANÇAMENTOS_01!$L:$L,"&lt;&gt;"&amp;$I$1,LANÇAMENTOS_01!$C:$C,AUX_03!J100,LANÇAMENTOS_01!$L:$L,"&gt;="&amp;RELATORIO_03!$O$3,LANÇAMENTOS_01!$L:$L,"&lt;="&amp;RELATORIO_03!$P$14),SUMIFS(LANÇAMENTOS_01!$J:$J,LANÇAMENTOS_01!$C:$C,AUX_03!J100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100,LANÇAMENTOS_01!$K:$K,"&gt;="&amp;RELATORIO_03!$O$3,LANÇAMENTOS_01!$K:$K,"&lt;="&amp;RELATORIO_03!$P$14),SUMIFS(LANÇAMENTOS_01!$J:$J,LANÇAMENTOS_01!$C:$C,AUX_03!J100,LANÇAMENTOS_01!$K:$K,"&gt;="&amp;RELATORIO_03!$O$3,LANÇAMENTOS_01!$K:$K,"&lt;="&amp;RELATORIO_03!$P$14,LANÇAMENTOS_01!$H:$H,RELATORIO_03!$N$1)))</f>
        <v>0</v>
      </c>
      <c r="L100">
        <f ca="1">IFERROR(LOOKUP(1,1/(COUNTIF($L$1:L99,INDIRECT("CADASTRO_02!$B$2:B"&amp;COUNTA(CADASTRO_02!A:A)))=0),INDIRECT("CADASTRO_02!$B$2:B"&amp;COUNTA(CADASTRO_02!A:A))),0)</f>
        <v>0</v>
      </c>
      <c r="M100">
        <f ca="1">IF(RELATORIO_03!$O$1=1,(IF(RELATORIO_03!$N$1="Todos",SUMIFS(LANÇAMENTOS_02!$J:$J,LANÇAMENTOS_02!$L:$L,"&lt;&gt;"&amp;$I$1,LANÇAMENTOS_02!$C:$C,AUX_03!L100,LANÇAMENTOS_02!$L:$L,"&gt;="&amp;RELATORIO_03!$O$3,LANÇAMENTOS_02!$L:$L,"&lt;="&amp;RELATORIO_03!$P$14),SUMIFS(LANÇAMENTOS_02!$J:$J,LANÇAMENTOS_02!$C:$C,AUX_03!L100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100,LANÇAMENTOS_02!$K:$K,"&gt;="&amp;RELATORIO_03!$O$3,LANÇAMENTOS_02!$K:$K,"&lt;="&amp;RELATORIO_03!$P$14),SUMIFS(LANÇAMENTOS_02!$J:$J,LANÇAMENTOS_02!$C:$C,AUX_03!L100,LANÇAMENTOS_02!$K:$K,"&gt;="&amp;RELATORIO_03!$O$3,LANÇAMENTOS_02!$K:$K,"&lt;="&amp;RELATORIO_03!$P$14,LANÇAMENTOS_02!$H:$H,RELATORIO_03!$N$1)))</f>
        <v>0</v>
      </c>
    </row>
    <row r="101" spans="2:13" x14ac:dyDescent="0.25">
      <c r="B101" s="31"/>
      <c r="F101" s="32"/>
      <c r="I101" s="32"/>
      <c r="J101">
        <f ca="1">IFERROR(LOOKUP(1,1/(COUNTIF($J$1:J100,INDIRECT("CADASTRO_01!$B$2:B"&amp;COUNTA(CADASTRO_01!A:A)))=0),INDIRECT("CADASTRO_01!$B$2:B"&amp;COUNTA(CADASTRO_01!A:A))),0)</f>
        <v>0</v>
      </c>
      <c r="K101">
        <f ca="1">IF(RELATORIO_03!$O$1=1,(IF(RELATORIO_03!$N$1="Todos",SUMIFS(LANÇAMENTOS_01!$J:$J,LANÇAMENTOS_01!$L:$L,"&lt;&gt;"&amp;$I$1,LANÇAMENTOS_01!$C:$C,AUX_03!J101,LANÇAMENTOS_01!$L:$L,"&gt;="&amp;RELATORIO_03!$O$3,LANÇAMENTOS_01!$L:$L,"&lt;="&amp;RELATORIO_03!$P$14),SUMIFS(LANÇAMENTOS_01!$J:$J,LANÇAMENTOS_01!$C:$C,AUX_03!J101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101,LANÇAMENTOS_01!$K:$K,"&gt;="&amp;RELATORIO_03!$O$3,LANÇAMENTOS_01!$K:$K,"&lt;="&amp;RELATORIO_03!$P$14),SUMIFS(LANÇAMENTOS_01!$J:$J,LANÇAMENTOS_01!$C:$C,AUX_03!J101,LANÇAMENTOS_01!$K:$K,"&gt;="&amp;RELATORIO_03!$O$3,LANÇAMENTOS_01!$K:$K,"&lt;="&amp;RELATORIO_03!$P$14,LANÇAMENTOS_01!$H:$H,RELATORIO_03!$N$1)))</f>
        <v>0</v>
      </c>
      <c r="L101">
        <f ca="1">IFERROR(LOOKUP(1,1/(COUNTIF($L$1:L100,INDIRECT("CADASTRO_02!$B$2:B"&amp;COUNTA(CADASTRO_02!A:A)))=0),INDIRECT("CADASTRO_02!$B$2:B"&amp;COUNTA(CADASTRO_02!A:A))),0)</f>
        <v>0</v>
      </c>
      <c r="M101">
        <f ca="1">IF(RELATORIO_03!$O$1=1,(IF(RELATORIO_03!$N$1="Todos",SUMIFS(LANÇAMENTOS_02!$J:$J,LANÇAMENTOS_02!$L:$L,"&lt;&gt;"&amp;$I$1,LANÇAMENTOS_02!$C:$C,AUX_03!L101,LANÇAMENTOS_02!$L:$L,"&gt;="&amp;RELATORIO_03!$O$3,LANÇAMENTOS_02!$L:$L,"&lt;="&amp;RELATORIO_03!$P$14),SUMIFS(LANÇAMENTOS_02!$J:$J,LANÇAMENTOS_02!$C:$C,AUX_03!L101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101,LANÇAMENTOS_02!$K:$K,"&gt;="&amp;RELATORIO_03!$O$3,LANÇAMENTOS_02!$K:$K,"&lt;="&amp;RELATORIO_03!$P$14),SUMIFS(LANÇAMENTOS_02!$J:$J,LANÇAMENTOS_02!$C:$C,AUX_03!L101,LANÇAMENTOS_02!$K:$K,"&gt;="&amp;RELATORIO_03!$O$3,LANÇAMENTOS_02!$K:$K,"&lt;="&amp;RELATORIO_03!$P$14,LANÇAMENTOS_02!$H:$H,RELATORIO_03!$N$1)))</f>
        <v>0</v>
      </c>
    </row>
    <row r="102" spans="2:13" x14ac:dyDescent="0.25">
      <c r="B102" s="31"/>
      <c r="F102" s="32"/>
      <c r="I102" s="32"/>
      <c r="J102">
        <f ca="1">IFERROR(LOOKUP(1,1/(COUNTIF($J$1:J101,INDIRECT("CADASTRO_01!$B$2:B"&amp;COUNTA(CADASTRO_01!A:A)))=0),INDIRECT("CADASTRO_01!$B$2:B"&amp;COUNTA(CADASTRO_01!A:A))),0)</f>
        <v>0</v>
      </c>
      <c r="K102">
        <f ca="1">IF(RELATORIO_03!$O$1=1,(IF(RELATORIO_03!$N$1="Todos",SUMIFS(LANÇAMENTOS_01!$J:$J,LANÇAMENTOS_01!$L:$L,"&lt;&gt;"&amp;$I$1,LANÇAMENTOS_01!$C:$C,AUX_03!J102,LANÇAMENTOS_01!$L:$L,"&gt;="&amp;RELATORIO_03!$O$3,LANÇAMENTOS_01!$L:$L,"&lt;="&amp;RELATORIO_03!$P$14),SUMIFS(LANÇAMENTOS_01!$J:$J,LANÇAMENTOS_01!$C:$C,AUX_03!J102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102,LANÇAMENTOS_01!$K:$K,"&gt;="&amp;RELATORIO_03!$O$3,LANÇAMENTOS_01!$K:$K,"&lt;="&amp;RELATORIO_03!$P$14),SUMIFS(LANÇAMENTOS_01!$J:$J,LANÇAMENTOS_01!$C:$C,AUX_03!J102,LANÇAMENTOS_01!$K:$K,"&gt;="&amp;RELATORIO_03!$O$3,LANÇAMENTOS_01!$K:$K,"&lt;="&amp;RELATORIO_03!$P$14,LANÇAMENTOS_01!$H:$H,RELATORIO_03!$N$1)))</f>
        <v>0</v>
      </c>
      <c r="L102">
        <f ca="1">IFERROR(LOOKUP(1,1/(COUNTIF($L$1:L101,INDIRECT("CADASTRO_02!$B$2:B"&amp;COUNTA(CADASTRO_02!A:A)))=0),INDIRECT("CADASTRO_02!$B$2:B"&amp;COUNTA(CADASTRO_02!A:A))),0)</f>
        <v>0</v>
      </c>
      <c r="M102">
        <f ca="1">IF(RELATORIO_03!$O$1=1,(IF(RELATORIO_03!$N$1="Todos",SUMIFS(LANÇAMENTOS_02!$J:$J,LANÇAMENTOS_02!$L:$L,"&lt;&gt;"&amp;$I$1,LANÇAMENTOS_02!$C:$C,AUX_03!L102,LANÇAMENTOS_02!$L:$L,"&gt;="&amp;RELATORIO_03!$O$3,LANÇAMENTOS_02!$L:$L,"&lt;="&amp;RELATORIO_03!$P$14),SUMIFS(LANÇAMENTOS_02!$J:$J,LANÇAMENTOS_02!$C:$C,AUX_03!L102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102,LANÇAMENTOS_02!$K:$K,"&gt;="&amp;RELATORIO_03!$O$3,LANÇAMENTOS_02!$K:$K,"&lt;="&amp;RELATORIO_03!$P$14),SUMIFS(LANÇAMENTOS_02!$J:$J,LANÇAMENTOS_02!$C:$C,AUX_03!L102,LANÇAMENTOS_02!$K:$K,"&gt;="&amp;RELATORIO_03!$O$3,LANÇAMENTOS_02!$K:$K,"&lt;="&amp;RELATORIO_03!$P$14,LANÇAMENTOS_02!$H:$H,RELATORIO_03!$N$1)))</f>
        <v>0</v>
      </c>
    </row>
    <row r="103" spans="2:13" x14ac:dyDescent="0.25">
      <c r="B103" s="31"/>
      <c r="F103" s="32"/>
      <c r="I103" s="32"/>
      <c r="J103">
        <f ca="1">IFERROR(LOOKUP(1,1/(COUNTIF($J$1:J102,INDIRECT("CADASTRO_01!$B$2:B"&amp;COUNTA(CADASTRO_01!A:A)))=0),INDIRECT("CADASTRO_01!$B$2:B"&amp;COUNTA(CADASTRO_01!A:A))),0)</f>
        <v>0</v>
      </c>
      <c r="K103">
        <f ca="1">IF(RELATORIO_03!$O$1=1,(IF(RELATORIO_03!$N$1="Todos",SUMIFS(LANÇAMENTOS_01!$J:$J,LANÇAMENTOS_01!$L:$L,"&lt;&gt;"&amp;$I$1,LANÇAMENTOS_01!$C:$C,AUX_03!J103,LANÇAMENTOS_01!$L:$L,"&gt;="&amp;RELATORIO_03!$O$3,LANÇAMENTOS_01!$L:$L,"&lt;="&amp;RELATORIO_03!$P$14),SUMIFS(LANÇAMENTOS_01!$J:$J,LANÇAMENTOS_01!$C:$C,AUX_03!J103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103,LANÇAMENTOS_01!$K:$K,"&gt;="&amp;RELATORIO_03!$O$3,LANÇAMENTOS_01!$K:$K,"&lt;="&amp;RELATORIO_03!$P$14),SUMIFS(LANÇAMENTOS_01!$J:$J,LANÇAMENTOS_01!$C:$C,AUX_03!J103,LANÇAMENTOS_01!$K:$K,"&gt;="&amp;RELATORIO_03!$O$3,LANÇAMENTOS_01!$K:$K,"&lt;="&amp;RELATORIO_03!$P$14,LANÇAMENTOS_01!$H:$H,RELATORIO_03!$N$1)))</f>
        <v>0</v>
      </c>
      <c r="L103">
        <f ca="1">IFERROR(LOOKUP(1,1/(COUNTIF($L$1:L102,INDIRECT("CADASTRO_02!$B$2:B"&amp;COUNTA(CADASTRO_02!A:A)))=0),INDIRECT("CADASTRO_02!$B$2:B"&amp;COUNTA(CADASTRO_02!A:A))),0)</f>
        <v>0</v>
      </c>
      <c r="M103">
        <f ca="1">IF(RELATORIO_03!$O$1=1,(IF(RELATORIO_03!$N$1="Todos",SUMIFS(LANÇAMENTOS_02!$J:$J,LANÇAMENTOS_02!$L:$L,"&lt;&gt;"&amp;$I$1,LANÇAMENTOS_02!$C:$C,AUX_03!L103,LANÇAMENTOS_02!$L:$L,"&gt;="&amp;RELATORIO_03!$O$3,LANÇAMENTOS_02!$L:$L,"&lt;="&amp;RELATORIO_03!$P$14),SUMIFS(LANÇAMENTOS_02!$J:$J,LANÇAMENTOS_02!$C:$C,AUX_03!L103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103,LANÇAMENTOS_02!$K:$K,"&gt;="&amp;RELATORIO_03!$O$3,LANÇAMENTOS_02!$K:$K,"&lt;="&amp;RELATORIO_03!$P$14),SUMIFS(LANÇAMENTOS_02!$J:$J,LANÇAMENTOS_02!$C:$C,AUX_03!L103,LANÇAMENTOS_02!$K:$K,"&gt;="&amp;RELATORIO_03!$O$3,LANÇAMENTOS_02!$K:$K,"&lt;="&amp;RELATORIO_03!$P$14,LANÇAMENTOS_02!$H:$H,RELATORIO_03!$N$1)))</f>
        <v>0</v>
      </c>
    </row>
    <row r="104" spans="2:13" x14ac:dyDescent="0.25">
      <c r="B104" s="31"/>
      <c r="F104" s="32"/>
      <c r="I104" s="32"/>
      <c r="J104">
        <f ca="1">IFERROR(LOOKUP(1,1/(COUNTIF($J$1:J103,INDIRECT("CADASTRO_01!$B$2:B"&amp;COUNTA(CADASTRO_01!A:A)))=0),INDIRECT("CADASTRO_01!$B$2:B"&amp;COUNTA(CADASTRO_01!A:A))),0)</f>
        <v>0</v>
      </c>
      <c r="K104">
        <f ca="1">IF(RELATORIO_03!$O$1=1,(IF(RELATORIO_03!$N$1="Todos",SUMIFS(LANÇAMENTOS_01!$J:$J,LANÇAMENTOS_01!$L:$L,"&lt;&gt;"&amp;$I$1,LANÇAMENTOS_01!$C:$C,AUX_03!J104,LANÇAMENTOS_01!$L:$L,"&gt;="&amp;RELATORIO_03!$O$3,LANÇAMENTOS_01!$L:$L,"&lt;="&amp;RELATORIO_03!$P$14),SUMIFS(LANÇAMENTOS_01!$J:$J,LANÇAMENTOS_01!$C:$C,AUX_03!J104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104,LANÇAMENTOS_01!$K:$K,"&gt;="&amp;RELATORIO_03!$O$3,LANÇAMENTOS_01!$K:$K,"&lt;="&amp;RELATORIO_03!$P$14),SUMIFS(LANÇAMENTOS_01!$J:$J,LANÇAMENTOS_01!$C:$C,AUX_03!J104,LANÇAMENTOS_01!$K:$K,"&gt;="&amp;RELATORIO_03!$O$3,LANÇAMENTOS_01!$K:$K,"&lt;="&amp;RELATORIO_03!$P$14,LANÇAMENTOS_01!$H:$H,RELATORIO_03!$N$1)))</f>
        <v>0</v>
      </c>
      <c r="L104">
        <f ca="1">IFERROR(LOOKUP(1,1/(COUNTIF($L$1:L103,INDIRECT("CADASTRO_02!$B$2:B"&amp;COUNTA(CADASTRO_02!A:A)))=0),INDIRECT("CADASTRO_02!$B$2:B"&amp;COUNTA(CADASTRO_02!A:A))),0)</f>
        <v>0</v>
      </c>
      <c r="M104">
        <f ca="1">IF(RELATORIO_03!$O$1=1,(IF(RELATORIO_03!$N$1="Todos",SUMIFS(LANÇAMENTOS_02!$J:$J,LANÇAMENTOS_02!$L:$L,"&lt;&gt;"&amp;$I$1,LANÇAMENTOS_02!$C:$C,AUX_03!L104,LANÇAMENTOS_02!$L:$L,"&gt;="&amp;RELATORIO_03!$O$3,LANÇAMENTOS_02!$L:$L,"&lt;="&amp;RELATORIO_03!$P$14),SUMIFS(LANÇAMENTOS_02!$J:$J,LANÇAMENTOS_02!$C:$C,AUX_03!L104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104,LANÇAMENTOS_02!$K:$K,"&gt;="&amp;RELATORIO_03!$O$3,LANÇAMENTOS_02!$K:$K,"&lt;="&amp;RELATORIO_03!$P$14),SUMIFS(LANÇAMENTOS_02!$J:$J,LANÇAMENTOS_02!$C:$C,AUX_03!L104,LANÇAMENTOS_02!$K:$K,"&gt;="&amp;RELATORIO_03!$O$3,LANÇAMENTOS_02!$K:$K,"&lt;="&amp;RELATORIO_03!$P$14,LANÇAMENTOS_02!$H:$H,RELATORIO_03!$N$1)))</f>
        <v>0</v>
      </c>
    </row>
    <row r="105" spans="2:13" x14ac:dyDescent="0.25">
      <c r="B105" s="31"/>
      <c r="F105" s="32"/>
      <c r="I105" s="32"/>
      <c r="J105">
        <f ca="1">IFERROR(LOOKUP(1,1/(COUNTIF($J$1:J104,INDIRECT("CADASTRO_01!$B$2:B"&amp;COUNTA(CADASTRO_01!A:A)))=0),INDIRECT("CADASTRO_01!$B$2:B"&amp;COUNTA(CADASTRO_01!A:A))),0)</f>
        <v>0</v>
      </c>
      <c r="K105">
        <f ca="1">IF(RELATORIO_03!$O$1=1,(IF(RELATORIO_03!$N$1="Todos",SUMIFS(LANÇAMENTOS_01!$J:$J,LANÇAMENTOS_01!$L:$L,"&lt;&gt;"&amp;$I$1,LANÇAMENTOS_01!$C:$C,AUX_03!J105,LANÇAMENTOS_01!$L:$L,"&gt;="&amp;RELATORIO_03!$O$3,LANÇAMENTOS_01!$L:$L,"&lt;="&amp;RELATORIO_03!$P$14),SUMIFS(LANÇAMENTOS_01!$J:$J,LANÇAMENTOS_01!$C:$C,AUX_03!J105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105,LANÇAMENTOS_01!$K:$K,"&gt;="&amp;RELATORIO_03!$O$3,LANÇAMENTOS_01!$K:$K,"&lt;="&amp;RELATORIO_03!$P$14),SUMIFS(LANÇAMENTOS_01!$J:$J,LANÇAMENTOS_01!$C:$C,AUX_03!J105,LANÇAMENTOS_01!$K:$K,"&gt;="&amp;RELATORIO_03!$O$3,LANÇAMENTOS_01!$K:$K,"&lt;="&amp;RELATORIO_03!$P$14,LANÇAMENTOS_01!$H:$H,RELATORIO_03!$N$1)))</f>
        <v>0</v>
      </c>
      <c r="L105">
        <f ca="1">IFERROR(LOOKUP(1,1/(COUNTIF($L$1:L104,INDIRECT("CADASTRO_02!$B$2:B"&amp;COUNTA(CADASTRO_02!A:A)))=0),INDIRECT("CADASTRO_02!$B$2:B"&amp;COUNTA(CADASTRO_02!A:A))),0)</f>
        <v>0</v>
      </c>
      <c r="M105">
        <f ca="1">IF(RELATORIO_03!$O$1=1,(IF(RELATORIO_03!$N$1="Todos",SUMIFS(LANÇAMENTOS_02!$J:$J,LANÇAMENTOS_02!$L:$L,"&lt;&gt;"&amp;$I$1,LANÇAMENTOS_02!$C:$C,AUX_03!L105,LANÇAMENTOS_02!$L:$L,"&gt;="&amp;RELATORIO_03!$O$3,LANÇAMENTOS_02!$L:$L,"&lt;="&amp;RELATORIO_03!$P$14),SUMIFS(LANÇAMENTOS_02!$J:$J,LANÇAMENTOS_02!$C:$C,AUX_03!L105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105,LANÇAMENTOS_02!$K:$K,"&gt;="&amp;RELATORIO_03!$O$3,LANÇAMENTOS_02!$K:$K,"&lt;="&amp;RELATORIO_03!$P$14),SUMIFS(LANÇAMENTOS_02!$J:$J,LANÇAMENTOS_02!$C:$C,AUX_03!L105,LANÇAMENTOS_02!$K:$K,"&gt;="&amp;RELATORIO_03!$O$3,LANÇAMENTOS_02!$K:$K,"&lt;="&amp;RELATORIO_03!$P$14,LANÇAMENTOS_02!$H:$H,RELATORIO_03!$N$1)))</f>
        <v>0</v>
      </c>
    </row>
    <row r="106" spans="2:13" x14ac:dyDescent="0.25">
      <c r="B106" s="31"/>
      <c r="F106" s="32"/>
      <c r="I106" s="32"/>
      <c r="J106">
        <f ca="1">IFERROR(LOOKUP(1,1/(COUNTIF($J$1:J105,INDIRECT("CADASTRO_01!$B$2:B"&amp;COUNTA(CADASTRO_01!A:A)))=0),INDIRECT("CADASTRO_01!$B$2:B"&amp;COUNTA(CADASTRO_01!A:A))),0)</f>
        <v>0</v>
      </c>
      <c r="K106">
        <f ca="1">IF(RELATORIO_03!$O$1=1,(IF(RELATORIO_03!$N$1="Todos",SUMIFS(LANÇAMENTOS_01!$J:$J,LANÇAMENTOS_01!$L:$L,"&lt;&gt;"&amp;$I$1,LANÇAMENTOS_01!$C:$C,AUX_03!J106,LANÇAMENTOS_01!$L:$L,"&gt;="&amp;RELATORIO_03!$O$3,LANÇAMENTOS_01!$L:$L,"&lt;="&amp;RELATORIO_03!$P$14),SUMIFS(LANÇAMENTOS_01!$J:$J,LANÇAMENTOS_01!$C:$C,AUX_03!J106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106,LANÇAMENTOS_01!$K:$K,"&gt;="&amp;RELATORIO_03!$O$3,LANÇAMENTOS_01!$K:$K,"&lt;="&amp;RELATORIO_03!$P$14),SUMIFS(LANÇAMENTOS_01!$J:$J,LANÇAMENTOS_01!$C:$C,AUX_03!J106,LANÇAMENTOS_01!$K:$K,"&gt;="&amp;RELATORIO_03!$O$3,LANÇAMENTOS_01!$K:$K,"&lt;="&amp;RELATORIO_03!$P$14,LANÇAMENTOS_01!$H:$H,RELATORIO_03!$N$1)))</f>
        <v>0</v>
      </c>
      <c r="L106">
        <f ca="1">IFERROR(LOOKUP(1,1/(COUNTIF($L$1:L105,INDIRECT("CADASTRO_02!$B$2:B"&amp;COUNTA(CADASTRO_02!A:A)))=0),INDIRECT("CADASTRO_02!$B$2:B"&amp;COUNTA(CADASTRO_02!A:A))),0)</f>
        <v>0</v>
      </c>
      <c r="M106">
        <f ca="1">IF(RELATORIO_03!$O$1=1,(IF(RELATORIO_03!$N$1="Todos",SUMIFS(LANÇAMENTOS_02!$J:$J,LANÇAMENTOS_02!$L:$L,"&lt;&gt;"&amp;$I$1,LANÇAMENTOS_02!$C:$C,AUX_03!L106,LANÇAMENTOS_02!$L:$L,"&gt;="&amp;RELATORIO_03!$O$3,LANÇAMENTOS_02!$L:$L,"&lt;="&amp;RELATORIO_03!$P$14),SUMIFS(LANÇAMENTOS_02!$J:$J,LANÇAMENTOS_02!$C:$C,AUX_03!L106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106,LANÇAMENTOS_02!$K:$K,"&gt;="&amp;RELATORIO_03!$O$3,LANÇAMENTOS_02!$K:$K,"&lt;="&amp;RELATORIO_03!$P$14),SUMIFS(LANÇAMENTOS_02!$J:$J,LANÇAMENTOS_02!$C:$C,AUX_03!L106,LANÇAMENTOS_02!$K:$K,"&gt;="&amp;RELATORIO_03!$O$3,LANÇAMENTOS_02!$K:$K,"&lt;="&amp;RELATORIO_03!$P$14,LANÇAMENTOS_02!$H:$H,RELATORIO_03!$N$1)))</f>
        <v>0</v>
      </c>
    </row>
    <row r="107" spans="2:13" x14ac:dyDescent="0.25">
      <c r="B107" s="31"/>
      <c r="F107" s="32"/>
      <c r="I107" s="32"/>
      <c r="J107">
        <f ca="1">IFERROR(LOOKUP(1,1/(COUNTIF($J$1:J106,INDIRECT("CADASTRO_01!$B$2:B"&amp;COUNTA(CADASTRO_01!A:A)))=0),INDIRECT("CADASTRO_01!$B$2:B"&amp;COUNTA(CADASTRO_01!A:A))),0)</f>
        <v>0</v>
      </c>
      <c r="K107">
        <f ca="1">IF(RELATORIO_03!$O$1=1,(IF(RELATORIO_03!$N$1="Todos",SUMIFS(LANÇAMENTOS_01!$J:$J,LANÇAMENTOS_01!$L:$L,"&lt;&gt;"&amp;$I$1,LANÇAMENTOS_01!$C:$C,AUX_03!J107,LANÇAMENTOS_01!$L:$L,"&gt;="&amp;RELATORIO_03!$O$3,LANÇAMENTOS_01!$L:$L,"&lt;="&amp;RELATORIO_03!$P$14),SUMIFS(LANÇAMENTOS_01!$J:$J,LANÇAMENTOS_01!$C:$C,AUX_03!J107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107,LANÇAMENTOS_01!$K:$K,"&gt;="&amp;RELATORIO_03!$O$3,LANÇAMENTOS_01!$K:$K,"&lt;="&amp;RELATORIO_03!$P$14),SUMIFS(LANÇAMENTOS_01!$J:$J,LANÇAMENTOS_01!$C:$C,AUX_03!J107,LANÇAMENTOS_01!$K:$K,"&gt;="&amp;RELATORIO_03!$O$3,LANÇAMENTOS_01!$K:$K,"&lt;="&amp;RELATORIO_03!$P$14,LANÇAMENTOS_01!$H:$H,RELATORIO_03!$N$1)))</f>
        <v>0</v>
      </c>
      <c r="L107">
        <f ca="1">IFERROR(LOOKUP(1,1/(COUNTIF($L$1:L106,INDIRECT("CADASTRO_02!$B$2:B"&amp;COUNTA(CADASTRO_02!A:A)))=0),INDIRECT("CADASTRO_02!$B$2:B"&amp;COUNTA(CADASTRO_02!A:A))),0)</f>
        <v>0</v>
      </c>
      <c r="M107">
        <f ca="1">IF(RELATORIO_03!$O$1=1,(IF(RELATORIO_03!$N$1="Todos",SUMIFS(LANÇAMENTOS_02!$J:$J,LANÇAMENTOS_02!$L:$L,"&lt;&gt;"&amp;$I$1,LANÇAMENTOS_02!$C:$C,AUX_03!L107,LANÇAMENTOS_02!$L:$L,"&gt;="&amp;RELATORIO_03!$O$3,LANÇAMENTOS_02!$L:$L,"&lt;="&amp;RELATORIO_03!$P$14),SUMIFS(LANÇAMENTOS_02!$J:$J,LANÇAMENTOS_02!$C:$C,AUX_03!L107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107,LANÇAMENTOS_02!$K:$K,"&gt;="&amp;RELATORIO_03!$O$3,LANÇAMENTOS_02!$K:$K,"&lt;="&amp;RELATORIO_03!$P$14),SUMIFS(LANÇAMENTOS_02!$J:$J,LANÇAMENTOS_02!$C:$C,AUX_03!L107,LANÇAMENTOS_02!$K:$K,"&gt;="&amp;RELATORIO_03!$O$3,LANÇAMENTOS_02!$K:$K,"&lt;="&amp;RELATORIO_03!$P$14,LANÇAMENTOS_02!$H:$H,RELATORIO_03!$N$1)))</f>
        <v>0</v>
      </c>
    </row>
    <row r="108" spans="2:13" x14ac:dyDescent="0.25">
      <c r="B108" s="31"/>
      <c r="F108" s="32"/>
      <c r="I108" s="32"/>
      <c r="J108">
        <f ca="1">IFERROR(LOOKUP(1,1/(COUNTIF($J$1:J107,INDIRECT("CADASTRO_01!$B$2:B"&amp;COUNTA(CADASTRO_01!A:A)))=0),INDIRECT("CADASTRO_01!$B$2:B"&amp;COUNTA(CADASTRO_01!A:A))),0)</f>
        <v>0</v>
      </c>
      <c r="K108">
        <f ca="1">IF(RELATORIO_03!$O$1=1,(IF(RELATORIO_03!$N$1="Todos",SUMIFS(LANÇAMENTOS_01!$J:$J,LANÇAMENTOS_01!$L:$L,"&lt;&gt;"&amp;$I$1,LANÇAMENTOS_01!$C:$C,AUX_03!J108,LANÇAMENTOS_01!$L:$L,"&gt;="&amp;RELATORIO_03!$O$3,LANÇAMENTOS_01!$L:$L,"&lt;="&amp;RELATORIO_03!$P$14),SUMIFS(LANÇAMENTOS_01!$J:$J,LANÇAMENTOS_01!$C:$C,AUX_03!J108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108,LANÇAMENTOS_01!$K:$K,"&gt;="&amp;RELATORIO_03!$O$3,LANÇAMENTOS_01!$K:$K,"&lt;="&amp;RELATORIO_03!$P$14),SUMIFS(LANÇAMENTOS_01!$J:$J,LANÇAMENTOS_01!$C:$C,AUX_03!J108,LANÇAMENTOS_01!$K:$K,"&gt;="&amp;RELATORIO_03!$O$3,LANÇAMENTOS_01!$K:$K,"&lt;="&amp;RELATORIO_03!$P$14,LANÇAMENTOS_01!$H:$H,RELATORIO_03!$N$1)))</f>
        <v>0</v>
      </c>
      <c r="L108">
        <f ca="1">IFERROR(LOOKUP(1,1/(COUNTIF($L$1:L107,INDIRECT("CADASTRO_02!$B$2:B"&amp;COUNTA(CADASTRO_02!A:A)))=0),INDIRECT("CADASTRO_02!$B$2:B"&amp;COUNTA(CADASTRO_02!A:A))),0)</f>
        <v>0</v>
      </c>
      <c r="M108">
        <f ca="1">IF(RELATORIO_03!$O$1=1,(IF(RELATORIO_03!$N$1="Todos",SUMIFS(LANÇAMENTOS_02!$J:$J,LANÇAMENTOS_02!$L:$L,"&lt;&gt;"&amp;$I$1,LANÇAMENTOS_02!$C:$C,AUX_03!L108,LANÇAMENTOS_02!$L:$L,"&gt;="&amp;RELATORIO_03!$O$3,LANÇAMENTOS_02!$L:$L,"&lt;="&amp;RELATORIO_03!$P$14),SUMIFS(LANÇAMENTOS_02!$J:$J,LANÇAMENTOS_02!$C:$C,AUX_03!L108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108,LANÇAMENTOS_02!$K:$K,"&gt;="&amp;RELATORIO_03!$O$3,LANÇAMENTOS_02!$K:$K,"&lt;="&amp;RELATORIO_03!$P$14),SUMIFS(LANÇAMENTOS_02!$J:$J,LANÇAMENTOS_02!$C:$C,AUX_03!L108,LANÇAMENTOS_02!$K:$K,"&gt;="&amp;RELATORIO_03!$O$3,LANÇAMENTOS_02!$K:$K,"&lt;="&amp;RELATORIO_03!$P$14,LANÇAMENTOS_02!$H:$H,RELATORIO_03!$N$1)))</f>
        <v>0</v>
      </c>
    </row>
    <row r="109" spans="2:13" x14ac:dyDescent="0.25">
      <c r="B109" s="31"/>
      <c r="F109" s="32"/>
      <c r="I109" s="32"/>
      <c r="J109">
        <f ca="1">IFERROR(LOOKUP(1,1/(COUNTIF($J$1:J108,INDIRECT("CADASTRO_01!$B$2:B"&amp;COUNTA(CADASTRO_01!A:A)))=0),INDIRECT("CADASTRO_01!$B$2:B"&amp;COUNTA(CADASTRO_01!A:A))),0)</f>
        <v>0</v>
      </c>
      <c r="K109">
        <f ca="1">IF(RELATORIO_03!$O$1=1,(IF(RELATORIO_03!$N$1="Todos",SUMIFS(LANÇAMENTOS_01!$J:$J,LANÇAMENTOS_01!$L:$L,"&lt;&gt;"&amp;$I$1,LANÇAMENTOS_01!$C:$C,AUX_03!J109,LANÇAMENTOS_01!$L:$L,"&gt;="&amp;RELATORIO_03!$O$3,LANÇAMENTOS_01!$L:$L,"&lt;="&amp;RELATORIO_03!$P$14),SUMIFS(LANÇAMENTOS_01!$J:$J,LANÇAMENTOS_01!$C:$C,AUX_03!J109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109,LANÇAMENTOS_01!$K:$K,"&gt;="&amp;RELATORIO_03!$O$3,LANÇAMENTOS_01!$K:$K,"&lt;="&amp;RELATORIO_03!$P$14),SUMIFS(LANÇAMENTOS_01!$J:$J,LANÇAMENTOS_01!$C:$C,AUX_03!J109,LANÇAMENTOS_01!$K:$K,"&gt;="&amp;RELATORIO_03!$O$3,LANÇAMENTOS_01!$K:$K,"&lt;="&amp;RELATORIO_03!$P$14,LANÇAMENTOS_01!$H:$H,RELATORIO_03!$N$1)))</f>
        <v>0</v>
      </c>
      <c r="L109">
        <f ca="1">IFERROR(LOOKUP(1,1/(COUNTIF($L$1:L108,INDIRECT("CADASTRO_02!$B$2:B"&amp;COUNTA(CADASTRO_02!A:A)))=0),INDIRECT("CADASTRO_02!$B$2:B"&amp;COUNTA(CADASTRO_02!A:A))),0)</f>
        <v>0</v>
      </c>
      <c r="M109">
        <f ca="1">IF(RELATORIO_03!$O$1=1,(IF(RELATORIO_03!$N$1="Todos",SUMIFS(LANÇAMENTOS_02!$J:$J,LANÇAMENTOS_02!$L:$L,"&lt;&gt;"&amp;$I$1,LANÇAMENTOS_02!$C:$C,AUX_03!L109,LANÇAMENTOS_02!$L:$L,"&gt;="&amp;RELATORIO_03!$O$3,LANÇAMENTOS_02!$L:$L,"&lt;="&amp;RELATORIO_03!$P$14),SUMIFS(LANÇAMENTOS_02!$J:$J,LANÇAMENTOS_02!$C:$C,AUX_03!L109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109,LANÇAMENTOS_02!$K:$K,"&gt;="&amp;RELATORIO_03!$O$3,LANÇAMENTOS_02!$K:$K,"&lt;="&amp;RELATORIO_03!$P$14),SUMIFS(LANÇAMENTOS_02!$J:$J,LANÇAMENTOS_02!$C:$C,AUX_03!L109,LANÇAMENTOS_02!$K:$K,"&gt;="&amp;RELATORIO_03!$O$3,LANÇAMENTOS_02!$K:$K,"&lt;="&amp;RELATORIO_03!$P$14,LANÇAMENTOS_02!$H:$H,RELATORIO_03!$N$1)))</f>
        <v>0</v>
      </c>
    </row>
    <row r="110" spans="2:13" x14ac:dyDescent="0.25">
      <c r="B110" s="31"/>
      <c r="F110" s="32"/>
      <c r="I110" s="32"/>
      <c r="J110">
        <f ca="1">IFERROR(LOOKUP(1,1/(COUNTIF($J$1:J109,INDIRECT("CADASTRO_01!$B$2:B"&amp;COUNTA(CADASTRO_01!A:A)))=0),INDIRECT("CADASTRO_01!$B$2:B"&amp;COUNTA(CADASTRO_01!A:A))),0)</f>
        <v>0</v>
      </c>
      <c r="K110">
        <f ca="1">IF(RELATORIO_03!$O$1=1,(IF(RELATORIO_03!$N$1="Todos",SUMIFS(LANÇAMENTOS_01!$J:$J,LANÇAMENTOS_01!$L:$L,"&lt;&gt;"&amp;$I$1,LANÇAMENTOS_01!$C:$C,AUX_03!J110,LANÇAMENTOS_01!$L:$L,"&gt;="&amp;RELATORIO_03!$O$3,LANÇAMENTOS_01!$L:$L,"&lt;="&amp;RELATORIO_03!$P$14),SUMIFS(LANÇAMENTOS_01!$J:$J,LANÇAMENTOS_01!$C:$C,AUX_03!J110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110,LANÇAMENTOS_01!$K:$K,"&gt;="&amp;RELATORIO_03!$O$3,LANÇAMENTOS_01!$K:$K,"&lt;="&amp;RELATORIO_03!$P$14),SUMIFS(LANÇAMENTOS_01!$J:$J,LANÇAMENTOS_01!$C:$C,AUX_03!J110,LANÇAMENTOS_01!$K:$K,"&gt;="&amp;RELATORIO_03!$O$3,LANÇAMENTOS_01!$K:$K,"&lt;="&amp;RELATORIO_03!$P$14,LANÇAMENTOS_01!$H:$H,RELATORIO_03!$N$1)))</f>
        <v>0</v>
      </c>
      <c r="L110">
        <f ca="1">IFERROR(LOOKUP(1,1/(COUNTIF($L$1:L109,INDIRECT("CADASTRO_02!$B$2:B"&amp;COUNTA(CADASTRO_02!A:A)))=0),INDIRECT("CADASTRO_02!$B$2:B"&amp;COUNTA(CADASTRO_02!A:A))),0)</f>
        <v>0</v>
      </c>
      <c r="M110">
        <f ca="1">IF(RELATORIO_03!$O$1=1,(IF(RELATORIO_03!$N$1="Todos",SUMIFS(LANÇAMENTOS_02!$J:$J,LANÇAMENTOS_02!$L:$L,"&lt;&gt;"&amp;$I$1,LANÇAMENTOS_02!$C:$C,AUX_03!L110,LANÇAMENTOS_02!$L:$L,"&gt;="&amp;RELATORIO_03!$O$3,LANÇAMENTOS_02!$L:$L,"&lt;="&amp;RELATORIO_03!$P$14),SUMIFS(LANÇAMENTOS_02!$J:$J,LANÇAMENTOS_02!$C:$C,AUX_03!L110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110,LANÇAMENTOS_02!$K:$K,"&gt;="&amp;RELATORIO_03!$O$3,LANÇAMENTOS_02!$K:$K,"&lt;="&amp;RELATORIO_03!$P$14),SUMIFS(LANÇAMENTOS_02!$J:$J,LANÇAMENTOS_02!$C:$C,AUX_03!L110,LANÇAMENTOS_02!$K:$K,"&gt;="&amp;RELATORIO_03!$O$3,LANÇAMENTOS_02!$K:$K,"&lt;="&amp;RELATORIO_03!$P$14,LANÇAMENTOS_02!$H:$H,RELATORIO_03!$N$1)))</f>
        <v>0</v>
      </c>
    </row>
    <row r="111" spans="2:13" x14ac:dyDescent="0.25">
      <c r="B111" s="31"/>
      <c r="F111" s="32"/>
      <c r="I111" s="32"/>
      <c r="J111">
        <f ca="1">IFERROR(LOOKUP(1,1/(COUNTIF($J$1:J110,INDIRECT("CADASTRO_01!$B$2:B"&amp;COUNTA(CADASTRO_01!A:A)))=0),INDIRECT("CADASTRO_01!$B$2:B"&amp;COUNTA(CADASTRO_01!A:A))),0)</f>
        <v>0</v>
      </c>
      <c r="K111">
        <f ca="1">IF(RELATORIO_03!$O$1=1,(IF(RELATORIO_03!$N$1="Todos",SUMIFS(LANÇAMENTOS_01!$J:$J,LANÇAMENTOS_01!$L:$L,"&lt;&gt;"&amp;$I$1,LANÇAMENTOS_01!$C:$C,AUX_03!J111,LANÇAMENTOS_01!$L:$L,"&gt;="&amp;RELATORIO_03!$O$3,LANÇAMENTOS_01!$L:$L,"&lt;="&amp;RELATORIO_03!$P$14),SUMIFS(LANÇAMENTOS_01!$J:$J,LANÇAMENTOS_01!$C:$C,AUX_03!J111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111,LANÇAMENTOS_01!$K:$K,"&gt;="&amp;RELATORIO_03!$O$3,LANÇAMENTOS_01!$K:$K,"&lt;="&amp;RELATORIO_03!$P$14),SUMIFS(LANÇAMENTOS_01!$J:$J,LANÇAMENTOS_01!$C:$C,AUX_03!J111,LANÇAMENTOS_01!$K:$K,"&gt;="&amp;RELATORIO_03!$O$3,LANÇAMENTOS_01!$K:$K,"&lt;="&amp;RELATORIO_03!$P$14,LANÇAMENTOS_01!$H:$H,RELATORIO_03!$N$1)))</f>
        <v>0</v>
      </c>
      <c r="L111">
        <f ca="1">IFERROR(LOOKUP(1,1/(COUNTIF($L$1:L110,INDIRECT("CADASTRO_02!$B$2:B"&amp;COUNTA(CADASTRO_02!A:A)))=0),INDIRECT("CADASTRO_02!$B$2:B"&amp;COUNTA(CADASTRO_02!A:A))),0)</f>
        <v>0</v>
      </c>
      <c r="M111">
        <f ca="1">IF(RELATORIO_03!$O$1=1,(IF(RELATORIO_03!$N$1="Todos",SUMIFS(LANÇAMENTOS_02!$J:$J,LANÇAMENTOS_02!$L:$L,"&lt;&gt;"&amp;$I$1,LANÇAMENTOS_02!$C:$C,AUX_03!L111,LANÇAMENTOS_02!$L:$L,"&gt;="&amp;RELATORIO_03!$O$3,LANÇAMENTOS_02!$L:$L,"&lt;="&amp;RELATORIO_03!$P$14),SUMIFS(LANÇAMENTOS_02!$J:$J,LANÇAMENTOS_02!$C:$C,AUX_03!L111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111,LANÇAMENTOS_02!$K:$K,"&gt;="&amp;RELATORIO_03!$O$3,LANÇAMENTOS_02!$K:$K,"&lt;="&amp;RELATORIO_03!$P$14),SUMIFS(LANÇAMENTOS_02!$J:$J,LANÇAMENTOS_02!$C:$C,AUX_03!L111,LANÇAMENTOS_02!$K:$K,"&gt;="&amp;RELATORIO_03!$O$3,LANÇAMENTOS_02!$K:$K,"&lt;="&amp;RELATORIO_03!$P$14,LANÇAMENTOS_02!$H:$H,RELATORIO_03!$N$1)))</f>
        <v>0</v>
      </c>
    </row>
    <row r="112" spans="2:13" x14ac:dyDescent="0.25">
      <c r="B112" s="31"/>
      <c r="F112" s="32"/>
      <c r="I112" s="32"/>
      <c r="J112">
        <f ca="1">IFERROR(LOOKUP(1,1/(COUNTIF($J$1:J111,INDIRECT("CADASTRO_01!$B$2:B"&amp;COUNTA(CADASTRO_01!A:A)))=0),INDIRECT("CADASTRO_01!$B$2:B"&amp;COUNTA(CADASTRO_01!A:A))),0)</f>
        <v>0</v>
      </c>
      <c r="K112">
        <f ca="1">IF(RELATORIO_03!$O$1=1,(IF(RELATORIO_03!$N$1="Todos",SUMIFS(LANÇAMENTOS_01!$J:$J,LANÇAMENTOS_01!$L:$L,"&lt;&gt;"&amp;$I$1,LANÇAMENTOS_01!$C:$C,AUX_03!J112,LANÇAMENTOS_01!$L:$L,"&gt;="&amp;RELATORIO_03!$O$3,LANÇAMENTOS_01!$L:$L,"&lt;="&amp;RELATORIO_03!$P$14),SUMIFS(LANÇAMENTOS_01!$J:$J,LANÇAMENTOS_01!$C:$C,AUX_03!J112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112,LANÇAMENTOS_01!$K:$K,"&gt;="&amp;RELATORIO_03!$O$3,LANÇAMENTOS_01!$K:$K,"&lt;="&amp;RELATORIO_03!$P$14),SUMIFS(LANÇAMENTOS_01!$J:$J,LANÇAMENTOS_01!$C:$C,AUX_03!J112,LANÇAMENTOS_01!$K:$K,"&gt;="&amp;RELATORIO_03!$O$3,LANÇAMENTOS_01!$K:$K,"&lt;="&amp;RELATORIO_03!$P$14,LANÇAMENTOS_01!$H:$H,RELATORIO_03!$N$1)))</f>
        <v>0</v>
      </c>
      <c r="L112">
        <f ca="1">IFERROR(LOOKUP(1,1/(COUNTIF($L$1:L111,INDIRECT("CADASTRO_02!$B$2:B"&amp;COUNTA(CADASTRO_02!A:A)))=0),INDIRECT("CADASTRO_02!$B$2:B"&amp;COUNTA(CADASTRO_02!A:A))),0)</f>
        <v>0</v>
      </c>
      <c r="M112">
        <f ca="1">IF(RELATORIO_03!$O$1=1,(IF(RELATORIO_03!$N$1="Todos",SUMIFS(LANÇAMENTOS_02!$J:$J,LANÇAMENTOS_02!$L:$L,"&lt;&gt;"&amp;$I$1,LANÇAMENTOS_02!$C:$C,AUX_03!L112,LANÇAMENTOS_02!$L:$L,"&gt;="&amp;RELATORIO_03!$O$3,LANÇAMENTOS_02!$L:$L,"&lt;="&amp;RELATORIO_03!$P$14),SUMIFS(LANÇAMENTOS_02!$J:$J,LANÇAMENTOS_02!$C:$C,AUX_03!L112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112,LANÇAMENTOS_02!$K:$K,"&gt;="&amp;RELATORIO_03!$O$3,LANÇAMENTOS_02!$K:$K,"&lt;="&amp;RELATORIO_03!$P$14),SUMIFS(LANÇAMENTOS_02!$J:$J,LANÇAMENTOS_02!$C:$C,AUX_03!L112,LANÇAMENTOS_02!$K:$K,"&gt;="&amp;RELATORIO_03!$O$3,LANÇAMENTOS_02!$K:$K,"&lt;="&amp;RELATORIO_03!$P$14,LANÇAMENTOS_02!$H:$H,RELATORIO_03!$N$1)))</f>
        <v>0</v>
      </c>
    </row>
    <row r="113" spans="2:13" x14ac:dyDescent="0.25">
      <c r="B113" s="31"/>
      <c r="F113" s="32"/>
      <c r="I113" s="32"/>
      <c r="J113">
        <f ca="1">IFERROR(LOOKUP(1,1/(COUNTIF($J$1:J112,INDIRECT("CADASTRO_01!$B$2:B"&amp;COUNTA(CADASTRO_01!A:A)))=0),INDIRECT("CADASTRO_01!$B$2:B"&amp;COUNTA(CADASTRO_01!A:A))),0)</f>
        <v>0</v>
      </c>
      <c r="K113">
        <f ca="1">IF(RELATORIO_03!$O$1=1,(IF(RELATORIO_03!$N$1="Todos",SUMIFS(LANÇAMENTOS_01!$J:$J,LANÇAMENTOS_01!$L:$L,"&lt;&gt;"&amp;$I$1,LANÇAMENTOS_01!$C:$C,AUX_03!J113,LANÇAMENTOS_01!$L:$L,"&gt;="&amp;RELATORIO_03!$O$3,LANÇAMENTOS_01!$L:$L,"&lt;="&amp;RELATORIO_03!$P$14),SUMIFS(LANÇAMENTOS_01!$J:$J,LANÇAMENTOS_01!$C:$C,AUX_03!J113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113,LANÇAMENTOS_01!$K:$K,"&gt;="&amp;RELATORIO_03!$O$3,LANÇAMENTOS_01!$K:$K,"&lt;="&amp;RELATORIO_03!$P$14),SUMIFS(LANÇAMENTOS_01!$J:$J,LANÇAMENTOS_01!$C:$C,AUX_03!J113,LANÇAMENTOS_01!$K:$K,"&gt;="&amp;RELATORIO_03!$O$3,LANÇAMENTOS_01!$K:$K,"&lt;="&amp;RELATORIO_03!$P$14,LANÇAMENTOS_01!$H:$H,RELATORIO_03!$N$1)))</f>
        <v>0</v>
      </c>
      <c r="L113">
        <f ca="1">IFERROR(LOOKUP(1,1/(COUNTIF($L$1:L112,INDIRECT("CADASTRO_02!$B$2:B"&amp;COUNTA(CADASTRO_02!A:A)))=0),INDIRECT("CADASTRO_02!$B$2:B"&amp;COUNTA(CADASTRO_02!A:A))),0)</f>
        <v>0</v>
      </c>
      <c r="M113">
        <f ca="1">IF(RELATORIO_03!$O$1=1,(IF(RELATORIO_03!$N$1="Todos",SUMIFS(LANÇAMENTOS_02!$J:$J,LANÇAMENTOS_02!$L:$L,"&lt;&gt;"&amp;$I$1,LANÇAMENTOS_02!$C:$C,AUX_03!L113,LANÇAMENTOS_02!$L:$L,"&gt;="&amp;RELATORIO_03!$O$3,LANÇAMENTOS_02!$L:$L,"&lt;="&amp;RELATORIO_03!$P$14),SUMIFS(LANÇAMENTOS_02!$J:$J,LANÇAMENTOS_02!$C:$C,AUX_03!L113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113,LANÇAMENTOS_02!$K:$K,"&gt;="&amp;RELATORIO_03!$O$3,LANÇAMENTOS_02!$K:$K,"&lt;="&amp;RELATORIO_03!$P$14),SUMIFS(LANÇAMENTOS_02!$J:$J,LANÇAMENTOS_02!$C:$C,AUX_03!L113,LANÇAMENTOS_02!$K:$K,"&gt;="&amp;RELATORIO_03!$O$3,LANÇAMENTOS_02!$K:$K,"&lt;="&amp;RELATORIO_03!$P$14,LANÇAMENTOS_02!$H:$H,RELATORIO_03!$N$1)))</f>
        <v>0</v>
      </c>
    </row>
    <row r="114" spans="2:13" x14ac:dyDescent="0.25">
      <c r="B114" s="31"/>
      <c r="F114" s="32"/>
      <c r="I114" s="32"/>
      <c r="J114">
        <f ca="1">IFERROR(LOOKUP(1,1/(COUNTIF($J$1:J113,INDIRECT("CADASTRO_01!$B$2:B"&amp;COUNTA(CADASTRO_01!A:A)))=0),INDIRECT("CADASTRO_01!$B$2:B"&amp;COUNTA(CADASTRO_01!A:A))),0)</f>
        <v>0</v>
      </c>
      <c r="K114">
        <f ca="1">IF(RELATORIO_03!$O$1=1,(IF(RELATORIO_03!$N$1="Todos",SUMIFS(LANÇAMENTOS_01!$J:$J,LANÇAMENTOS_01!$L:$L,"&lt;&gt;"&amp;$I$1,LANÇAMENTOS_01!$C:$C,AUX_03!J114,LANÇAMENTOS_01!$L:$L,"&gt;="&amp;RELATORIO_03!$O$3,LANÇAMENTOS_01!$L:$L,"&lt;="&amp;RELATORIO_03!$P$14),SUMIFS(LANÇAMENTOS_01!$J:$J,LANÇAMENTOS_01!$C:$C,AUX_03!J114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114,LANÇAMENTOS_01!$K:$K,"&gt;="&amp;RELATORIO_03!$O$3,LANÇAMENTOS_01!$K:$K,"&lt;="&amp;RELATORIO_03!$P$14),SUMIFS(LANÇAMENTOS_01!$J:$J,LANÇAMENTOS_01!$C:$C,AUX_03!J114,LANÇAMENTOS_01!$K:$K,"&gt;="&amp;RELATORIO_03!$O$3,LANÇAMENTOS_01!$K:$K,"&lt;="&amp;RELATORIO_03!$P$14,LANÇAMENTOS_01!$H:$H,RELATORIO_03!$N$1)))</f>
        <v>0</v>
      </c>
      <c r="L114">
        <f ca="1">IFERROR(LOOKUP(1,1/(COUNTIF($L$1:L113,INDIRECT("CADASTRO_02!$B$2:B"&amp;COUNTA(CADASTRO_02!A:A)))=0),INDIRECT("CADASTRO_02!$B$2:B"&amp;COUNTA(CADASTRO_02!A:A))),0)</f>
        <v>0</v>
      </c>
      <c r="M114">
        <f ca="1">IF(RELATORIO_03!$O$1=1,(IF(RELATORIO_03!$N$1="Todos",SUMIFS(LANÇAMENTOS_02!$J:$J,LANÇAMENTOS_02!$L:$L,"&lt;&gt;"&amp;$I$1,LANÇAMENTOS_02!$C:$C,AUX_03!L114,LANÇAMENTOS_02!$L:$L,"&gt;="&amp;RELATORIO_03!$O$3,LANÇAMENTOS_02!$L:$L,"&lt;="&amp;RELATORIO_03!$P$14),SUMIFS(LANÇAMENTOS_02!$J:$J,LANÇAMENTOS_02!$C:$C,AUX_03!L114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114,LANÇAMENTOS_02!$K:$K,"&gt;="&amp;RELATORIO_03!$O$3,LANÇAMENTOS_02!$K:$K,"&lt;="&amp;RELATORIO_03!$P$14),SUMIFS(LANÇAMENTOS_02!$J:$J,LANÇAMENTOS_02!$C:$C,AUX_03!L114,LANÇAMENTOS_02!$K:$K,"&gt;="&amp;RELATORIO_03!$O$3,LANÇAMENTOS_02!$K:$K,"&lt;="&amp;RELATORIO_03!$P$14,LANÇAMENTOS_02!$H:$H,RELATORIO_03!$N$1)))</f>
        <v>0</v>
      </c>
    </row>
    <row r="115" spans="2:13" x14ac:dyDescent="0.25">
      <c r="B115" s="31"/>
      <c r="F115" s="32"/>
      <c r="I115" s="32"/>
      <c r="J115">
        <f ca="1">IFERROR(LOOKUP(1,1/(COUNTIF($J$1:J114,INDIRECT("CADASTRO_01!$B$2:B"&amp;COUNTA(CADASTRO_01!A:A)))=0),INDIRECT("CADASTRO_01!$B$2:B"&amp;COUNTA(CADASTRO_01!A:A))),0)</f>
        <v>0</v>
      </c>
      <c r="K115">
        <f ca="1">IF(RELATORIO_03!$O$1=1,(IF(RELATORIO_03!$N$1="Todos",SUMIFS(LANÇAMENTOS_01!$J:$J,LANÇAMENTOS_01!$L:$L,"&lt;&gt;"&amp;$I$1,LANÇAMENTOS_01!$C:$C,AUX_03!J115,LANÇAMENTOS_01!$L:$L,"&gt;="&amp;RELATORIO_03!$O$3,LANÇAMENTOS_01!$L:$L,"&lt;="&amp;RELATORIO_03!$P$14),SUMIFS(LANÇAMENTOS_01!$J:$J,LANÇAMENTOS_01!$C:$C,AUX_03!J115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115,LANÇAMENTOS_01!$K:$K,"&gt;="&amp;RELATORIO_03!$O$3,LANÇAMENTOS_01!$K:$K,"&lt;="&amp;RELATORIO_03!$P$14),SUMIFS(LANÇAMENTOS_01!$J:$J,LANÇAMENTOS_01!$C:$C,AUX_03!J115,LANÇAMENTOS_01!$K:$K,"&gt;="&amp;RELATORIO_03!$O$3,LANÇAMENTOS_01!$K:$K,"&lt;="&amp;RELATORIO_03!$P$14,LANÇAMENTOS_01!$H:$H,RELATORIO_03!$N$1)))</f>
        <v>0</v>
      </c>
      <c r="L115">
        <f ca="1">IFERROR(LOOKUP(1,1/(COUNTIF($L$1:L114,INDIRECT("CADASTRO_02!$B$2:B"&amp;COUNTA(CADASTRO_02!A:A)))=0),INDIRECT("CADASTRO_02!$B$2:B"&amp;COUNTA(CADASTRO_02!A:A))),0)</f>
        <v>0</v>
      </c>
      <c r="M115">
        <f ca="1">IF(RELATORIO_03!$O$1=1,(IF(RELATORIO_03!$N$1="Todos",SUMIFS(LANÇAMENTOS_02!$J:$J,LANÇAMENTOS_02!$L:$L,"&lt;&gt;"&amp;$I$1,LANÇAMENTOS_02!$C:$C,AUX_03!L115,LANÇAMENTOS_02!$L:$L,"&gt;="&amp;RELATORIO_03!$O$3,LANÇAMENTOS_02!$L:$L,"&lt;="&amp;RELATORIO_03!$P$14),SUMIFS(LANÇAMENTOS_02!$J:$J,LANÇAMENTOS_02!$C:$C,AUX_03!L115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115,LANÇAMENTOS_02!$K:$K,"&gt;="&amp;RELATORIO_03!$O$3,LANÇAMENTOS_02!$K:$K,"&lt;="&amp;RELATORIO_03!$P$14),SUMIFS(LANÇAMENTOS_02!$J:$J,LANÇAMENTOS_02!$C:$C,AUX_03!L115,LANÇAMENTOS_02!$K:$K,"&gt;="&amp;RELATORIO_03!$O$3,LANÇAMENTOS_02!$K:$K,"&lt;="&amp;RELATORIO_03!$P$14,LANÇAMENTOS_02!$H:$H,RELATORIO_03!$N$1)))</f>
        <v>0</v>
      </c>
    </row>
    <row r="116" spans="2:13" x14ac:dyDescent="0.25">
      <c r="B116" s="31"/>
      <c r="F116" s="32"/>
      <c r="I116" s="32"/>
      <c r="J116">
        <f ca="1">IFERROR(LOOKUP(1,1/(COUNTIF($J$1:J115,INDIRECT("CADASTRO_01!$B$2:B"&amp;COUNTA(CADASTRO_01!A:A)))=0),INDIRECT("CADASTRO_01!$B$2:B"&amp;COUNTA(CADASTRO_01!A:A))),0)</f>
        <v>0</v>
      </c>
      <c r="K116">
        <f ca="1">IF(RELATORIO_03!$O$1=1,(IF(RELATORIO_03!$N$1="Todos",SUMIFS(LANÇAMENTOS_01!$J:$J,LANÇAMENTOS_01!$L:$L,"&lt;&gt;"&amp;$I$1,LANÇAMENTOS_01!$C:$C,AUX_03!J116,LANÇAMENTOS_01!$L:$L,"&gt;="&amp;RELATORIO_03!$O$3,LANÇAMENTOS_01!$L:$L,"&lt;="&amp;RELATORIO_03!$P$14),SUMIFS(LANÇAMENTOS_01!$J:$J,LANÇAMENTOS_01!$C:$C,AUX_03!J116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116,LANÇAMENTOS_01!$K:$K,"&gt;="&amp;RELATORIO_03!$O$3,LANÇAMENTOS_01!$K:$K,"&lt;="&amp;RELATORIO_03!$P$14),SUMIFS(LANÇAMENTOS_01!$J:$J,LANÇAMENTOS_01!$C:$C,AUX_03!J116,LANÇAMENTOS_01!$K:$K,"&gt;="&amp;RELATORIO_03!$O$3,LANÇAMENTOS_01!$K:$K,"&lt;="&amp;RELATORIO_03!$P$14,LANÇAMENTOS_01!$H:$H,RELATORIO_03!$N$1)))</f>
        <v>0</v>
      </c>
      <c r="L116">
        <f ca="1">IFERROR(LOOKUP(1,1/(COUNTIF($L$1:L115,INDIRECT("CADASTRO_02!$B$2:B"&amp;COUNTA(CADASTRO_02!A:A)))=0),INDIRECT("CADASTRO_02!$B$2:B"&amp;COUNTA(CADASTRO_02!A:A))),0)</f>
        <v>0</v>
      </c>
      <c r="M116">
        <f ca="1">IF(RELATORIO_03!$O$1=1,(IF(RELATORIO_03!$N$1="Todos",SUMIFS(LANÇAMENTOS_02!$J:$J,LANÇAMENTOS_02!$L:$L,"&lt;&gt;"&amp;$I$1,LANÇAMENTOS_02!$C:$C,AUX_03!L116,LANÇAMENTOS_02!$L:$L,"&gt;="&amp;RELATORIO_03!$O$3,LANÇAMENTOS_02!$L:$L,"&lt;="&amp;RELATORIO_03!$P$14),SUMIFS(LANÇAMENTOS_02!$J:$J,LANÇAMENTOS_02!$C:$C,AUX_03!L116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116,LANÇAMENTOS_02!$K:$K,"&gt;="&amp;RELATORIO_03!$O$3,LANÇAMENTOS_02!$K:$K,"&lt;="&amp;RELATORIO_03!$P$14),SUMIFS(LANÇAMENTOS_02!$J:$J,LANÇAMENTOS_02!$C:$C,AUX_03!L116,LANÇAMENTOS_02!$K:$K,"&gt;="&amp;RELATORIO_03!$O$3,LANÇAMENTOS_02!$K:$K,"&lt;="&amp;RELATORIO_03!$P$14,LANÇAMENTOS_02!$H:$H,RELATORIO_03!$N$1)))</f>
        <v>0</v>
      </c>
    </row>
    <row r="117" spans="2:13" x14ac:dyDescent="0.25">
      <c r="B117" s="31"/>
      <c r="F117" s="32"/>
      <c r="I117" s="32"/>
      <c r="J117">
        <f ca="1">IFERROR(LOOKUP(1,1/(COUNTIF($J$1:J116,INDIRECT("CADASTRO_01!$B$2:B"&amp;COUNTA(CADASTRO_01!A:A)))=0),INDIRECT("CADASTRO_01!$B$2:B"&amp;COUNTA(CADASTRO_01!A:A))),0)</f>
        <v>0</v>
      </c>
      <c r="K117">
        <f ca="1">IF(RELATORIO_03!$O$1=1,(IF(RELATORIO_03!$N$1="Todos",SUMIFS(LANÇAMENTOS_01!$J:$J,LANÇAMENTOS_01!$L:$L,"&lt;&gt;"&amp;$I$1,LANÇAMENTOS_01!$C:$C,AUX_03!J117,LANÇAMENTOS_01!$L:$L,"&gt;="&amp;RELATORIO_03!$O$3,LANÇAMENTOS_01!$L:$L,"&lt;="&amp;RELATORIO_03!$P$14),SUMIFS(LANÇAMENTOS_01!$J:$J,LANÇAMENTOS_01!$C:$C,AUX_03!J117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117,LANÇAMENTOS_01!$K:$K,"&gt;="&amp;RELATORIO_03!$O$3,LANÇAMENTOS_01!$K:$K,"&lt;="&amp;RELATORIO_03!$P$14),SUMIFS(LANÇAMENTOS_01!$J:$J,LANÇAMENTOS_01!$C:$C,AUX_03!J117,LANÇAMENTOS_01!$K:$K,"&gt;="&amp;RELATORIO_03!$O$3,LANÇAMENTOS_01!$K:$K,"&lt;="&amp;RELATORIO_03!$P$14,LANÇAMENTOS_01!$H:$H,RELATORIO_03!$N$1)))</f>
        <v>0</v>
      </c>
      <c r="L117">
        <f ca="1">IFERROR(LOOKUP(1,1/(COUNTIF($L$1:L116,INDIRECT("CADASTRO_02!$B$2:B"&amp;COUNTA(CADASTRO_02!A:A)))=0),INDIRECT("CADASTRO_02!$B$2:B"&amp;COUNTA(CADASTRO_02!A:A))),0)</f>
        <v>0</v>
      </c>
      <c r="M117">
        <f ca="1">IF(RELATORIO_03!$O$1=1,(IF(RELATORIO_03!$N$1="Todos",SUMIFS(LANÇAMENTOS_02!$J:$J,LANÇAMENTOS_02!$L:$L,"&lt;&gt;"&amp;$I$1,LANÇAMENTOS_02!$C:$C,AUX_03!L117,LANÇAMENTOS_02!$L:$L,"&gt;="&amp;RELATORIO_03!$O$3,LANÇAMENTOS_02!$L:$L,"&lt;="&amp;RELATORIO_03!$P$14),SUMIFS(LANÇAMENTOS_02!$J:$J,LANÇAMENTOS_02!$C:$C,AUX_03!L117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117,LANÇAMENTOS_02!$K:$K,"&gt;="&amp;RELATORIO_03!$O$3,LANÇAMENTOS_02!$K:$K,"&lt;="&amp;RELATORIO_03!$P$14),SUMIFS(LANÇAMENTOS_02!$J:$J,LANÇAMENTOS_02!$C:$C,AUX_03!L117,LANÇAMENTOS_02!$K:$K,"&gt;="&amp;RELATORIO_03!$O$3,LANÇAMENTOS_02!$K:$K,"&lt;="&amp;RELATORIO_03!$P$14,LANÇAMENTOS_02!$H:$H,RELATORIO_03!$N$1)))</f>
        <v>0</v>
      </c>
    </row>
    <row r="118" spans="2:13" x14ac:dyDescent="0.25">
      <c r="B118" s="31"/>
      <c r="F118" s="32"/>
      <c r="I118" s="32"/>
      <c r="J118">
        <f ca="1">IFERROR(LOOKUP(1,1/(COUNTIF($J$1:J117,INDIRECT("CADASTRO_01!$B$2:B"&amp;COUNTA(CADASTRO_01!A:A)))=0),INDIRECT("CADASTRO_01!$B$2:B"&amp;COUNTA(CADASTRO_01!A:A))),0)</f>
        <v>0</v>
      </c>
      <c r="K118">
        <f ca="1">IF(RELATORIO_03!$O$1=1,(IF(RELATORIO_03!$N$1="Todos",SUMIFS(LANÇAMENTOS_01!$J:$J,LANÇAMENTOS_01!$L:$L,"&lt;&gt;"&amp;$I$1,LANÇAMENTOS_01!$C:$C,AUX_03!J118,LANÇAMENTOS_01!$L:$L,"&gt;="&amp;RELATORIO_03!$O$3,LANÇAMENTOS_01!$L:$L,"&lt;="&amp;RELATORIO_03!$P$14),SUMIFS(LANÇAMENTOS_01!$J:$J,LANÇAMENTOS_01!$C:$C,AUX_03!J118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118,LANÇAMENTOS_01!$K:$K,"&gt;="&amp;RELATORIO_03!$O$3,LANÇAMENTOS_01!$K:$K,"&lt;="&amp;RELATORIO_03!$P$14),SUMIFS(LANÇAMENTOS_01!$J:$J,LANÇAMENTOS_01!$C:$C,AUX_03!J118,LANÇAMENTOS_01!$K:$K,"&gt;="&amp;RELATORIO_03!$O$3,LANÇAMENTOS_01!$K:$K,"&lt;="&amp;RELATORIO_03!$P$14,LANÇAMENTOS_01!$H:$H,RELATORIO_03!$N$1)))</f>
        <v>0</v>
      </c>
      <c r="L118">
        <f ca="1">IFERROR(LOOKUP(1,1/(COUNTIF($L$1:L117,INDIRECT("CADASTRO_02!$B$2:B"&amp;COUNTA(CADASTRO_02!A:A)))=0),INDIRECT("CADASTRO_02!$B$2:B"&amp;COUNTA(CADASTRO_02!A:A))),0)</f>
        <v>0</v>
      </c>
      <c r="M118">
        <f ca="1">IF(RELATORIO_03!$O$1=1,(IF(RELATORIO_03!$N$1="Todos",SUMIFS(LANÇAMENTOS_02!$J:$J,LANÇAMENTOS_02!$L:$L,"&lt;&gt;"&amp;$I$1,LANÇAMENTOS_02!$C:$C,AUX_03!L118,LANÇAMENTOS_02!$L:$L,"&gt;="&amp;RELATORIO_03!$O$3,LANÇAMENTOS_02!$L:$L,"&lt;="&amp;RELATORIO_03!$P$14),SUMIFS(LANÇAMENTOS_02!$J:$J,LANÇAMENTOS_02!$C:$C,AUX_03!L118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118,LANÇAMENTOS_02!$K:$K,"&gt;="&amp;RELATORIO_03!$O$3,LANÇAMENTOS_02!$K:$K,"&lt;="&amp;RELATORIO_03!$P$14),SUMIFS(LANÇAMENTOS_02!$J:$J,LANÇAMENTOS_02!$C:$C,AUX_03!L118,LANÇAMENTOS_02!$K:$K,"&gt;="&amp;RELATORIO_03!$O$3,LANÇAMENTOS_02!$K:$K,"&lt;="&amp;RELATORIO_03!$P$14,LANÇAMENTOS_02!$H:$H,RELATORIO_03!$N$1)))</f>
        <v>0</v>
      </c>
    </row>
    <row r="119" spans="2:13" x14ac:dyDescent="0.25">
      <c r="B119" s="31"/>
      <c r="F119" s="32"/>
      <c r="I119" s="32"/>
      <c r="J119">
        <f ca="1">IFERROR(LOOKUP(1,1/(COUNTIF($J$1:J118,INDIRECT("CADASTRO_01!$B$2:B"&amp;COUNTA(CADASTRO_01!A:A)))=0),INDIRECT("CADASTRO_01!$B$2:B"&amp;COUNTA(CADASTRO_01!A:A))),0)</f>
        <v>0</v>
      </c>
      <c r="K119">
        <f ca="1">IF(RELATORIO_03!$O$1=1,(IF(RELATORIO_03!$N$1="Todos",SUMIFS(LANÇAMENTOS_01!$J:$J,LANÇAMENTOS_01!$L:$L,"&lt;&gt;"&amp;$I$1,LANÇAMENTOS_01!$C:$C,AUX_03!J119,LANÇAMENTOS_01!$L:$L,"&gt;="&amp;RELATORIO_03!$O$3,LANÇAMENTOS_01!$L:$L,"&lt;="&amp;RELATORIO_03!$P$14),SUMIFS(LANÇAMENTOS_01!$J:$J,LANÇAMENTOS_01!$C:$C,AUX_03!J119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119,LANÇAMENTOS_01!$K:$K,"&gt;="&amp;RELATORIO_03!$O$3,LANÇAMENTOS_01!$K:$K,"&lt;="&amp;RELATORIO_03!$P$14),SUMIFS(LANÇAMENTOS_01!$J:$J,LANÇAMENTOS_01!$C:$C,AUX_03!J119,LANÇAMENTOS_01!$K:$K,"&gt;="&amp;RELATORIO_03!$O$3,LANÇAMENTOS_01!$K:$K,"&lt;="&amp;RELATORIO_03!$P$14,LANÇAMENTOS_01!$H:$H,RELATORIO_03!$N$1)))</f>
        <v>0</v>
      </c>
      <c r="L119">
        <f ca="1">IFERROR(LOOKUP(1,1/(COUNTIF($L$1:L118,INDIRECT("CADASTRO_02!$B$2:B"&amp;COUNTA(CADASTRO_02!A:A)))=0),INDIRECT("CADASTRO_02!$B$2:B"&amp;COUNTA(CADASTRO_02!A:A))),0)</f>
        <v>0</v>
      </c>
      <c r="M119">
        <f ca="1">IF(RELATORIO_03!$O$1=1,(IF(RELATORIO_03!$N$1="Todos",SUMIFS(LANÇAMENTOS_02!$J:$J,LANÇAMENTOS_02!$L:$L,"&lt;&gt;"&amp;$I$1,LANÇAMENTOS_02!$C:$C,AUX_03!L119,LANÇAMENTOS_02!$L:$L,"&gt;="&amp;RELATORIO_03!$O$3,LANÇAMENTOS_02!$L:$L,"&lt;="&amp;RELATORIO_03!$P$14),SUMIFS(LANÇAMENTOS_02!$J:$J,LANÇAMENTOS_02!$C:$C,AUX_03!L119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119,LANÇAMENTOS_02!$K:$K,"&gt;="&amp;RELATORIO_03!$O$3,LANÇAMENTOS_02!$K:$K,"&lt;="&amp;RELATORIO_03!$P$14),SUMIFS(LANÇAMENTOS_02!$J:$J,LANÇAMENTOS_02!$C:$C,AUX_03!L119,LANÇAMENTOS_02!$K:$K,"&gt;="&amp;RELATORIO_03!$O$3,LANÇAMENTOS_02!$K:$K,"&lt;="&amp;RELATORIO_03!$P$14,LANÇAMENTOS_02!$H:$H,RELATORIO_03!$N$1)))</f>
        <v>0</v>
      </c>
    </row>
    <row r="120" spans="2:13" x14ac:dyDescent="0.25">
      <c r="B120" s="31"/>
      <c r="F120" s="32"/>
      <c r="I120" s="32"/>
      <c r="J120">
        <f ca="1">IFERROR(LOOKUP(1,1/(COUNTIF($J$1:J119,INDIRECT("CADASTRO_01!$B$2:B"&amp;COUNTA(CADASTRO_01!A:A)))=0),INDIRECT("CADASTRO_01!$B$2:B"&amp;COUNTA(CADASTRO_01!A:A))),0)</f>
        <v>0</v>
      </c>
      <c r="K120">
        <f ca="1">IF(RELATORIO_03!$O$1=1,(IF(RELATORIO_03!$N$1="Todos",SUMIFS(LANÇAMENTOS_01!$J:$J,LANÇAMENTOS_01!$L:$L,"&lt;&gt;"&amp;$I$1,LANÇAMENTOS_01!$C:$C,AUX_03!J120,LANÇAMENTOS_01!$L:$L,"&gt;="&amp;RELATORIO_03!$O$3,LANÇAMENTOS_01!$L:$L,"&lt;="&amp;RELATORIO_03!$P$14),SUMIFS(LANÇAMENTOS_01!$J:$J,LANÇAMENTOS_01!$C:$C,AUX_03!J120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120,LANÇAMENTOS_01!$K:$K,"&gt;="&amp;RELATORIO_03!$O$3,LANÇAMENTOS_01!$K:$K,"&lt;="&amp;RELATORIO_03!$P$14),SUMIFS(LANÇAMENTOS_01!$J:$J,LANÇAMENTOS_01!$C:$C,AUX_03!J120,LANÇAMENTOS_01!$K:$K,"&gt;="&amp;RELATORIO_03!$O$3,LANÇAMENTOS_01!$K:$K,"&lt;="&amp;RELATORIO_03!$P$14,LANÇAMENTOS_01!$H:$H,RELATORIO_03!$N$1)))</f>
        <v>0</v>
      </c>
      <c r="L120">
        <f ca="1">IFERROR(LOOKUP(1,1/(COUNTIF($L$1:L119,INDIRECT("CADASTRO_02!$B$2:B"&amp;COUNTA(CADASTRO_02!A:A)))=0),INDIRECT("CADASTRO_02!$B$2:B"&amp;COUNTA(CADASTRO_02!A:A))),0)</f>
        <v>0</v>
      </c>
      <c r="M120">
        <f ca="1">IF(RELATORIO_03!$O$1=1,(IF(RELATORIO_03!$N$1="Todos",SUMIFS(LANÇAMENTOS_02!$J:$J,LANÇAMENTOS_02!$L:$L,"&lt;&gt;"&amp;$I$1,LANÇAMENTOS_02!$C:$C,AUX_03!L120,LANÇAMENTOS_02!$L:$L,"&gt;="&amp;RELATORIO_03!$O$3,LANÇAMENTOS_02!$L:$L,"&lt;="&amp;RELATORIO_03!$P$14),SUMIFS(LANÇAMENTOS_02!$J:$J,LANÇAMENTOS_02!$C:$C,AUX_03!L120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120,LANÇAMENTOS_02!$K:$K,"&gt;="&amp;RELATORIO_03!$O$3,LANÇAMENTOS_02!$K:$K,"&lt;="&amp;RELATORIO_03!$P$14),SUMIFS(LANÇAMENTOS_02!$J:$J,LANÇAMENTOS_02!$C:$C,AUX_03!L120,LANÇAMENTOS_02!$K:$K,"&gt;="&amp;RELATORIO_03!$O$3,LANÇAMENTOS_02!$K:$K,"&lt;="&amp;RELATORIO_03!$P$14,LANÇAMENTOS_02!$H:$H,RELATORIO_03!$N$1)))</f>
        <v>0</v>
      </c>
    </row>
    <row r="121" spans="2:13" x14ac:dyDescent="0.25">
      <c r="B121" s="31"/>
      <c r="F121" s="32"/>
      <c r="I121" s="32"/>
      <c r="J121">
        <f ca="1">IFERROR(LOOKUP(1,1/(COUNTIF($J$1:J120,INDIRECT("CADASTRO_01!$B$2:B"&amp;COUNTA(CADASTRO_01!A:A)))=0),INDIRECT("CADASTRO_01!$B$2:B"&amp;COUNTA(CADASTRO_01!A:A))),0)</f>
        <v>0</v>
      </c>
      <c r="K121">
        <f ca="1">IF(RELATORIO_03!$O$1=1,(IF(RELATORIO_03!$N$1="Todos",SUMIFS(LANÇAMENTOS_01!$J:$J,LANÇAMENTOS_01!$L:$L,"&lt;&gt;"&amp;$I$1,LANÇAMENTOS_01!$C:$C,AUX_03!J121,LANÇAMENTOS_01!$L:$L,"&gt;="&amp;RELATORIO_03!$O$3,LANÇAMENTOS_01!$L:$L,"&lt;="&amp;RELATORIO_03!$P$14),SUMIFS(LANÇAMENTOS_01!$J:$J,LANÇAMENTOS_01!$C:$C,AUX_03!J121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121,LANÇAMENTOS_01!$K:$K,"&gt;="&amp;RELATORIO_03!$O$3,LANÇAMENTOS_01!$K:$K,"&lt;="&amp;RELATORIO_03!$P$14),SUMIFS(LANÇAMENTOS_01!$J:$J,LANÇAMENTOS_01!$C:$C,AUX_03!J121,LANÇAMENTOS_01!$K:$K,"&gt;="&amp;RELATORIO_03!$O$3,LANÇAMENTOS_01!$K:$K,"&lt;="&amp;RELATORIO_03!$P$14,LANÇAMENTOS_01!$H:$H,RELATORIO_03!$N$1)))</f>
        <v>0</v>
      </c>
      <c r="L121">
        <f ca="1">IFERROR(LOOKUP(1,1/(COUNTIF($L$1:L120,INDIRECT("CADASTRO_02!$B$2:B"&amp;COUNTA(CADASTRO_02!A:A)))=0),INDIRECT("CADASTRO_02!$B$2:B"&amp;COUNTA(CADASTRO_02!A:A))),0)</f>
        <v>0</v>
      </c>
      <c r="M121">
        <f ca="1">IF(RELATORIO_03!$O$1=1,(IF(RELATORIO_03!$N$1="Todos",SUMIFS(LANÇAMENTOS_02!$J:$J,LANÇAMENTOS_02!$L:$L,"&lt;&gt;"&amp;$I$1,LANÇAMENTOS_02!$C:$C,AUX_03!L121,LANÇAMENTOS_02!$L:$L,"&gt;="&amp;RELATORIO_03!$O$3,LANÇAMENTOS_02!$L:$L,"&lt;="&amp;RELATORIO_03!$P$14),SUMIFS(LANÇAMENTOS_02!$J:$J,LANÇAMENTOS_02!$C:$C,AUX_03!L121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121,LANÇAMENTOS_02!$K:$K,"&gt;="&amp;RELATORIO_03!$O$3,LANÇAMENTOS_02!$K:$K,"&lt;="&amp;RELATORIO_03!$P$14),SUMIFS(LANÇAMENTOS_02!$J:$J,LANÇAMENTOS_02!$C:$C,AUX_03!L121,LANÇAMENTOS_02!$K:$K,"&gt;="&amp;RELATORIO_03!$O$3,LANÇAMENTOS_02!$K:$K,"&lt;="&amp;RELATORIO_03!$P$14,LANÇAMENTOS_02!$H:$H,RELATORIO_03!$N$1)))</f>
        <v>0</v>
      </c>
    </row>
    <row r="122" spans="2:13" x14ac:dyDescent="0.25">
      <c r="B122" s="31"/>
      <c r="F122" s="32"/>
      <c r="I122" s="32"/>
      <c r="J122">
        <f ca="1">IFERROR(LOOKUP(1,1/(COUNTIF($J$1:J121,INDIRECT("CADASTRO_01!$B$2:B"&amp;COUNTA(CADASTRO_01!A:A)))=0),INDIRECT("CADASTRO_01!$B$2:B"&amp;COUNTA(CADASTRO_01!A:A))),0)</f>
        <v>0</v>
      </c>
      <c r="K122">
        <f ca="1">IF(RELATORIO_03!$O$1=1,(IF(RELATORIO_03!$N$1="Todos",SUMIFS(LANÇAMENTOS_01!$J:$J,LANÇAMENTOS_01!$L:$L,"&lt;&gt;"&amp;$I$1,LANÇAMENTOS_01!$C:$C,AUX_03!J122,LANÇAMENTOS_01!$L:$L,"&gt;="&amp;RELATORIO_03!$O$3,LANÇAMENTOS_01!$L:$L,"&lt;="&amp;RELATORIO_03!$P$14),SUMIFS(LANÇAMENTOS_01!$J:$J,LANÇAMENTOS_01!$C:$C,AUX_03!J122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122,LANÇAMENTOS_01!$K:$K,"&gt;="&amp;RELATORIO_03!$O$3,LANÇAMENTOS_01!$K:$K,"&lt;="&amp;RELATORIO_03!$P$14),SUMIFS(LANÇAMENTOS_01!$J:$J,LANÇAMENTOS_01!$C:$C,AUX_03!J122,LANÇAMENTOS_01!$K:$K,"&gt;="&amp;RELATORIO_03!$O$3,LANÇAMENTOS_01!$K:$K,"&lt;="&amp;RELATORIO_03!$P$14,LANÇAMENTOS_01!$H:$H,RELATORIO_03!$N$1)))</f>
        <v>0</v>
      </c>
      <c r="L122">
        <f ca="1">IFERROR(LOOKUP(1,1/(COUNTIF($L$1:L121,INDIRECT("CADASTRO_02!$B$2:B"&amp;COUNTA(CADASTRO_02!A:A)))=0),INDIRECT("CADASTRO_02!$B$2:B"&amp;COUNTA(CADASTRO_02!A:A))),0)</f>
        <v>0</v>
      </c>
      <c r="M122">
        <f ca="1">IF(RELATORIO_03!$O$1=1,(IF(RELATORIO_03!$N$1="Todos",SUMIFS(LANÇAMENTOS_02!$J:$J,LANÇAMENTOS_02!$L:$L,"&lt;&gt;"&amp;$I$1,LANÇAMENTOS_02!$C:$C,AUX_03!L122,LANÇAMENTOS_02!$L:$L,"&gt;="&amp;RELATORIO_03!$O$3,LANÇAMENTOS_02!$L:$L,"&lt;="&amp;RELATORIO_03!$P$14),SUMIFS(LANÇAMENTOS_02!$J:$J,LANÇAMENTOS_02!$C:$C,AUX_03!L122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122,LANÇAMENTOS_02!$K:$K,"&gt;="&amp;RELATORIO_03!$O$3,LANÇAMENTOS_02!$K:$K,"&lt;="&amp;RELATORIO_03!$P$14),SUMIFS(LANÇAMENTOS_02!$J:$J,LANÇAMENTOS_02!$C:$C,AUX_03!L122,LANÇAMENTOS_02!$K:$K,"&gt;="&amp;RELATORIO_03!$O$3,LANÇAMENTOS_02!$K:$K,"&lt;="&amp;RELATORIO_03!$P$14,LANÇAMENTOS_02!$H:$H,RELATORIO_03!$N$1)))</f>
        <v>0</v>
      </c>
    </row>
    <row r="123" spans="2:13" x14ac:dyDescent="0.25">
      <c r="B123" s="31"/>
      <c r="F123" s="32"/>
      <c r="I123" s="32"/>
      <c r="J123">
        <f ca="1">IFERROR(LOOKUP(1,1/(COUNTIF($J$1:J122,INDIRECT("CADASTRO_01!$B$2:B"&amp;COUNTA(CADASTRO_01!A:A)))=0),INDIRECT("CADASTRO_01!$B$2:B"&amp;COUNTA(CADASTRO_01!A:A))),0)</f>
        <v>0</v>
      </c>
      <c r="K123">
        <f ca="1">IF(RELATORIO_03!$O$1=1,(IF(RELATORIO_03!$N$1="Todos",SUMIFS(LANÇAMENTOS_01!$J:$J,LANÇAMENTOS_01!$L:$L,"&lt;&gt;"&amp;$I$1,LANÇAMENTOS_01!$C:$C,AUX_03!J123,LANÇAMENTOS_01!$L:$L,"&gt;="&amp;RELATORIO_03!$O$3,LANÇAMENTOS_01!$L:$L,"&lt;="&amp;RELATORIO_03!$P$14),SUMIFS(LANÇAMENTOS_01!$J:$J,LANÇAMENTOS_01!$C:$C,AUX_03!J123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123,LANÇAMENTOS_01!$K:$K,"&gt;="&amp;RELATORIO_03!$O$3,LANÇAMENTOS_01!$K:$K,"&lt;="&amp;RELATORIO_03!$P$14),SUMIFS(LANÇAMENTOS_01!$J:$J,LANÇAMENTOS_01!$C:$C,AUX_03!J123,LANÇAMENTOS_01!$K:$K,"&gt;="&amp;RELATORIO_03!$O$3,LANÇAMENTOS_01!$K:$K,"&lt;="&amp;RELATORIO_03!$P$14,LANÇAMENTOS_01!$H:$H,RELATORIO_03!$N$1)))</f>
        <v>0</v>
      </c>
      <c r="L123">
        <f ca="1">IFERROR(LOOKUP(1,1/(COUNTIF($L$1:L122,INDIRECT("CADASTRO_02!$B$2:B"&amp;COUNTA(CADASTRO_02!A:A)))=0),INDIRECT("CADASTRO_02!$B$2:B"&amp;COUNTA(CADASTRO_02!A:A))),0)</f>
        <v>0</v>
      </c>
      <c r="M123">
        <f ca="1">IF(RELATORIO_03!$O$1=1,(IF(RELATORIO_03!$N$1="Todos",SUMIFS(LANÇAMENTOS_02!$J:$J,LANÇAMENTOS_02!$L:$L,"&lt;&gt;"&amp;$I$1,LANÇAMENTOS_02!$C:$C,AUX_03!L123,LANÇAMENTOS_02!$L:$L,"&gt;="&amp;RELATORIO_03!$O$3,LANÇAMENTOS_02!$L:$L,"&lt;="&amp;RELATORIO_03!$P$14),SUMIFS(LANÇAMENTOS_02!$J:$J,LANÇAMENTOS_02!$C:$C,AUX_03!L123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123,LANÇAMENTOS_02!$K:$K,"&gt;="&amp;RELATORIO_03!$O$3,LANÇAMENTOS_02!$K:$K,"&lt;="&amp;RELATORIO_03!$P$14),SUMIFS(LANÇAMENTOS_02!$J:$J,LANÇAMENTOS_02!$C:$C,AUX_03!L123,LANÇAMENTOS_02!$K:$K,"&gt;="&amp;RELATORIO_03!$O$3,LANÇAMENTOS_02!$K:$K,"&lt;="&amp;RELATORIO_03!$P$14,LANÇAMENTOS_02!$H:$H,RELATORIO_03!$N$1)))</f>
        <v>0</v>
      </c>
    </row>
    <row r="124" spans="2:13" x14ac:dyDescent="0.25">
      <c r="B124" s="31"/>
      <c r="F124" s="32"/>
      <c r="I124" s="32"/>
      <c r="J124">
        <f ca="1">IFERROR(LOOKUP(1,1/(COUNTIF($J$1:J123,INDIRECT("CADASTRO_01!$B$2:B"&amp;COUNTA(CADASTRO_01!A:A)))=0),INDIRECT("CADASTRO_01!$B$2:B"&amp;COUNTA(CADASTRO_01!A:A))),0)</f>
        <v>0</v>
      </c>
      <c r="K124">
        <f ca="1">IF(RELATORIO_03!$O$1=1,(IF(RELATORIO_03!$N$1="Todos",SUMIFS(LANÇAMENTOS_01!$J:$J,LANÇAMENTOS_01!$L:$L,"&lt;&gt;"&amp;$I$1,LANÇAMENTOS_01!$C:$C,AUX_03!J124,LANÇAMENTOS_01!$L:$L,"&gt;="&amp;RELATORIO_03!$O$3,LANÇAMENTOS_01!$L:$L,"&lt;="&amp;RELATORIO_03!$P$14),SUMIFS(LANÇAMENTOS_01!$J:$J,LANÇAMENTOS_01!$C:$C,AUX_03!J124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124,LANÇAMENTOS_01!$K:$K,"&gt;="&amp;RELATORIO_03!$O$3,LANÇAMENTOS_01!$K:$K,"&lt;="&amp;RELATORIO_03!$P$14),SUMIFS(LANÇAMENTOS_01!$J:$J,LANÇAMENTOS_01!$C:$C,AUX_03!J124,LANÇAMENTOS_01!$K:$K,"&gt;="&amp;RELATORIO_03!$O$3,LANÇAMENTOS_01!$K:$K,"&lt;="&amp;RELATORIO_03!$P$14,LANÇAMENTOS_01!$H:$H,RELATORIO_03!$N$1)))</f>
        <v>0</v>
      </c>
      <c r="L124">
        <f ca="1">IFERROR(LOOKUP(1,1/(COUNTIF($L$1:L123,INDIRECT("CADASTRO_02!$B$2:B"&amp;COUNTA(CADASTRO_02!A:A)))=0),INDIRECT("CADASTRO_02!$B$2:B"&amp;COUNTA(CADASTRO_02!A:A))),0)</f>
        <v>0</v>
      </c>
      <c r="M124">
        <f ca="1">IF(RELATORIO_03!$O$1=1,(IF(RELATORIO_03!$N$1="Todos",SUMIFS(LANÇAMENTOS_02!$J:$J,LANÇAMENTOS_02!$L:$L,"&lt;&gt;"&amp;$I$1,LANÇAMENTOS_02!$C:$C,AUX_03!L124,LANÇAMENTOS_02!$L:$L,"&gt;="&amp;RELATORIO_03!$O$3,LANÇAMENTOS_02!$L:$L,"&lt;="&amp;RELATORIO_03!$P$14),SUMIFS(LANÇAMENTOS_02!$J:$J,LANÇAMENTOS_02!$C:$C,AUX_03!L124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124,LANÇAMENTOS_02!$K:$K,"&gt;="&amp;RELATORIO_03!$O$3,LANÇAMENTOS_02!$K:$K,"&lt;="&amp;RELATORIO_03!$P$14),SUMIFS(LANÇAMENTOS_02!$J:$J,LANÇAMENTOS_02!$C:$C,AUX_03!L124,LANÇAMENTOS_02!$K:$K,"&gt;="&amp;RELATORIO_03!$O$3,LANÇAMENTOS_02!$K:$K,"&lt;="&amp;RELATORIO_03!$P$14,LANÇAMENTOS_02!$H:$H,RELATORIO_03!$N$1)))</f>
        <v>0</v>
      </c>
    </row>
    <row r="125" spans="2:13" x14ac:dyDescent="0.25">
      <c r="B125" s="31"/>
      <c r="F125" s="32"/>
      <c r="I125" s="32"/>
      <c r="J125">
        <f ca="1">IFERROR(LOOKUP(1,1/(COUNTIF($J$1:J124,INDIRECT("CADASTRO_01!$B$2:B"&amp;COUNTA(CADASTRO_01!A:A)))=0),INDIRECT("CADASTRO_01!$B$2:B"&amp;COUNTA(CADASTRO_01!A:A))),0)</f>
        <v>0</v>
      </c>
      <c r="K125">
        <f ca="1">IF(RELATORIO_03!$O$1=1,(IF(RELATORIO_03!$N$1="Todos",SUMIFS(LANÇAMENTOS_01!$J:$J,LANÇAMENTOS_01!$L:$L,"&lt;&gt;"&amp;$I$1,LANÇAMENTOS_01!$C:$C,AUX_03!J125,LANÇAMENTOS_01!$L:$L,"&gt;="&amp;RELATORIO_03!$O$3,LANÇAMENTOS_01!$L:$L,"&lt;="&amp;RELATORIO_03!$P$14),SUMIFS(LANÇAMENTOS_01!$J:$J,LANÇAMENTOS_01!$C:$C,AUX_03!J125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125,LANÇAMENTOS_01!$K:$K,"&gt;="&amp;RELATORIO_03!$O$3,LANÇAMENTOS_01!$K:$K,"&lt;="&amp;RELATORIO_03!$P$14),SUMIFS(LANÇAMENTOS_01!$J:$J,LANÇAMENTOS_01!$C:$C,AUX_03!J125,LANÇAMENTOS_01!$K:$K,"&gt;="&amp;RELATORIO_03!$O$3,LANÇAMENTOS_01!$K:$K,"&lt;="&amp;RELATORIO_03!$P$14,LANÇAMENTOS_01!$H:$H,RELATORIO_03!$N$1)))</f>
        <v>0</v>
      </c>
      <c r="L125">
        <f ca="1">IFERROR(LOOKUP(1,1/(COUNTIF($L$1:L124,INDIRECT("CADASTRO_02!$B$2:B"&amp;COUNTA(CADASTRO_02!A:A)))=0),INDIRECT("CADASTRO_02!$B$2:B"&amp;COUNTA(CADASTRO_02!A:A))),0)</f>
        <v>0</v>
      </c>
      <c r="M125">
        <f ca="1">IF(RELATORIO_03!$O$1=1,(IF(RELATORIO_03!$N$1="Todos",SUMIFS(LANÇAMENTOS_02!$J:$J,LANÇAMENTOS_02!$L:$L,"&lt;&gt;"&amp;$I$1,LANÇAMENTOS_02!$C:$C,AUX_03!L125,LANÇAMENTOS_02!$L:$L,"&gt;="&amp;RELATORIO_03!$O$3,LANÇAMENTOS_02!$L:$L,"&lt;="&amp;RELATORIO_03!$P$14),SUMIFS(LANÇAMENTOS_02!$J:$J,LANÇAMENTOS_02!$C:$C,AUX_03!L125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125,LANÇAMENTOS_02!$K:$K,"&gt;="&amp;RELATORIO_03!$O$3,LANÇAMENTOS_02!$K:$K,"&lt;="&amp;RELATORIO_03!$P$14),SUMIFS(LANÇAMENTOS_02!$J:$J,LANÇAMENTOS_02!$C:$C,AUX_03!L125,LANÇAMENTOS_02!$K:$K,"&gt;="&amp;RELATORIO_03!$O$3,LANÇAMENTOS_02!$K:$K,"&lt;="&amp;RELATORIO_03!$P$14,LANÇAMENTOS_02!$H:$H,RELATORIO_03!$N$1)))</f>
        <v>0</v>
      </c>
    </row>
    <row r="126" spans="2:13" x14ac:dyDescent="0.25">
      <c r="B126" s="31"/>
      <c r="F126" s="32"/>
      <c r="I126" s="32"/>
      <c r="J126">
        <f ca="1">IFERROR(LOOKUP(1,1/(COUNTIF($J$1:J125,INDIRECT("CADASTRO_01!$B$2:B"&amp;COUNTA(CADASTRO_01!A:A)))=0),INDIRECT("CADASTRO_01!$B$2:B"&amp;COUNTA(CADASTRO_01!A:A))),0)</f>
        <v>0</v>
      </c>
      <c r="K126">
        <f ca="1">IF(RELATORIO_03!$O$1=1,(IF(RELATORIO_03!$N$1="Todos",SUMIFS(LANÇAMENTOS_01!$J:$J,LANÇAMENTOS_01!$L:$L,"&lt;&gt;"&amp;$I$1,LANÇAMENTOS_01!$C:$C,AUX_03!J126,LANÇAMENTOS_01!$L:$L,"&gt;="&amp;RELATORIO_03!$O$3,LANÇAMENTOS_01!$L:$L,"&lt;="&amp;RELATORIO_03!$P$14),SUMIFS(LANÇAMENTOS_01!$J:$J,LANÇAMENTOS_01!$C:$C,AUX_03!J126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126,LANÇAMENTOS_01!$K:$K,"&gt;="&amp;RELATORIO_03!$O$3,LANÇAMENTOS_01!$K:$K,"&lt;="&amp;RELATORIO_03!$P$14),SUMIFS(LANÇAMENTOS_01!$J:$J,LANÇAMENTOS_01!$C:$C,AUX_03!J126,LANÇAMENTOS_01!$K:$K,"&gt;="&amp;RELATORIO_03!$O$3,LANÇAMENTOS_01!$K:$K,"&lt;="&amp;RELATORIO_03!$P$14,LANÇAMENTOS_01!$H:$H,RELATORIO_03!$N$1)))</f>
        <v>0</v>
      </c>
      <c r="L126">
        <f ca="1">IFERROR(LOOKUP(1,1/(COUNTIF($L$1:L125,INDIRECT("CADASTRO_02!$B$2:B"&amp;COUNTA(CADASTRO_02!A:A)))=0),INDIRECT("CADASTRO_02!$B$2:B"&amp;COUNTA(CADASTRO_02!A:A))),0)</f>
        <v>0</v>
      </c>
      <c r="M126">
        <f ca="1">IF(RELATORIO_03!$O$1=1,(IF(RELATORIO_03!$N$1="Todos",SUMIFS(LANÇAMENTOS_02!$J:$J,LANÇAMENTOS_02!$L:$L,"&lt;&gt;"&amp;$I$1,LANÇAMENTOS_02!$C:$C,AUX_03!L126,LANÇAMENTOS_02!$L:$L,"&gt;="&amp;RELATORIO_03!$O$3,LANÇAMENTOS_02!$L:$L,"&lt;="&amp;RELATORIO_03!$P$14),SUMIFS(LANÇAMENTOS_02!$J:$J,LANÇAMENTOS_02!$C:$C,AUX_03!L126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126,LANÇAMENTOS_02!$K:$K,"&gt;="&amp;RELATORIO_03!$O$3,LANÇAMENTOS_02!$K:$K,"&lt;="&amp;RELATORIO_03!$P$14),SUMIFS(LANÇAMENTOS_02!$J:$J,LANÇAMENTOS_02!$C:$C,AUX_03!L126,LANÇAMENTOS_02!$K:$K,"&gt;="&amp;RELATORIO_03!$O$3,LANÇAMENTOS_02!$K:$K,"&lt;="&amp;RELATORIO_03!$P$14,LANÇAMENTOS_02!$H:$H,RELATORIO_03!$N$1)))</f>
        <v>0</v>
      </c>
    </row>
    <row r="127" spans="2:13" x14ac:dyDescent="0.25">
      <c r="B127" s="31"/>
      <c r="F127" s="32"/>
      <c r="I127" s="32"/>
      <c r="J127">
        <f ca="1">IFERROR(LOOKUP(1,1/(COUNTIF($J$1:J126,INDIRECT("CADASTRO_01!$B$2:B"&amp;COUNTA(CADASTRO_01!A:A)))=0),INDIRECT("CADASTRO_01!$B$2:B"&amp;COUNTA(CADASTRO_01!A:A))),0)</f>
        <v>0</v>
      </c>
      <c r="K127">
        <f ca="1">IF(RELATORIO_03!$O$1=1,(IF(RELATORIO_03!$N$1="Todos",SUMIFS(LANÇAMENTOS_01!$J:$J,LANÇAMENTOS_01!$L:$L,"&lt;&gt;"&amp;$I$1,LANÇAMENTOS_01!$C:$C,AUX_03!J127,LANÇAMENTOS_01!$L:$L,"&gt;="&amp;RELATORIO_03!$O$3,LANÇAMENTOS_01!$L:$L,"&lt;="&amp;RELATORIO_03!$P$14),SUMIFS(LANÇAMENTOS_01!$J:$J,LANÇAMENTOS_01!$C:$C,AUX_03!J127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127,LANÇAMENTOS_01!$K:$K,"&gt;="&amp;RELATORIO_03!$O$3,LANÇAMENTOS_01!$K:$K,"&lt;="&amp;RELATORIO_03!$P$14),SUMIFS(LANÇAMENTOS_01!$J:$J,LANÇAMENTOS_01!$C:$C,AUX_03!J127,LANÇAMENTOS_01!$K:$K,"&gt;="&amp;RELATORIO_03!$O$3,LANÇAMENTOS_01!$K:$K,"&lt;="&amp;RELATORIO_03!$P$14,LANÇAMENTOS_01!$H:$H,RELATORIO_03!$N$1)))</f>
        <v>0</v>
      </c>
      <c r="L127">
        <f ca="1">IFERROR(LOOKUP(1,1/(COUNTIF($L$1:L126,INDIRECT("CADASTRO_02!$B$2:B"&amp;COUNTA(CADASTRO_02!A:A)))=0),INDIRECT("CADASTRO_02!$B$2:B"&amp;COUNTA(CADASTRO_02!A:A))),0)</f>
        <v>0</v>
      </c>
      <c r="M127">
        <f ca="1">IF(RELATORIO_03!$O$1=1,(IF(RELATORIO_03!$N$1="Todos",SUMIFS(LANÇAMENTOS_02!$J:$J,LANÇAMENTOS_02!$L:$L,"&lt;&gt;"&amp;$I$1,LANÇAMENTOS_02!$C:$C,AUX_03!L127,LANÇAMENTOS_02!$L:$L,"&gt;="&amp;RELATORIO_03!$O$3,LANÇAMENTOS_02!$L:$L,"&lt;="&amp;RELATORIO_03!$P$14),SUMIFS(LANÇAMENTOS_02!$J:$J,LANÇAMENTOS_02!$C:$C,AUX_03!L127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127,LANÇAMENTOS_02!$K:$K,"&gt;="&amp;RELATORIO_03!$O$3,LANÇAMENTOS_02!$K:$K,"&lt;="&amp;RELATORIO_03!$P$14),SUMIFS(LANÇAMENTOS_02!$J:$J,LANÇAMENTOS_02!$C:$C,AUX_03!L127,LANÇAMENTOS_02!$K:$K,"&gt;="&amp;RELATORIO_03!$O$3,LANÇAMENTOS_02!$K:$K,"&lt;="&amp;RELATORIO_03!$P$14,LANÇAMENTOS_02!$H:$H,RELATORIO_03!$N$1)))</f>
        <v>0</v>
      </c>
    </row>
    <row r="128" spans="2:13" x14ac:dyDescent="0.25">
      <c r="B128" s="31"/>
      <c r="F128" s="32"/>
      <c r="I128" s="32"/>
      <c r="J128">
        <f ca="1">IFERROR(LOOKUP(1,1/(COUNTIF($J$1:J127,INDIRECT("CADASTRO_01!$B$2:B"&amp;COUNTA(CADASTRO_01!A:A)))=0),INDIRECT("CADASTRO_01!$B$2:B"&amp;COUNTA(CADASTRO_01!A:A))),0)</f>
        <v>0</v>
      </c>
      <c r="K128">
        <f ca="1">IF(RELATORIO_03!$O$1=1,(IF(RELATORIO_03!$N$1="Todos",SUMIFS(LANÇAMENTOS_01!$J:$J,LANÇAMENTOS_01!$L:$L,"&lt;&gt;"&amp;$I$1,LANÇAMENTOS_01!$C:$C,AUX_03!J128,LANÇAMENTOS_01!$L:$L,"&gt;="&amp;RELATORIO_03!$O$3,LANÇAMENTOS_01!$L:$L,"&lt;="&amp;RELATORIO_03!$P$14),SUMIFS(LANÇAMENTOS_01!$J:$J,LANÇAMENTOS_01!$C:$C,AUX_03!J128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128,LANÇAMENTOS_01!$K:$K,"&gt;="&amp;RELATORIO_03!$O$3,LANÇAMENTOS_01!$K:$K,"&lt;="&amp;RELATORIO_03!$P$14),SUMIFS(LANÇAMENTOS_01!$J:$J,LANÇAMENTOS_01!$C:$C,AUX_03!J128,LANÇAMENTOS_01!$K:$K,"&gt;="&amp;RELATORIO_03!$O$3,LANÇAMENTOS_01!$K:$K,"&lt;="&amp;RELATORIO_03!$P$14,LANÇAMENTOS_01!$H:$H,RELATORIO_03!$N$1)))</f>
        <v>0</v>
      </c>
      <c r="L128">
        <f ca="1">IFERROR(LOOKUP(1,1/(COUNTIF($L$1:L127,INDIRECT("CADASTRO_02!$B$2:B"&amp;COUNTA(CADASTRO_02!A:A)))=0),INDIRECT("CADASTRO_02!$B$2:B"&amp;COUNTA(CADASTRO_02!A:A))),0)</f>
        <v>0</v>
      </c>
      <c r="M128">
        <f ca="1">IF(RELATORIO_03!$O$1=1,(IF(RELATORIO_03!$N$1="Todos",SUMIFS(LANÇAMENTOS_02!$J:$J,LANÇAMENTOS_02!$L:$L,"&lt;&gt;"&amp;$I$1,LANÇAMENTOS_02!$C:$C,AUX_03!L128,LANÇAMENTOS_02!$L:$L,"&gt;="&amp;RELATORIO_03!$O$3,LANÇAMENTOS_02!$L:$L,"&lt;="&amp;RELATORIO_03!$P$14),SUMIFS(LANÇAMENTOS_02!$J:$J,LANÇAMENTOS_02!$C:$C,AUX_03!L128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128,LANÇAMENTOS_02!$K:$K,"&gt;="&amp;RELATORIO_03!$O$3,LANÇAMENTOS_02!$K:$K,"&lt;="&amp;RELATORIO_03!$P$14),SUMIFS(LANÇAMENTOS_02!$J:$J,LANÇAMENTOS_02!$C:$C,AUX_03!L128,LANÇAMENTOS_02!$K:$K,"&gt;="&amp;RELATORIO_03!$O$3,LANÇAMENTOS_02!$K:$K,"&lt;="&amp;RELATORIO_03!$P$14,LANÇAMENTOS_02!$H:$H,RELATORIO_03!$N$1)))</f>
        <v>0</v>
      </c>
    </row>
    <row r="129" spans="2:13" x14ac:dyDescent="0.25">
      <c r="B129" s="31"/>
      <c r="F129" s="32"/>
      <c r="I129" s="32"/>
      <c r="J129">
        <f ca="1">IFERROR(LOOKUP(1,1/(COUNTIF($J$1:J128,INDIRECT("CADASTRO_01!$B$2:B"&amp;COUNTA(CADASTRO_01!A:A)))=0),INDIRECT("CADASTRO_01!$B$2:B"&amp;COUNTA(CADASTRO_01!A:A))),0)</f>
        <v>0</v>
      </c>
      <c r="K129">
        <f ca="1">IF(RELATORIO_03!$O$1=1,(IF(RELATORIO_03!$N$1="Todos",SUMIFS(LANÇAMENTOS_01!$J:$J,LANÇAMENTOS_01!$L:$L,"&lt;&gt;"&amp;$I$1,LANÇAMENTOS_01!$C:$C,AUX_03!J129,LANÇAMENTOS_01!$L:$L,"&gt;="&amp;RELATORIO_03!$O$3,LANÇAMENTOS_01!$L:$L,"&lt;="&amp;RELATORIO_03!$P$14),SUMIFS(LANÇAMENTOS_01!$J:$J,LANÇAMENTOS_01!$C:$C,AUX_03!J129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129,LANÇAMENTOS_01!$K:$K,"&gt;="&amp;RELATORIO_03!$O$3,LANÇAMENTOS_01!$K:$K,"&lt;="&amp;RELATORIO_03!$P$14),SUMIFS(LANÇAMENTOS_01!$J:$J,LANÇAMENTOS_01!$C:$C,AUX_03!J129,LANÇAMENTOS_01!$K:$K,"&gt;="&amp;RELATORIO_03!$O$3,LANÇAMENTOS_01!$K:$K,"&lt;="&amp;RELATORIO_03!$P$14,LANÇAMENTOS_01!$H:$H,RELATORIO_03!$N$1)))</f>
        <v>0</v>
      </c>
      <c r="L129">
        <f ca="1">IFERROR(LOOKUP(1,1/(COUNTIF($L$1:L128,INDIRECT("CADASTRO_02!$B$2:B"&amp;COUNTA(CADASTRO_02!A:A)))=0),INDIRECT("CADASTRO_02!$B$2:B"&amp;COUNTA(CADASTRO_02!A:A))),0)</f>
        <v>0</v>
      </c>
      <c r="M129">
        <f ca="1">IF(RELATORIO_03!$O$1=1,(IF(RELATORIO_03!$N$1="Todos",SUMIFS(LANÇAMENTOS_02!$J:$J,LANÇAMENTOS_02!$L:$L,"&lt;&gt;"&amp;$I$1,LANÇAMENTOS_02!$C:$C,AUX_03!L129,LANÇAMENTOS_02!$L:$L,"&gt;="&amp;RELATORIO_03!$O$3,LANÇAMENTOS_02!$L:$L,"&lt;="&amp;RELATORIO_03!$P$14),SUMIFS(LANÇAMENTOS_02!$J:$J,LANÇAMENTOS_02!$C:$C,AUX_03!L129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129,LANÇAMENTOS_02!$K:$K,"&gt;="&amp;RELATORIO_03!$O$3,LANÇAMENTOS_02!$K:$K,"&lt;="&amp;RELATORIO_03!$P$14),SUMIFS(LANÇAMENTOS_02!$J:$J,LANÇAMENTOS_02!$C:$C,AUX_03!L129,LANÇAMENTOS_02!$K:$K,"&gt;="&amp;RELATORIO_03!$O$3,LANÇAMENTOS_02!$K:$K,"&lt;="&amp;RELATORIO_03!$P$14,LANÇAMENTOS_02!$H:$H,RELATORIO_03!$N$1)))</f>
        <v>0</v>
      </c>
    </row>
    <row r="130" spans="2:13" x14ac:dyDescent="0.25">
      <c r="B130" s="31"/>
      <c r="F130" s="32"/>
      <c r="I130" s="32"/>
      <c r="J130">
        <f ca="1">IFERROR(LOOKUP(1,1/(COUNTIF($J$1:J129,INDIRECT("CADASTRO_01!$B$2:B"&amp;COUNTA(CADASTRO_01!A:A)))=0),INDIRECT("CADASTRO_01!$B$2:B"&amp;COUNTA(CADASTRO_01!A:A))),0)</f>
        <v>0</v>
      </c>
      <c r="K130">
        <f ca="1">IF(RELATORIO_03!$O$1=1,(IF(RELATORIO_03!$N$1="Todos",SUMIFS(LANÇAMENTOS_01!$J:$J,LANÇAMENTOS_01!$L:$L,"&lt;&gt;"&amp;$I$1,LANÇAMENTOS_01!$C:$C,AUX_03!J130,LANÇAMENTOS_01!$L:$L,"&gt;="&amp;RELATORIO_03!$O$3,LANÇAMENTOS_01!$L:$L,"&lt;="&amp;RELATORIO_03!$P$14),SUMIFS(LANÇAMENTOS_01!$J:$J,LANÇAMENTOS_01!$C:$C,AUX_03!J130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130,LANÇAMENTOS_01!$K:$K,"&gt;="&amp;RELATORIO_03!$O$3,LANÇAMENTOS_01!$K:$K,"&lt;="&amp;RELATORIO_03!$P$14),SUMIFS(LANÇAMENTOS_01!$J:$J,LANÇAMENTOS_01!$C:$C,AUX_03!J130,LANÇAMENTOS_01!$K:$K,"&gt;="&amp;RELATORIO_03!$O$3,LANÇAMENTOS_01!$K:$K,"&lt;="&amp;RELATORIO_03!$P$14,LANÇAMENTOS_01!$H:$H,RELATORIO_03!$N$1)))</f>
        <v>0</v>
      </c>
      <c r="L130">
        <f ca="1">IFERROR(LOOKUP(1,1/(COUNTIF($L$1:L129,INDIRECT("CADASTRO_02!$B$2:B"&amp;COUNTA(CADASTRO_02!A:A)))=0),INDIRECT("CADASTRO_02!$B$2:B"&amp;COUNTA(CADASTRO_02!A:A))),0)</f>
        <v>0</v>
      </c>
      <c r="M130">
        <f ca="1">IF(RELATORIO_03!$O$1=1,(IF(RELATORIO_03!$N$1="Todos",SUMIFS(LANÇAMENTOS_02!$J:$J,LANÇAMENTOS_02!$L:$L,"&lt;&gt;"&amp;$I$1,LANÇAMENTOS_02!$C:$C,AUX_03!L130,LANÇAMENTOS_02!$L:$L,"&gt;="&amp;RELATORIO_03!$O$3,LANÇAMENTOS_02!$L:$L,"&lt;="&amp;RELATORIO_03!$P$14),SUMIFS(LANÇAMENTOS_02!$J:$J,LANÇAMENTOS_02!$C:$C,AUX_03!L130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130,LANÇAMENTOS_02!$K:$K,"&gt;="&amp;RELATORIO_03!$O$3,LANÇAMENTOS_02!$K:$K,"&lt;="&amp;RELATORIO_03!$P$14),SUMIFS(LANÇAMENTOS_02!$J:$J,LANÇAMENTOS_02!$C:$C,AUX_03!L130,LANÇAMENTOS_02!$K:$K,"&gt;="&amp;RELATORIO_03!$O$3,LANÇAMENTOS_02!$K:$K,"&lt;="&amp;RELATORIO_03!$P$14,LANÇAMENTOS_02!$H:$H,RELATORIO_03!$N$1)))</f>
        <v>0</v>
      </c>
    </row>
    <row r="131" spans="2:13" x14ac:dyDescent="0.25">
      <c r="B131" s="31"/>
      <c r="F131" s="32"/>
      <c r="I131" s="32"/>
      <c r="J131">
        <f ca="1">IFERROR(LOOKUP(1,1/(COUNTIF($J$1:J130,INDIRECT("CADASTRO_01!$B$2:B"&amp;COUNTA(CADASTRO_01!A:A)))=0),INDIRECT("CADASTRO_01!$B$2:B"&amp;COUNTA(CADASTRO_01!A:A))),0)</f>
        <v>0</v>
      </c>
      <c r="K131">
        <f ca="1">IF(RELATORIO_03!$O$1=1,(IF(RELATORIO_03!$N$1="Todos",SUMIFS(LANÇAMENTOS_01!$J:$J,LANÇAMENTOS_01!$L:$L,"&lt;&gt;"&amp;$I$1,LANÇAMENTOS_01!$C:$C,AUX_03!J131,LANÇAMENTOS_01!$L:$L,"&gt;="&amp;RELATORIO_03!$O$3,LANÇAMENTOS_01!$L:$L,"&lt;="&amp;RELATORIO_03!$P$14),SUMIFS(LANÇAMENTOS_01!$J:$J,LANÇAMENTOS_01!$C:$C,AUX_03!J131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131,LANÇAMENTOS_01!$K:$K,"&gt;="&amp;RELATORIO_03!$O$3,LANÇAMENTOS_01!$K:$K,"&lt;="&amp;RELATORIO_03!$P$14),SUMIFS(LANÇAMENTOS_01!$J:$J,LANÇAMENTOS_01!$C:$C,AUX_03!J131,LANÇAMENTOS_01!$K:$K,"&gt;="&amp;RELATORIO_03!$O$3,LANÇAMENTOS_01!$K:$K,"&lt;="&amp;RELATORIO_03!$P$14,LANÇAMENTOS_01!$H:$H,RELATORIO_03!$N$1)))</f>
        <v>0</v>
      </c>
      <c r="L131">
        <f ca="1">IFERROR(LOOKUP(1,1/(COUNTIF($L$1:L130,INDIRECT("CADASTRO_02!$B$2:B"&amp;COUNTA(CADASTRO_02!A:A)))=0),INDIRECT("CADASTRO_02!$B$2:B"&amp;COUNTA(CADASTRO_02!A:A))),0)</f>
        <v>0</v>
      </c>
      <c r="M131">
        <f ca="1">IF(RELATORIO_03!$O$1=1,(IF(RELATORIO_03!$N$1="Todos",SUMIFS(LANÇAMENTOS_02!$J:$J,LANÇAMENTOS_02!$L:$L,"&lt;&gt;"&amp;$I$1,LANÇAMENTOS_02!$C:$C,AUX_03!L131,LANÇAMENTOS_02!$L:$L,"&gt;="&amp;RELATORIO_03!$O$3,LANÇAMENTOS_02!$L:$L,"&lt;="&amp;RELATORIO_03!$P$14),SUMIFS(LANÇAMENTOS_02!$J:$J,LANÇAMENTOS_02!$C:$C,AUX_03!L131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131,LANÇAMENTOS_02!$K:$K,"&gt;="&amp;RELATORIO_03!$O$3,LANÇAMENTOS_02!$K:$K,"&lt;="&amp;RELATORIO_03!$P$14),SUMIFS(LANÇAMENTOS_02!$J:$J,LANÇAMENTOS_02!$C:$C,AUX_03!L131,LANÇAMENTOS_02!$K:$K,"&gt;="&amp;RELATORIO_03!$O$3,LANÇAMENTOS_02!$K:$K,"&lt;="&amp;RELATORIO_03!$P$14,LANÇAMENTOS_02!$H:$H,RELATORIO_03!$N$1)))</f>
        <v>0</v>
      </c>
    </row>
    <row r="132" spans="2:13" x14ac:dyDescent="0.25">
      <c r="B132" s="31"/>
      <c r="F132" s="32"/>
      <c r="I132" s="32"/>
      <c r="J132">
        <f ca="1">IFERROR(LOOKUP(1,1/(COUNTIF($J$1:J131,INDIRECT("CADASTRO_01!$B$2:B"&amp;COUNTA(CADASTRO_01!A:A)))=0),INDIRECT("CADASTRO_01!$B$2:B"&amp;COUNTA(CADASTRO_01!A:A))),0)</f>
        <v>0</v>
      </c>
      <c r="K132">
        <f ca="1">IF(RELATORIO_03!$O$1=1,(IF(RELATORIO_03!$N$1="Todos",SUMIFS(LANÇAMENTOS_01!$J:$J,LANÇAMENTOS_01!$L:$L,"&lt;&gt;"&amp;$I$1,LANÇAMENTOS_01!$C:$C,AUX_03!J132,LANÇAMENTOS_01!$L:$L,"&gt;="&amp;RELATORIO_03!$O$3,LANÇAMENTOS_01!$L:$L,"&lt;="&amp;RELATORIO_03!$P$14),SUMIFS(LANÇAMENTOS_01!$J:$J,LANÇAMENTOS_01!$C:$C,AUX_03!J132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132,LANÇAMENTOS_01!$K:$K,"&gt;="&amp;RELATORIO_03!$O$3,LANÇAMENTOS_01!$K:$K,"&lt;="&amp;RELATORIO_03!$P$14),SUMIFS(LANÇAMENTOS_01!$J:$J,LANÇAMENTOS_01!$C:$C,AUX_03!J132,LANÇAMENTOS_01!$K:$K,"&gt;="&amp;RELATORIO_03!$O$3,LANÇAMENTOS_01!$K:$K,"&lt;="&amp;RELATORIO_03!$P$14,LANÇAMENTOS_01!$H:$H,RELATORIO_03!$N$1)))</f>
        <v>0</v>
      </c>
      <c r="L132">
        <f ca="1">IFERROR(LOOKUP(1,1/(COUNTIF($L$1:L131,INDIRECT("CADASTRO_02!$B$2:B"&amp;COUNTA(CADASTRO_02!A:A)))=0),INDIRECT("CADASTRO_02!$B$2:B"&amp;COUNTA(CADASTRO_02!A:A))),0)</f>
        <v>0</v>
      </c>
      <c r="M132">
        <f ca="1">IF(RELATORIO_03!$O$1=1,(IF(RELATORIO_03!$N$1="Todos",SUMIFS(LANÇAMENTOS_02!$J:$J,LANÇAMENTOS_02!$L:$L,"&lt;&gt;"&amp;$I$1,LANÇAMENTOS_02!$C:$C,AUX_03!L132,LANÇAMENTOS_02!$L:$L,"&gt;="&amp;RELATORIO_03!$O$3,LANÇAMENTOS_02!$L:$L,"&lt;="&amp;RELATORIO_03!$P$14),SUMIFS(LANÇAMENTOS_02!$J:$J,LANÇAMENTOS_02!$C:$C,AUX_03!L132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132,LANÇAMENTOS_02!$K:$K,"&gt;="&amp;RELATORIO_03!$O$3,LANÇAMENTOS_02!$K:$K,"&lt;="&amp;RELATORIO_03!$P$14),SUMIFS(LANÇAMENTOS_02!$J:$J,LANÇAMENTOS_02!$C:$C,AUX_03!L132,LANÇAMENTOS_02!$K:$K,"&gt;="&amp;RELATORIO_03!$O$3,LANÇAMENTOS_02!$K:$K,"&lt;="&amp;RELATORIO_03!$P$14,LANÇAMENTOS_02!$H:$H,RELATORIO_03!$N$1)))</f>
        <v>0</v>
      </c>
    </row>
    <row r="133" spans="2:13" x14ac:dyDescent="0.25">
      <c r="B133" s="31"/>
      <c r="F133" s="32"/>
      <c r="I133" s="32"/>
      <c r="J133">
        <f ca="1">IFERROR(LOOKUP(1,1/(COUNTIF($J$1:J132,INDIRECT("CADASTRO_01!$B$2:B"&amp;COUNTA(CADASTRO_01!A:A)))=0),INDIRECT("CADASTRO_01!$B$2:B"&amp;COUNTA(CADASTRO_01!A:A))),0)</f>
        <v>0</v>
      </c>
      <c r="K133">
        <f ca="1">IF(RELATORIO_03!$O$1=1,(IF(RELATORIO_03!$N$1="Todos",SUMIFS(LANÇAMENTOS_01!$J:$J,LANÇAMENTOS_01!$L:$L,"&lt;&gt;"&amp;$I$1,LANÇAMENTOS_01!$C:$C,AUX_03!J133,LANÇAMENTOS_01!$L:$L,"&gt;="&amp;RELATORIO_03!$O$3,LANÇAMENTOS_01!$L:$L,"&lt;="&amp;RELATORIO_03!$P$14),SUMIFS(LANÇAMENTOS_01!$J:$J,LANÇAMENTOS_01!$C:$C,AUX_03!J133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133,LANÇAMENTOS_01!$K:$K,"&gt;="&amp;RELATORIO_03!$O$3,LANÇAMENTOS_01!$K:$K,"&lt;="&amp;RELATORIO_03!$P$14),SUMIFS(LANÇAMENTOS_01!$J:$J,LANÇAMENTOS_01!$C:$C,AUX_03!J133,LANÇAMENTOS_01!$K:$K,"&gt;="&amp;RELATORIO_03!$O$3,LANÇAMENTOS_01!$K:$K,"&lt;="&amp;RELATORIO_03!$P$14,LANÇAMENTOS_01!$H:$H,RELATORIO_03!$N$1)))</f>
        <v>0</v>
      </c>
      <c r="L133">
        <f ca="1">IFERROR(LOOKUP(1,1/(COUNTIF($L$1:L132,INDIRECT("CADASTRO_02!$B$2:B"&amp;COUNTA(CADASTRO_02!A:A)))=0),INDIRECT("CADASTRO_02!$B$2:B"&amp;COUNTA(CADASTRO_02!A:A))),0)</f>
        <v>0</v>
      </c>
      <c r="M133">
        <f ca="1">IF(RELATORIO_03!$O$1=1,(IF(RELATORIO_03!$N$1="Todos",SUMIFS(LANÇAMENTOS_02!$J:$J,LANÇAMENTOS_02!$L:$L,"&lt;&gt;"&amp;$I$1,LANÇAMENTOS_02!$C:$C,AUX_03!L133,LANÇAMENTOS_02!$L:$L,"&gt;="&amp;RELATORIO_03!$O$3,LANÇAMENTOS_02!$L:$L,"&lt;="&amp;RELATORIO_03!$P$14),SUMIFS(LANÇAMENTOS_02!$J:$J,LANÇAMENTOS_02!$C:$C,AUX_03!L133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133,LANÇAMENTOS_02!$K:$K,"&gt;="&amp;RELATORIO_03!$O$3,LANÇAMENTOS_02!$K:$K,"&lt;="&amp;RELATORIO_03!$P$14),SUMIFS(LANÇAMENTOS_02!$J:$J,LANÇAMENTOS_02!$C:$C,AUX_03!L133,LANÇAMENTOS_02!$K:$K,"&gt;="&amp;RELATORIO_03!$O$3,LANÇAMENTOS_02!$K:$K,"&lt;="&amp;RELATORIO_03!$P$14,LANÇAMENTOS_02!$H:$H,RELATORIO_03!$N$1)))</f>
        <v>0</v>
      </c>
    </row>
    <row r="134" spans="2:13" x14ac:dyDescent="0.25">
      <c r="B134" s="31"/>
      <c r="F134" s="32"/>
      <c r="I134" s="32"/>
      <c r="J134">
        <f ca="1">IFERROR(LOOKUP(1,1/(COUNTIF($J$1:J133,INDIRECT("CADASTRO_01!$B$2:B"&amp;COUNTA(CADASTRO_01!A:A)))=0),INDIRECT("CADASTRO_01!$B$2:B"&amp;COUNTA(CADASTRO_01!A:A))),0)</f>
        <v>0</v>
      </c>
      <c r="K134">
        <f ca="1">IF(RELATORIO_03!$O$1=1,(IF(RELATORIO_03!$N$1="Todos",SUMIFS(LANÇAMENTOS_01!$J:$J,LANÇAMENTOS_01!$L:$L,"&lt;&gt;"&amp;$I$1,LANÇAMENTOS_01!$C:$C,AUX_03!J134,LANÇAMENTOS_01!$L:$L,"&gt;="&amp;RELATORIO_03!$O$3,LANÇAMENTOS_01!$L:$L,"&lt;="&amp;RELATORIO_03!$P$14),SUMIFS(LANÇAMENTOS_01!$J:$J,LANÇAMENTOS_01!$C:$C,AUX_03!J134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134,LANÇAMENTOS_01!$K:$K,"&gt;="&amp;RELATORIO_03!$O$3,LANÇAMENTOS_01!$K:$K,"&lt;="&amp;RELATORIO_03!$P$14),SUMIFS(LANÇAMENTOS_01!$J:$J,LANÇAMENTOS_01!$C:$C,AUX_03!J134,LANÇAMENTOS_01!$K:$K,"&gt;="&amp;RELATORIO_03!$O$3,LANÇAMENTOS_01!$K:$K,"&lt;="&amp;RELATORIO_03!$P$14,LANÇAMENTOS_01!$H:$H,RELATORIO_03!$N$1)))</f>
        <v>0</v>
      </c>
      <c r="L134">
        <f ca="1">IFERROR(LOOKUP(1,1/(COUNTIF($L$1:L133,INDIRECT("CADASTRO_02!$B$2:B"&amp;COUNTA(CADASTRO_02!A:A)))=0),INDIRECT("CADASTRO_02!$B$2:B"&amp;COUNTA(CADASTRO_02!A:A))),0)</f>
        <v>0</v>
      </c>
      <c r="M134">
        <f ca="1">IF(RELATORIO_03!$O$1=1,(IF(RELATORIO_03!$N$1="Todos",SUMIFS(LANÇAMENTOS_02!$J:$J,LANÇAMENTOS_02!$L:$L,"&lt;&gt;"&amp;$I$1,LANÇAMENTOS_02!$C:$C,AUX_03!L134,LANÇAMENTOS_02!$L:$L,"&gt;="&amp;RELATORIO_03!$O$3,LANÇAMENTOS_02!$L:$L,"&lt;="&amp;RELATORIO_03!$P$14),SUMIFS(LANÇAMENTOS_02!$J:$J,LANÇAMENTOS_02!$C:$C,AUX_03!L134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134,LANÇAMENTOS_02!$K:$K,"&gt;="&amp;RELATORIO_03!$O$3,LANÇAMENTOS_02!$K:$K,"&lt;="&amp;RELATORIO_03!$P$14),SUMIFS(LANÇAMENTOS_02!$J:$J,LANÇAMENTOS_02!$C:$C,AUX_03!L134,LANÇAMENTOS_02!$K:$K,"&gt;="&amp;RELATORIO_03!$O$3,LANÇAMENTOS_02!$K:$K,"&lt;="&amp;RELATORIO_03!$P$14,LANÇAMENTOS_02!$H:$H,RELATORIO_03!$N$1)))</f>
        <v>0</v>
      </c>
    </row>
    <row r="135" spans="2:13" x14ac:dyDescent="0.25">
      <c r="B135" s="31"/>
      <c r="F135" s="32"/>
      <c r="I135" s="32"/>
      <c r="J135">
        <f ca="1">IFERROR(LOOKUP(1,1/(COUNTIF($J$1:J134,INDIRECT("CADASTRO_01!$B$2:B"&amp;COUNTA(CADASTRO_01!A:A)))=0),INDIRECT("CADASTRO_01!$B$2:B"&amp;COUNTA(CADASTRO_01!A:A))),0)</f>
        <v>0</v>
      </c>
      <c r="K135">
        <f ca="1">IF(RELATORIO_03!$O$1=1,(IF(RELATORIO_03!$N$1="Todos",SUMIFS(LANÇAMENTOS_01!$J:$J,LANÇAMENTOS_01!$L:$L,"&lt;&gt;"&amp;$I$1,LANÇAMENTOS_01!$C:$C,AUX_03!J135,LANÇAMENTOS_01!$L:$L,"&gt;="&amp;RELATORIO_03!$O$3,LANÇAMENTOS_01!$L:$L,"&lt;="&amp;RELATORIO_03!$P$14),SUMIFS(LANÇAMENTOS_01!$J:$J,LANÇAMENTOS_01!$C:$C,AUX_03!J135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135,LANÇAMENTOS_01!$K:$K,"&gt;="&amp;RELATORIO_03!$O$3,LANÇAMENTOS_01!$K:$K,"&lt;="&amp;RELATORIO_03!$P$14),SUMIFS(LANÇAMENTOS_01!$J:$J,LANÇAMENTOS_01!$C:$C,AUX_03!J135,LANÇAMENTOS_01!$K:$K,"&gt;="&amp;RELATORIO_03!$O$3,LANÇAMENTOS_01!$K:$K,"&lt;="&amp;RELATORIO_03!$P$14,LANÇAMENTOS_01!$H:$H,RELATORIO_03!$N$1)))</f>
        <v>0</v>
      </c>
      <c r="L135">
        <f ca="1">IFERROR(LOOKUP(1,1/(COUNTIF($L$1:L134,INDIRECT("CADASTRO_02!$B$2:B"&amp;COUNTA(CADASTRO_02!A:A)))=0),INDIRECT("CADASTRO_02!$B$2:B"&amp;COUNTA(CADASTRO_02!A:A))),0)</f>
        <v>0</v>
      </c>
      <c r="M135">
        <f ca="1">IF(RELATORIO_03!$O$1=1,(IF(RELATORIO_03!$N$1="Todos",SUMIFS(LANÇAMENTOS_02!$J:$J,LANÇAMENTOS_02!$L:$L,"&lt;&gt;"&amp;$I$1,LANÇAMENTOS_02!$C:$C,AUX_03!L135,LANÇAMENTOS_02!$L:$L,"&gt;="&amp;RELATORIO_03!$O$3,LANÇAMENTOS_02!$L:$L,"&lt;="&amp;RELATORIO_03!$P$14),SUMIFS(LANÇAMENTOS_02!$J:$J,LANÇAMENTOS_02!$C:$C,AUX_03!L135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135,LANÇAMENTOS_02!$K:$K,"&gt;="&amp;RELATORIO_03!$O$3,LANÇAMENTOS_02!$K:$K,"&lt;="&amp;RELATORIO_03!$P$14),SUMIFS(LANÇAMENTOS_02!$J:$J,LANÇAMENTOS_02!$C:$C,AUX_03!L135,LANÇAMENTOS_02!$K:$K,"&gt;="&amp;RELATORIO_03!$O$3,LANÇAMENTOS_02!$K:$K,"&lt;="&amp;RELATORIO_03!$P$14,LANÇAMENTOS_02!$H:$H,RELATORIO_03!$N$1)))</f>
        <v>0</v>
      </c>
    </row>
    <row r="136" spans="2:13" x14ac:dyDescent="0.25">
      <c r="B136" s="31"/>
      <c r="F136" s="32"/>
      <c r="I136" s="32"/>
      <c r="J136">
        <f ca="1">IFERROR(LOOKUP(1,1/(COUNTIF($J$1:J135,INDIRECT("CADASTRO_01!$B$2:B"&amp;COUNTA(CADASTRO_01!A:A)))=0),INDIRECT("CADASTRO_01!$B$2:B"&amp;COUNTA(CADASTRO_01!A:A))),0)</f>
        <v>0</v>
      </c>
      <c r="K136">
        <f ca="1">IF(RELATORIO_03!$O$1=1,(IF(RELATORIO_03!$N$1="Todos",SUMIFS(LANÇAMENTOS_01!$J:$J,LANÇAMENTOS_01!$L:$L,"&lt;&gt;"&amp;$I$1,LANÇAMENTOS_01!$C:$C,AUX_03!J136,LANÇAMENTOS_01!$L:$L,"&gt;="&amp;RELATORIO_03!$O$3,LANÇAMENTOS_01!$L:$L,"&lt;="&amp;RELATORIO_03!$P$14),SUMIFS(LANÇAMENTOS_01!$J:$J,LANÇAMENTOS_01!$C:$C,AUX_03!J136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136,LANÇAMENTOS_01!$K:$K,"&gt;="&amp;RELATORIO_03!$O$3,LANÇAMENTOS_01!$K:$K,"&lt;="&amp;RELATORIO_03!$P$14),SUMIFS(LANÇAMENTOS_01!$J:$J,LANÇAMENTOS_01!$C:$C,AUX_03!J136,LANÇAMENTOS_01!$K:$K,"&gt;="&amp;RELATORIO_03!$O$3,LANÇAMENTOS_01!$K:$K,"&lt;="&amp;RELATORIO_03!$P$14,LANÇAMENTOS_01!$H:$H,RELATORIO_03!$N$1)))</f>
        <v>0</v>
      </c>
      <c r="L136">
        <f ca="1">IFERROR(LOOKUP(1,1/(COUNTIF($L$1:L135,INDIRECT("CADASTRO_02!$B$2:B"&amp;COUNTA(CADASTRO_02!A:A)))=0),INDIRECT("CADASTRO_02!$B$2:B"&amp;COUNTA(CADASTRO_02!A:A))),0)</f>
        <v>0</v>
      </c>
      <c r="M136">
        <f ca="1">IF(RELATORIO_03!$O$1=1,(IF(RELATORIO_03!$N$1="Todos",SUMIFS(LANÇAMENTOS_02!$J:$J,LANÇAMENTOS_02!$L:$L,"&lt;&gt;"&amp;$I$1,LANÇAMENTOS_02!$C:$C,AUX_03!L136,LANÇAMENTOS_02!$L:$L,"&gt;="&amp;RELATORIO_03!$O$3,LANÇAMENTOS_02!$L:$L,"&lt;="&amp;RELATORIO_03!$P$14),SUMIFS(LANÇAMENTOS_02!$J:$J,LANÇAMENTOS_02!$C:$C,AUX_03!L136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136,LANÇAMENTOS_02!$K:$K,"&gt;="&amp;RELATORIO_03!$O$3,LANÇAMENTOS_02!$K:$K,"&lt;="&amp;RELATORIO_03!$P$14),SUMIFS(LANÇAMENTOS_02!$J:$J,LANÇAMENTOS_02!$C:$C,AUX_03!L136,LANÇAMENTOS_02!$K:$K,"&gt;="&amp;RELATORIO_03!$O$3,LANÇAMENTOS_02!$K:$K,"&lt;="&amp;RELATORIO_03!$P$14,LANÇAMENTOS_02!$H:$H,RELATORIO_03!$N$1)))</f>
        <v>0</v>
      </c>
    </row>
    <row r="137" spans="2:13" x14ac:dyDescent="0.25">
      <c r="B137" s="31"/>
      <c r="F137" s="32"/>
      <c r="I137" s="32"/>
      <c r="J137">
        <f ca="1">IFERROR(LOOKUP(1,1/(COUNTIF($J$1:J136,INDIRECT("CADASTRO_01!$B$2:B"&amp;COUNTA(CADASTRO_01!A:A)))=0),INDIRECT("CADASTRO_01!$B$2:B"&amp;COUNTA(CADASTRO_01!A:A))),0)</f>
        <v>0</v>
      </c>
      <c r="K137">
        <f ca="1">IF(RELATORIO_03!$O$1=1,(IF(RELATORIO_03!$N$1="Todos",SUMIFS(LANÇAMENTOS_01!$J:$J,LANÇAMENTOS_01!$L:$L,"&lt;&gt;"&amp;$I$1,LANÇAMENTOS_01!$C:$C,AUX_03!J137,LANÇAMENTOS_01!$L:$L,"&gt;="&amp;RELATORIO_03!$O$3,LANÇAMENTOS_01!$L:$L,"&lt;="&amp;RELATORIO_03!$P$14),SUMIFS(LANÇAMENTOS_01!$J:$J,LANÇAMENTOS_01!$C:$C,AUX_03!J137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137,LANÇAMENTOS_01!$K:$K,"&gt;="&amp;RELATORIO_03!$O$3,LANÇAMENTOS_01!$K:$K,"&lt;="&amp;RELATORIO_03!$P$14),SUMIFS(LANÇAMENTOS_01!$J:$J,LANÇAMENTOS_01!$C:$C,AUX_03!J137,LANÇAMENTOS_01!$K:$K,"&gt;="&amp;RELATORIO_03!$O$3,LANÇAMENTOS_01!$K:$K,"&lt;="&amp;RELATORIO_03!$P$14,LANÇAMENTOS_01!$H:$H,RELATORIO_03!$N$1)))</f>
        <v>0</v>
      </c>
      <c r="L137">
        <f ca="1">IFERROR(LOOKUP(1,1/(COUNTIF($L$1:L136,INDIRECT("CADASTRO_02!$B$2:B"&amp;COUNTA(CADASTRO_02!A:A)))=0),INDIRECT("CADASTRO_02!$B$2:B"&amp;COUNTA(CADASTRO_02!A:A))),0)</f>
        <v>0</v>
      </c>
      <c r="M137">
        <f ca="1">IF(RELATORIO_03!$O$1=1,(IF(RELATORIO_03!$N$1="Todos",SUMIFS(LANÇAMENTOS_02!$J:$J,LANÇAMENTOS_02!$L:$L,"&lt;&gt;"&amp;$I$1,LANÇAMENTOS_02!$C:$C,AUX_03!L137,LANÇAMENTOS_02!$L:$L,"&gt;="&amp;RELATORIO_03!$O$3,LANÇAMENTOS_02!$L:$L,"&lt;="&amp;RELATORIO_03!$P$14),SUMIFS(LANÇAMENTOS_02!$J:$J,LANÇAMENTOS_02!$C:$C,AUX_03!L137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137,LANÇAMENTOS_02!$K:$K,"&gt;="&amp;RELATORIO_03!$O$3,LANÇAMENTOS_02!$K:$K,"&lt;="&amp;RELATORIO_03!$P$14),SUMIFS(LANÇAMENTOS_02!$J:$J,LANÇAMENTOS_02!$C:$C,AUX_03!L137,LANÇAMENTOS_02!$K:$K,"&gt;="&amp;RELATORIO_03!$O$3,LANÇAMENTOS_02!$K:$K,"&lt;="&amp;RELATORIO_03!$P$14,LANÇAMENTOS_02!$H:$H,RELATORIO_03!$N$1)))</f>
        <v>0</v>
      </c>
    </row>
    <row r="138" spans="2:13" x14ac:dyDescent="0.25">
      <c r="B138" s="31"/>
      <c r="F138" s="32"/>
      <c r="I138" s="32"/>
      <c r="J138">
        <f ca="1">IFERROR(LOOKUP(1,1/(COUNTIF($J$1:J137,INDIRECT("CADASTRO_01!$B$2:B"&amp;COUNTA(CADASTRO_01!A:A)))=0),INDIRECT("CADASTRO_01!$B$2:B"&amp;COUNTA(CADASTRO_01!A:A))),0)</f>
        <v>0</v>
      </c>
      <c r="K138">
        <f ca="1">IF(RELATORIO_03!$O$1=1,(IF(RELATORIO_03!$N$1="Todos",SUMIFS(LANÇAMENTOS_01!$J:$J,LANÇAMENTOS_01!$L:$L,"&lt;&gt;"&amp;$I$1,LANÇAMENTOS_01!$C:$C,AUX_03!J138,LANÇAMENTOS_01!$L:$L,"&gt;="&amp;RELATORIO_03!$O$3,LANÇAMENTOS_01!$L:$L,"&lt;="&amp;RELATORIO_03!$P$14),SUMIFS(LANÇAMENTOS_01!$J:$J,LANÇAMENTOS_01!$C:$C,AUX_03!J138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138,LANÇAMENTOS_01!$K:$K,"&gt;="&amp;RELATORIO_03!$O$3,LANÇAMENTOS_01!$K:$K,"&lt;="&amp;RELATORIO_03!$P$14),SUMIFS(LANÇAMENTOS_01!$J:$J,LANÇAMENTOS_01!$C:$C,AUX_03!J138,LANÇAMENTOS_01!$K:$K,"&gt;="&amp;RELATORIO_03!$O$3,LANÇAMENTOS_01!$K:$K,"&lt;="&amp;RELATORIO_03!$P$14,LANÇAMENTOS_01!$H:$H,RELATORIO_03!$N$1)))</f>
        <v>0</v>
      </c>
      <c r="L138">
        <f ca="1">IFERROR(LOOKUP(1,1/(COUNTIF($L$1:L137,INDIRECT("CADASTRO_02!$B$2:B"&amp;COUNTA(CADASTRO_02!A:A)))=0),INDIRECT("CADASTRO_02!$B$2:B"&amp;COUNTA(CADASTRO_02!A:A))),0)</f>
        <v>0</v>
      </c>
      <c r="M138">
        <f ca="1">IF(RELATORIO_03!$O$1=1,(IF(RELATORIO_03!$N$1="Todos",SUMIFS(LANÇAMENTOS_02!$J:$J,LANÇAMENTOS_02!$L:$L,"&lt;&gt;"&amp;$I$1,LANÇAMENTOS_02!$C:$C,AUX_03!L138,LANÇAMENTOS_02!$L:$L,"&gt;="&amp;RELATORIO_03!$O$3,LANÇAMENTOS_02!$L:$L,"&lt;="&amp;RELATORIO_03!$P$14),SUMIFS(LANÇAMENTOS_02!$J:$J,LANÇAMENTOS_02!$C:$C,AUX_03!L138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138,LANÇAMENTOS_02!$K:$K,"&gt;="&amp;RELATORIO_03!$O$3,LANÇAMENTOS_02!$K:$K,"&lt;="&amp;RELATORIO_03!$P$14),SUMIFS(LANÇAMENTOS_02!$J:$J,LANÇAMENTOS_02!$C:$C,AUX_03!L138,LANÇAMENTOS_02!$K:$K,"&gt;="&amp;RELATORIO_03!$O$3,LANÇAMENTOS_02!$K:$K,"&lt;="&amp;RELATORIO_03!$P$14,LANÇAMENTOS_02!$H:$H,RELATORIO_03!$N$1)))</f>
        <v>0</v>
      </c>
    </row>
    <row r="139" spans="2:13" x14ac:dyDescent="0.25">
      <c r="B139" s="31"/>
      <c r="F139" s="32"/>
      <c r="I139" s="32"/>
      <c r="J139">
        <f ca="1">IFERROR(LOOKUP(1,1/(COUNTIF($J$1:J138,INDIRECT("CADASTRO_01!$B$2:B"&amp;COUNTA(CADASTRO_01!A:A)))=0),INDIRECT("CADASTRO_01!$B$2:B"&amp;COUNTA(CADASTRO_01!A:A))),0)</f>
        <v>0</v>
      </c>
      <c r="K139">
        <f ca="1">IF(RELATORIO_03!$O$1=1,(IF(RELATORIO_03!$N$1="Todos",SUMIFS(LANÇAMENTOS_01!$J:$J,LANÇAMENTOS_01!$L:$L,"&lt;&gt;"&amp;$I$1,LANÇAMENTOS_01!$C:$C,AUX_03!J139,LANÇAMENTOS_01!$L:$L,"&gt;="&amp;RELATORIO_03!$O$3,LANÇAMENTOS_01!$L:$L,"&lt;="&amp;RELATORIO_03!$P$14),SUMIFS(LANÇAMENTOS_01!$J:$J,LANÇAMENTOS_01!$C:$C,AUX_03!J139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139,LANÇAMENTOS_01!$K:$K,"&gt;="&amp;RELATORIO_03!$O$3,LANÇAMENTOS_01!$K:$K,"&lt;="&amp;RELATORIO_03!$P$14),SUMIFS(LANÇAMENTOS_01!$J:$J,LANÇAMENTOS_01!$C:$C,AUX_03!J139,LANÇAMENTOS_01!$K:$K,"&gt;="&amp;RELATORIO_03!$O$3,LANÇAMENTOS_01!$K:$K,"&lt;="&amp;RELATORIO_03!$P$14,LANÇAMENTOS_01!$H:$H,RELATORIO_03!$N$1)))</f>
        <v>0</v>
      </c>
      <c r="L139">
        <f ca="1">IFERROR(LOOKUP(1,1/(COUNTIF($L$1:L138,INDIRECT("CADASTRO_02!$B$2:B"&amp;COUNTA(CADASTRO_02!A:A)))=0),INDIRECT("CADASTRO_02!$B$2:B"&amp;COUNTA(CADASTRO_02!A:A))),0)</f>
        <v>0</v>
      </c>
      <c r="M139">
        <f ca="1">IF(RELATORIO_03!$O$1=1,(IF(RELATORIO_03!$N$1="Todos",SUMIFS(LANÇAMENTOS_02!$J:$J,LANÇAMENTOS_02!$L:$L,"&lt;&gt;"&amp;$I$1,LANÇAMENTOS_02!$C:$C,AUX_03!L139,LANÇAMENTOS_02!$L:$L,"&gt;="&amp;RELATORIO_03!$O$3,LANÇAMENTOS_02!$L:$L,"&lt;="&amp;RELATORIO_03!$P$14),SUMIFS(LANÇAMENTOS_02!$J:$J,LANÇAMENTOS_02!$C:$C,AUX_03!L139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139,LANÇAMENTOS_02!$K:$K,"&gt;="&amp;RELATORIO_03!$O$3,LANÇAMENTOS_02!$K:$K,"&lt;="&amp;RELATORIO_03!$P$14),SUMIFS(LANÇAMENTOS_02!$J:$J,LANÇAMENTOS_02!$C:$C,AUX_03!L139,LANÇAMENTOS_02!$K:$K,"&gt;="&amp;RELATORIO_03!$O$3,LANÇAMENTOS_02!$K:$K,"&lt;="&amp;RELATORIO_03!$P$14,LANÇAMENTOS_02!$H:$H,RELATORIO_03!$N$1)))</f>
        <v>0</v>
      </c>
    </row>
    <row r="140" spans="2:13" x14ac:dyDescent="0.25">
      <c r="B140" s="31"/>
      <c r="F140" s="32"/>
      <c r="I140" s="32"/>
      <c r="J140">
        <f ca="1">IFERROR(LOOKUP(1,1/(COUNTIF($J$1:J139,INDIRECT("CADASTRO_01!$B$2:B"&amp;COUNTA(CADASTRO_01!A:A)))=0),INDIRECT("CADASTRO_01!$B$2:B"&amp;COUNTA(CADASTRO_01!A:A))),0)</f>
        <v>0</v>
      </c>
      <c r="K140">
        <f ca="1">IF(RELATORIO_03!$O$1=1,(IF(RELATORIO_03!$N$1="Todos",SUMIFS(LANÇAMENTOS_01!$J:$J,LANÇAMENTOS_01!$L:$L,"&lt;&gt;"&amp;$I$1,LANÇAMENTOS_01!$C:$C,AUX_03!J140,LANÇAMENTOS_01!$L:$L,"&gt;="&amp;RELATORIO_03!$O$3,LANÇAMENTOS_01!$L:$L,"&lt;="&amp;RELATORIO_03!$P$14),SUMIFS(LANÇAMENTOS_01!$J:$J,LANÇAMENTOS_01!$C:$C,AUX_03!J140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140,LANÇAMENTOS_01!$K:$K,"&gt;="&amp;RELATORIO_03!$O$3,LANÇAMENTOS_01!$K:$K,"&lt;="&amp;RELATORIO_03!$P$14),SUMIFS(LANÇAMENTOS_01!$J:$J,LANÇAMENTOS_01!$C:$C,AUX_03!J140,LANÇAMENTOS_01!$K:$K,"&gt;="&amp;RELATORIO_03!$O$3,LANÇAMENTOS_01!$K:$K,"&lt;="&amp;RELATORIO_03!$P$14,LANÇAMENTOS_01!$H:$H,RELATORIO_03!$N$1)))</f>
        <v>0</v>
      </c>
      <c r="L140">
        <f ca="1">IFERROR(LOOKUP(1,1/(COUNTIF($L$1:L139,INDIRECT("CADASTRO_02!$B$2:B"&amp;COUNTA(CADASTRO_02!A:A)))=0),INDIRECT("CADASTRO_02!$B$2:B"&amp;COUNTA(CADASTRO_02!A:A))),0)</f>
        <v>0</v>
      </c>
      <c r="M140">
        <f ca="1">IF(RELATORIO_03!$O$1=1,(IF(RELATORIO_03!$N$1="Todos",SUMIFS(LANÇAMENTOS_02!$J:$J,LANÇAMENTOS_02!$L:$L,"&lt;&gt;"&amp;$I$1,LANÇAMENTOS_02!$C:$C,AUX_03!L140,LANÇAMENTOS_02!$L:$L,"&gt;="&amp;RELATORIO_03!$O$3,LANÇAMENTOS_02!$L:$L,"&lt;="&amp;RELATORIO_03!$P$14),SUMIFS(LANÇAMENTOS_02!$J:$J,LANÇAMENTOS_02!$C:$C,AUX_03!L140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140,LANÇAMENTOS_02!$K:$K,"&gt;="&amp;RELATORIO_03!$O$3,LANÇAMENTOS_02!$K:$K,"&lt;="&amp;RELATORIO_03!$P$14),SUMIFS(LANÇAMENTOS_02!$J:$J,LANÇAMENTOS_02!$C:$C,AUX_03!L140,LANÇAMENTOS_02!$K:$K,"&gt;="&amp;RELATORIO_03!$O$3,LANÇAMENTOS_02!$K:$K,"&lt;="&amp;RELATORIO_03!$P$14,LANÇAMENTOS_02!$H:$H,RELATORIO_03!$N$1)))</f>
        <v>0</v>
      </c>
    </row>
    <row r="141" spans="2:13" x14ac:dyDescent="0.25">
      <c r="B141" s="31"/>
      <c r="F141" s="32"/>
      <c r="I141" s="32"/>
      <c r="J141">
        <f ca="1">IFERROR(LOOKUP(1,1/(COUNTIF($J$1:J140,INDIRECT("CADASTRO_01!$B$2:B"&amp;COUNTA(CADASTRO_01!A:A)))=0),INDIRECT("CADASTRO_01!$B$2:B"&amp;COUNTA(CADASTRO_01!A:A))),0)</f>
        <v>0</v>
      </c>
      <c r="K141">
        <f ca="1">IF(RELATORIO_03!$O$1=1,(IF(RELATORIO_03!$N$1="Todos",SUMIFS(LANÇAMENTOS_01!$J:$J,LANÇAMENTOS_01!$L:$L,"&lt;&gt;"&amp;$I$1,LANÇAMENTOS_01!$C:$C,AUX_03!J141,LANÇAMENTOS_01!$L:$L,"&gt;="&amp;RELATORIO_03!$O$3,LANÇAMENTOS_01!$L:$L,"&lt;="&amp;RELATORIO_03!$P$14),SUMIFS(LANÇAMENTOS_01!$J:$J,LANÇAMENTOS_01!$C:$C,AUX_03!J141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141,LANÇAMENTOS_01!$K:$K,"&gt;="&amp;RELATORIO_03!$O$3,LANÇAMENTOS_01!$K:$K,"&lt;="&amp;RELATORIO_03!$P$14),SUMIFS(LANÇAMENTOS_01!$J:$J,LANÇAMENTOS_01!$C:$C,AUX_03!J141,LANÇAMENTOS_01!$K:$K,"&gt;="&amp;RELATORIO_03!$O$3,LANÇAMENTOS_01!$K:$K,"&lt;="&amp;RELATORIO_03!$P$14,LANÇAMENTOS_01!$H:$H,RELATORIO_03!$N$1)))</f>
        <v>0</v>
      </c>
      <c r="L141">
        <f ca="1">IFERROR(LOOKUP(1,1/(COUNTIF($L$1:L140,INDIRECT("CADASTRO_02!$B$2:B"&amp;COUNTA(CADASTRO_02!A:A)))=0),INDIRECT("CADASTRO_02!$B$2:B"&amp;COUNTA(CADASTRO_02!A:A))),0)</f>
        <v>0</v>
      </c>
      <c r="M141">
        <f ca="1">IF(RELATORIO_03!$O$1=1,(IF(RELATORIO_03!$N$1="Todos",SUMIFS(LANÇAMENTOS_02!$J:$J,LANÇAMENTOS_02!$L:$L,"&lt;&gt;"&amp;$I$1,LANÇAMENTOS_02!$C:$C,AUX_03!L141,LANÇAMENTOS_02!$L:$L,"&gt;="&amp;RELATORIO_03!$O$3,LANÇAMENTOS_02!$L:$L,"&lt;="&amp;RELATORIO_03!$P$14),SUMIFS(LANÇAMENTOS_02!$J:$J,LANÇAMENTOS_02!$C:$C,AUX_03!L141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141,LANÇAMENTOS_02!$K:$K,"&gt;="&amp;RELATORIO_03!$O$3,LANÇAMENTOS_02!$K:$K,"&lt;="&amp;RELATORIO_03!$P$14),SUMIFS(LANÇAMENTOS_02!$J:$J,LANÇAMENTOS_02!$C:$C,AUX_03!L141,LANÇAMENTOS_02!$K:$K,"&gt;="&amp;RELATORIO_03!$O$3,LANÇAMENTOS_02!$K:$K,"&lt;="&amp;RELATORIO_03!$P$14,LANÇAMENTOS_02!$H:$H,RELATORIO_03!$N$1)))</f>
        <v>0</v>
      </c>
    </row>
    <row r="142" spans="2:13" x14ac:dyDescent="0.25">
      <c r="B142" s="31"/>
      <c r="F142" s="32"/>
      <c r="I142" s="32"/>
      <c r="J142">
        <f ca="1">IFERROR(LOOKUP(1,1/(COUNTIF($J$1:J141,INDIRECT("CADASTRO_01!$B$2:B"&amp;COUNTA(CADASTRO_01!A:A)))=0),INDIRECT("CADASTRO_01!$B$2:B"&amp;COUNTA(CADASTRO_01!A:A))),0)</f>
        <v>0</v>
      </c>
      <c r="K142">
        <f ca="1">IF(RELATORIO_03!$O$1=1,(IF(RELATORIO_03!$N$1="Todos",SUMIFS(LANÇAMENTOS_01!$J:$J,LANÇAMENTOS_01!$L:$L,"&lt;&gt;"&amp;$I$1,LANÇAMENTOS_01!$C:$C,AUX_03!J142,LANÇAMENTOS_01!$L:$L,"&gt;="&amp;RELATORIO_03!$O$3,LANÇAMENTOS_01!$L:$L,"&lt;="&amp;RELATORIO_03!$P$14),SUMIFS(LANÇAMENTOS_01!$J:$J,LANÇAMENTOS_01!$C:$C,AUX_03!J142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142,LANÇAMENTOS_01!$K:$K,"&gt;="&amp;RELATORIO_03!$O$3,LANÇAMENTOS_01!$K:$K,"&lt;="&amp;RELATORIO_03!$P$14),SUMIFS(LANÇAMENTOS_01!$J:$J,LANÇAMENTOS_01!$C:$C,AUX_03!J142,LANÇAMENTOS_01!$K:$K,"&gt;="&amp;RELATORIO_03!$O$3,LANÇAMENTOS_01!$K:$K,"&lt;="&amp;RELATORIO_03!$P$14,LANÇAMENTOS_01!$H:$H,RELATORIO_03!$N$1)))</f>
        <v>0</v>
      </c>
      <c r="L142">
        <f ca="1">IFERROR(LOOKUP(1,1/(COUNTIF($L$1:L141,INDIRECT("CADASTRO_02!$B$2:B"&amp;COUNTA(CADASTRO_02!A:A)))=0),INDIRECT("CADASTRO_02!$B$2:B"&amp;COUNTA(CADASTRO_02!A:A))),0)</f>
        <v>0</v>
      </c>
      <c r="M142">
        <f ca="1">IF(RELATORIO_03!$O$1=1,(IF(RELATORIO_03!$N$1="Todos",SUMIFS(LANÇAMENTOS_02!$J:$J,LANÇAMENTOS_02!$L:$L,"&lt;&gt;"&amp;$I$1,LANÇAMENTOS_02!$C:$C,AUX_03!L142,LANÇAMENTOS_02!$L:$L,"&gt;="&amp;RELATORIO_03!$O$3,LANÇAMENTOS_02!$L:$L,"&lt;="&amp;RELATORIO_03!$P$14),SUMIFS(LANÇAMENTOS_02!$J:$J,LANÇAMENTOS_02!$C:$C,AUX_03!L142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142,LANÇAMENTOS_02!$K:$K,"&gt;="&amp;RELATORIO_03!$O$3,LANÇAMENTOS_02!$K:$K,"&lt;="&amp;RELATORIO_03!$P$14),SUMIFS(LANÇAMENTOS_02!$J:$J,LANÇAMENTOS_02!$C:$C,AUX_03!L142,LANÇAMENTOS_02!$K:$K,"&gt;="&amp;RELATORIO_03!$O$3,LANÇAMENTOS_02!$K:$K,"&lt;="&amp;RELATORIO_03!$P$14,LANÇAMENTOS_02!$H:$H,RELATORIO_03!$N$1)))</f>
        <v>0</v>
      </c>
    </row>
    <row r="143" spans="2:13" x14ac:dyDescent="0.25">
      <c r="B143" s="31"/>
      <c r="F143" s="32"/>
      <c r="I143" s="32"/>
      <c r="J143">
        <f ca="1">IFERROR(LOOKUP(1,1/(COUNTIF($J$1:J142,INDIRECT("CADASTRO_01!$B$2:B"&amp;COUNTA(CADASTRO_01!A:A)))=0),INDIRECT("CADASTRO_01!$B$2:B"&amp;COUNTA(CADASTRO_01!A:A))),0)</f>
        <v>0</v>
      </c>
      <c r="K143">
        <f ca="1">IF(RELATORIO_03!$O$1=1,(IF(RELATORIO_03!$N$1="Todos",SUMIFS(LANÇAMENTOS_01!$J:$J,LANÇAMENTOS_01!$L:$L,"&lt;&gt;"&amp;$I$1,LANÇAMENTOS_01!$C:$C,AUX_03!J143,LANÇAMENTOS_01!$L:$L,"&gt;="&amp;RELATORIO_03!$O$3,LANÇAMENTOS_01!$L:$L,"&lt;="&amp;RELATORIO_03!$P$14),SUMIFS(LANÇAMENTOS_01!$J:$J,LANÇAMENTOS_01!$C:$C,AUX_03!J143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143,LANÇAMENTOS_01!$K:$K,"&gt;="&amp;RELATORIO_03!$O$3,LANÇAMENTOS_01!$K:$K,"&lt;="&amp;RELATORIO_03!$P$14),SUMIFS(LANÇAMENTOS_01!$J:$J,LANÇAMENTOS_01!$C:$C,AUX_03!J143,LANÇAMENTOS_01!$K:$K,"&gt;="&amp;RELATORIO_03!$O$3,LANÇAMENTOS_01!$K:$K,"&lt;="&amp;RELATORIO_03!$P$14,LANÇAMENTOS_01!$H:$H,RELATORIO_03!$N$1)))</f>
        <v>0</v>
      </c>
      <c r="L143">
        <f ca="1">IFERROR(LOOKUP(1,1/(COUNTIF($L$1:L142,INDIRECT("CADASTRO_02!$B$2:B"&amp;COUNTA(CADASTRO_02!A:A)))=0),INDIRECT("CADASTRO_02!$B$2:B"&amp;COUNTA(CADASTRO_02!A:A))),0)</f>
        <v>0</v>
      </c>
      <c r="M143">
        <f ca="1">IF(RELATORIO_03!$O$1=1,(IF(RELATORIO_03!$N$1="Todos",SUMIFS(LANÇAMENTOS_02!$J:$J,LANÇAMENTOS_02!$L:$L,"&lt;&gt;"&amp;$I$1,LANÇAMENTOS_02!$C:$C,AUX_03!L143,LANÇAMENTOS_02!$L:$L,"&gt;="&amp;RELATORIO_03!$O$3,LANÇAMENTOS_02!$L:$L,"&lt;="&amp;RELATORIO_03!$P$14),SUMIFS(LANÇAMENTOS_02!$J:$J,LANÇAMENTOS_02!$C:$C,AUX_03!L143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143,LANÇAMENTOS_02!$K:$K,"&gt;="&amp;RELATORIO_03!$O$3,LANÇAMENTOS_02!$K:$K,"&lt;="&amp;RELATORIO_03!$P$14),SUMIFS(LANÇAMENTOS_02!$J:$J,LANÇAMENTOS_02!$C:$C,AUX_03!L143,LANÇAMENTOS_02!$K:$K,"&gt;="&amp;RELATORIO_03!$O$3,LANÇAMENTOS_02!$K:$K,"&lt;="&amp;RELATORIO_03!$P$14,LANÇAMENTOS_02!$H:$H,RELATORIO_03!$N$1)))</f>
        <v>0</v>
      </c>
    </row>
    <row r="144" spans="2:13" x14ac:dyDescent="0.25">
      <c r="B144" s="31"/>
      <c r="F144" s="32"/>
      <c r="I144" s="32"/>
      <c r="J144">
        <f ca="1">IFERROR(LOOKUP(1,1/(COUNTIF($J$1:J143,INDIRECT("CADASTRO_01!$B$2:B"&amp;COUNTA(CADASTRO_01!A:A)))=0),INDIRECT("CADASTRO_01!$B$2:B"&amp;COUNTA(CADASTRO_01!A:A))),0)</f>
        <v>0</v>
      </c>
      <c r="K144">
        <f ca="1">IF(RELATORIO_03!$O$1=1,(IF(RELATORIO_03!$N$1="Todos",SUMIFS(LANÇAMENTOS_01!$J:$J,LANÇAMENTOS_01!$L:$L,"&lt;&gt;"&amp;$I$1,LANÇAMENTOS_01!$C:$C,AUX_03!J144,LANÇAMENTOS_01!$L:$L,"&gt;="&amp;RELATORIO_03!$O$3,LANÇAMENTOS_01!$L:$L,"&lt;="&amp;RELATORIO_03!$P$14),SUMIFS(LANÇAMENTOS_01!$J:$J,LANÇAMENTOS_01!$C:$C,AUX_03!J144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144,LANÇAMENTOS_01!$K:$K,"&gt;="&amp;RELATORIO_03!$O$3,LANÇAMENTOS_01!$K:$K,"&lt;="&amp;RELATORIO_03!$P$14),SUMIFS(LANÇAMENTOS_01!$J:$J,LANÇAMENTOS_01!$C:$C,AUX_03!J144,LANÇAMENTOS_01!$K:$K,"&gt;="&amp;RELATORIO_03!$O$3,LANÇAMENTOS_01!$K:$K,"&lt;="&amp;RELATORIO_03!$P$14,LANÇAMENTOS_01!$H:$H,RELATORIO_03!$N$1)))</f>
        <v>0</v>
      </c>
      <c r="L144">
        <f ca="1">IFERROR(LOOKUP(1,1/(COUNTIF($L$1:L143,INDIRECT("CADASTRO_02!$B$2:B"&amp;COUNTA(CADASTRO_02!A:A)))=0),INDIRECT("CADASTRO_02!$B$2:B"&amp;COUNTA(CADASTRO_02!A:A))),0)</f>
        <v>0</v>
      </c>
      <c r="M144">
        <f ca="1">IF(RELATORIO_03!$O$1=1,(IF(RELATORIO_03!$N$1="Todos",SUMIFS(LANÇAMENTOS_02!$J:$J,LANÇAMENTOS_02!$L:$L,"&lt;&gt;"&amp;$I$1,LANÇAMENTOS_02!$C:$C,AUX_03!L144,LANÇAMENTOS_02!$L:$L,"&gt;="&amp;RELATORIO_03!$O$3,LANÇAMENTOS_02!$L:$L,"&lt;="&amp;RELATORIO_03!$P$14),SUMIFS(LANÇAMENTOS_02!$J:$J,LANÇAMENTOS_02!$C:$C,AUX_03!L144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144,LANÇAMENTOS_02!$K:$K,"&gt;="&amp;RELATORIO_03!$O$3,LANÇAMENTOS_02!$K:$K,"&lt;="&amp;RELATORIO_03!$P$14),SUMIFS(LANÇAMENTOS_02!$J:$J,LANÇAMENTOS_02!$C:$C,AUX_03!L144,LANÇAMENTOS_02!$K:$K,"&gt;="&amp;RELATORIO_03!$O$3,LANÇAMENTOS_02!$K:$K,"&lt;="&amp;RELATORIO_03!$P$14,LANÇAMENTOS_02!$H:$H,RELATORIO_03!$N$1)))</f>
        <v>0</v>
      </c>
    </row>
    <row r="145" spans="2:13" x14ac:dyDescent="0.25">
      <c r="B145" s="31"/>
      <c r="F145" s="32"/>
      <c r="I145" s="32"/>
      <c r="J145">
        <f ca="1">IFERROR(LOOKUP(1,1/(COUNTIF($J$1:J144,INDIRECT("CADASTRO_01!$B$2:B"&amp;COUNTA(CADASTRO_01!A:A)))=0),INDIRECT("CADASTRO_01!$B$2:B"&amp;COUNTA(CADASTRO_01!A:A))),0)</f>
        <v>0</v>
      </c>
      <c r="K145">
        <f ca="1">IF(RELATORIO_03!$O$1=1,(IF(RELATORIO_03!$N$1="Todos",SUMIFS(LANÇAMENTOS_01!$J:$J,LANÇAMENTOS_01!$L:$L,"&lt;&gt;"&amp;$I$1,LANÇAMENTOS_01!$C:$C,AUX_03!J145,LANÇAMENTOS_01!$L:$L,"&gt;="&amp;RELATORIO_03!$O$3,LANÇAMENTOS_01!$L:$L,"&lt;="&amp;RELATORIO_03!$P$14),SUMIFS(LANÇAMENTOS_01!$J:$J,LANÇAMENTOS_01!$C:$C,AUX_03!J145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145,LANÇAMENTOS_01!$K:$K,"&gt;="&amp;RELATORIO_03!$O$3,LANÇAMENTOS_01!$K:$K,"&lt;="&amp;RELATORIO_03!$P$14),SUMIFS(LANÇAMENTOS_01!$J:$J,LANÇAMENTOS_01!$C:$C,AUX_03!J145,LANÇAMENTOS_01!$K:$K,"&gt;="&amp;RELATORIO_03!$O$3,LANÇAMENTOS_01!$K:$K,"&lt;="&amp;RELATORIO_03!$P$14,LANÇAMENTOS_01!$H:$H,RELATORIO_03!$N$1)))</f>
        <v>0</v>
      </c>
      <c r="L145">
        <f ca="1">IFERROR(LOOKUP(1,1/(COUNTIF($L$1:L144,INDIRECT("CADASTRO_02!$B$2:B"&amp;COUNTA(CADASTRO_02!A:A)))=0),INDIRECT("CADASTRO_02!$B$2:B"&amp;COUNTA(CADASTRO_02!A:A))),0)</f>
        <v>0</v>
      </c>
      <c r="M145">
        <f ca="1">IF(RELATORIO_03!$O$1=1,(IF(RELATORIO_03!$N$1="Todos",SUMIFS(LANÇAMENTOS_02!$J:$J,LANÇAMENTOS_02!$L:$L,"&lt;&gt;"&amp;$I$1,LANÇAMENTOS_02!$C:$C,AUX_03!L145,LANÇAMENTOS_02!$L:$L,"&gt;="&amp;RELATORIO_03!$O$3,LANÇAMENTOS_02!$L:$L,"&lt;="&amp;RELATORIO_03!$P$14),SUMIFS(LANÇAMENTOS_02!$J:$J,LANÇAMENTOS_02!$C:$C,AUX_03!L145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145,LANÇAMENTOS_02!$K:$K,"&gt;="&amp;RELATORIO_03!$O$3,LANÇAMENTOS_02!$K:$K,"&lt;="&amp;RELATORIO_03!$P$14),SUMIFS(LANÇAMENTOS_02!$J:$J,LANÇAMENTOS_02!$C:$C,AUX_03!L145,LANÇAMENTOS_02!$K:$K,"&gt;="&amp;RELATORIO_03!$O$3,LANÇAMENTOS_02!$K:$K,"&lt;="&amp;RELATORIO_03!$P$14,LANÇAMENTOS_02!$H:$H,RELATORIO_03!$N$1)))</f>
        <v>0</v>
      </c>
    </row>
    <row r="146" spans="2:13" x14ac:dyDescent="0.25">
      <c r="B146" s="31"/>
      <c r="F146" s="32"/>
      <c r="I146" s="32"/>
      <c r="J146">
        <f ca="1">IFERROR(LOOKUP(1,1/(COUNTIF($J$1:J145,INDIRECT("CADASTRO_01!$B$2:B"&amp;COUNTA(CADASTRO_01!A:A)))=0),INDIRECT("CADASTRO_01!$B$2:B"&amp;COUNTA(CADASTRO_01!A:A))),0)</f>
        <v>0</v>
      </c>
      <c r="K146">
        <f ca="1">IF(RELATORIO_03!$O$1=1,(IF(RELATORIO_03!$N$1="Todos",SUMIFS(LANÇAMENTOS_01!$J:$J,LANÇAMENTOS_01!$L:$L,"&lt;&gt;"&amp;$I$1,LANÇAMENTOS_01!$C:$C,AUX_03!J146,LANÇAMENTOS_01!$L:$L,"&gt;="&amp;RELATORIO_03!$O$3,LANÇAMENTOS_01!$L:$L,"&lt;="&amp;RELATORIO_03!$P$14),SUMIFS(LANÇAMENTOS_01!$J:$J,LANÇAMENTOS_01!$C:$C,AUX_03!J146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146,LANÇAMENTOS_01!$K:$K,"&gt;="&amp;RELATORIO_03!$O$3,LANÇAMENTOS_01!$K:$K,"&lt;="&amp;RELATORIO_03!$P$14),SUMIFS(LANÇAMENTOS_01!$J:$J,LANÇAMENTOS_01!$C:$C,AUX_03!J146,LANÇAMENTOS_01!$K:$K,"&gt;="&amp;RELATORIO_03!$O$3,LANÇAMENTOS_01!$K:$K,"&lt;="&amp;RELATORIO_03!$P$14,LANÇAMENTOS_01!$H:$H,RELATORIO_03!$N$1)))</f>
        <v>0</v>
      </c>
      <c r="L146">
        <f ca="1">IFERROR(LOOKUP(1,1/(COUNTIF($L$1:L145,INDIRECT("CADASTRO_02!$B$2:B"&amp;COUNTA(CADASTRO_02!A:A)))=0),INDIRECT("CADASTRO_02!$B$2:B"&amp;COUNTA(CADASTRO_02!A:A))),0)</f>
        <v>0</v>
      </c>
      <c r="M146">
        <f ca="1">IF(RELATORIO_03!$O$1=1,(IF(RELATORIO_03!$N$1="Todos",SUMIFS(LANÇAMENTOS_02!$J:$J,LANÇAMENTOS_02!$L:$L,"&lt;&gt;"&amp;$I$1,LANÇAMENTOS_02!$C:$C,AUX_03!L146,LANÇAMENTOS_02!$L:$L,"&gt;="&amp;RELATORIO_03!$O$3,LANÇAMENTOS_02!$L:$L,"&lt;="&amp;RELATORIO_03!$P$14),SUMIFS(LANÇAMENTOS_02!$J:$J,LANÇAMENTOS_02!$C:$C,AUX_03!L146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146,LANÇAMENTOS_02!$K:$K,"&gt;="&amp;RELATORIO_03!$O$3,LANÇAMENTOS_02!$K:$K,"&lt;="&amp;RELATORIO_03!$P$14),SUMIFS(LANÇAMENTOS_02!$J:$J,LANÇAMENTOS_02!$C:$C,AUX_03!L146,LANÇAMENTOS_02!$K:$K,"&gt;="&amp;RELATORIO_03!$O$3,LANÇAMENTOS_02!$K:$K,"&lt;="&amp;RELATORIO_03!$P$14,LANÇAMENTOS_02!$H:$H,RELATORIO_03!$N$1)))</f>
        <v>0</v>
      </c>
    </row>
    <row r="147" spans="2:13" x14ac:dyDescent="0.25">
      <c r="B147" s="31"/>
      <c r="F147" s="32"/>
      <c r="I147" s="32"/>
      <c r="J147">
        <f ca="1">IFERROR(LOOKUP(1,1/(COUNTIF($J$1:J146,INDIRECT("CADASTRO_01!$B$2:B"&amp;COUNTA(CADASTRO_01!A:A)))=0),INDIRECT("CADASTRO_01!$B$2:B"&amp;COUNTA(CADASTRO_01!A:A))),0)</f>
        <v>0</v>
      </c>
      <c r="K147">
        <f ca="1">IF(RELATORIO_03!$O$1=1,(IF(RELATORIO_03!$N$1="Todos",SUMIFS(LANÇAMENTOS_01!$J:$J,LANÇAMENTOS_01!$L:$L,"&lt;&gt;"&amp;$I$1,LANÇAMENTOS_01!$C:$C,AUX_03!J147,LANÇAMENTOS_01!$L:$L,"&gt;="&amp;RELATORIO_03!$O$3,LANÇAMENTOS_01!$L:$L,"&lt;="&amp;RELATORIO_03!$P$14),SUMIFS(LANÇAMENTOS_01!$J:$J,LANÇAMENTOS_01!$C:$C,AUX_03!J147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147,LANÇAMENTOS_01!$K:$K,"&gt;="&amp;RELATORIO_03!$O$3,LANÇAMENTOS_01!$K:$K,"&lt;="&amp;RELATORIO_03!$P$14),SUMIFS(LANÇAMENTOS_01!$J:$J,LANÇAMENTOS_01!$C:$C,AUX_03!J147,LANÇAMENTOS_01!$K:$K,"&gt;="&amp;RELATORIO_03!$O$3,LANÇAMENTOS_01!$K:$K,"&lt;="&amp;RELATORIO_03!$P$14,LANÇAMENTOS_01!$H:$H,RELATORIO_03!$N$1)))</f>
        <v>0</v>
      </c>
      <c r="L147">
        <f ca="1">IFERROR(LOOKUP(1,1/(COUNTIF($L$1:L146,INDIRECT("CADASTRO_02!$B$2:B"&amp;COUNTA(CADASTRO_02!A:A)))=0),INDIRECT("CADASTRO_02!$B$2:B"&amp;COUNTA(CADASTRO_02!A:A))),0)</f>
        <v>0</v>
      </c>
      <c r="M147">
        <f ca="1">IF(RELATORIO_03!$O$1=1,(IF(RELATORIO_03!$N$1="Todos",SUMIFS(LANÇAMENTOS_02!$J:$J,LANÇAMENTOS_02!$L:$L,"&lt;&gt;"&amp;$I$1,LANÇAMENTOS_02!$C:$C,AUX_03!L147,LANÇAMENTOS_02!$L:$L,"&gt;="&amp;RELATORIO_03!$O$3,LANÇAMENTOS_02!$L:$L,"&lt;="&amp;RELATORIO_03!$P$14),SUMIFS(LANÇAMENTOS_02!$J:$J,LANÇAMENTOS_02!$C:$C,AUX_03!L147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147,LANÇAMENTOS_02!$K:$K,"&gt;="&amp;RELATORIO_03!$O$3,LANÇAMENTOS_02!$K:$K,"&lt;="&amp;RELATORIO_03!$P$14),SUMIFS(LANÇAMENTOS_02!$J:$J,LANÇAMENTOS_02!$C:$C,AUX_03!L147,LANÇAMENTOS_02!$K:$K,"&gt;="&amp;RELATORIO_03!$O$3,LANÇAMENTOS_02!$K:$K,"&lt;="&amp;RELATORIO_03!$P$14,LANÇAMENTOS_02!$H:$H,RELATORIO_03!$N$1)))</f>
        <v>0</v>
      </c>
    </row>
    <row r="148" spans="2:13" x14ac:dyDescent="0.25">
      <c r="B148" s="31"/>
      <c r="F148" s="32"/>
      <c r="I148" s="32"/>
      <c r="J148">
        <f ca="1">IFERROR(LOOKUP(1,1/(COUNTIF($J$1:J147,INDIRECT("CADASTRO_01!$B$2:B"&amp;COUNTA(CADASTRO_01!A:A)))=0),INDIRECT("CADASTRO_01!$B$2:B"&amp;COUNTA(CADASTRO_01!A:A))),0)</f>
        <v>0</v>
      </c>
      <c r="K148">
        <f ca="1">IF(RELATORIO_03!$O$1=1,(IF(RELATORIO_03!$N$1="Todos",SUMIFS(LANÇAMENTOS_01!$J:$J,LANÇAMENTOS_01!$L:$L,"&lt;&gt;"&amp;$I$1,LANÇAMENTOS_01!$C:$C,AUX_03!J148,LANÇAMENTOS_01!$L:$L,"&gt;="&amp;RELATORIO_03!$O$3,LANÇAMENTOS_01!$L:$L,"&lt;="&amp;RELATORIO_03!$P$14),SUMIFS(LANÇAMENTOS_01!$J:$J,LANÇAMENTOS_01!$C:$C,AUX_03!J148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148,LANÇAMENTOS_01!$K:$K,"&gt;="&amp;RELATORIO_03!$O$3,LANÇAMENTOS_01!$K:$K,"&lt;="&amp;RELATORIO_03!$P$14),SUMIFS(LANÇAMENTOS_01!$J:$J,LANÇAMENTOS_01!$C:$C,AUX_03!J148,LANÇAMENTOS_01!$K:$K,"&gt;="&amp;RELATORIO_03!$O$3,LANÇAMENTOS_01!$K:$K,"&lt;="&amp;RELATORIO_03!$P$14,LANÇAMENTOS_01!$H:$H,RELATORIO_03!$N$1)))</f>
        <v>0</v>
      </c>
      <c r="L148">
        <f ca="1">IFERROR(LOOKUP(1,1/(COUNTIF($L$1:L147,INDIRECT("CADASTRO_02!$B$2:B"&amp;COUNTA(CADASTRO_02!A:A)))=0),INDIRECT("CADASTRO_02!$B$2:B"&amp;COUNTA(CADASTRO_02!A:A))),0)</f>
        <v>0</v>
      </c>
      <c r="M148">
        <f ca="1">IF(RELATORIO_03!$O$1=1,(IF(RELATORIO_03!$N$1="Todos",SUMIFS(LANÇAMENTOS_02!$J:$J,LANÇAMENTOS_02!$L:$L,"&lt;&gt;"&amp;$I$1,LANÇAMENTOS_02!$C:$C,AUX_03!L148,LANÇAMENTOS_02!$L:$L,"&gt;="&amp;RELATORIO_03!$O$3,LANÇAMENTOS_02!$L:$L,"&lt;="&amp;RELATORIO_03!$P$14),SUMIFS(LANÇAMENTOS_02!$J:$J,LANÇAMENTOS_02!$C:$C,AUX_03!L148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148,LANÇAMENTOS_02!$K:$K,"&gt;="&amp;RELATORIO_03!$O$3,LANÇAMENTOS_02!$K:$K,"&lt;="&amp;RELATORIO_03!$P$14),SUMIFS(LANÇAMENTOS_02!$J:$J,LANÇAMENTOS_02!$C:$C,AUX_03!L148,LANÇAMENTOS_02!$K:$K,"&gt;="&amp;RELATORIO_03!$O$3,LANÇAMENTOS_02!$K:$K,"&lt;="&amp;RELATORIO_03!$P$14,LANÇAMENTOS_02!$H:$H,RELATORIO_03!$N$1)))</f>
        <v>0</v>
      </c>
    </row>
    <row r="149" spans="2:13" x14ac:dyDescent="0.25">
      <c r="B149" s="31"/>
      <c r="F149" s="32"/>
      <c r="I149" s="32"/>
      <c r="J149">
        <f ca="1">IFERROR(LOOKUP(1,1/(COUNTIF($J$1:J148,INDIRECT("CADASTRO_01!$B$2:B"&amp;COUNTA(CADASTRO_01!A:A)))=0),INDIRECT("CADASTRO_01!$B$2:B"&amp;COUNTA(CADASTRO_01!A:A))),0)</f>
        <v>0</v>
      </c>
      <c r="K149">
        <f ca="1">IF(RELATORIO_03!$O$1=1,(IF(RELATORIO_03!$N$1="Todos",SUMIFS(LANÇAMENTOS_01!$J:$J,LANÇAMENTOS_01!$L:$L,"&lt;&gt;"&amp;$I$1,LANÇAMENTOS_01!$C:$C,AUX_03!J149,LANÇAMENTOS_01!$L:$L,"&gt;="&amp;RELATORIO_03!$O$3,LANÇAMENTOS_01!$L:$L,"&lt;="&amp;RELATORIO_03!$P$14),SUMIFS(LANÇAMENTOS_01!$J:$J,LANÇAMENTOS_01!$C:$C,AUX_03!J149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149,LANÇAMENTOS_01!$K:$K,"&gt;="&amp;RELATORIO_03!$O$3,LANÇAMENTOS_01!$K:$K,"&lt;="&amp;RELATORIO_03!$P$14),SUMIFS(LANÇAMENTOS_01!$J:$J,LANÇAMENTOS_01!$C:$C,AUX_03!J149,LANÇAMENTOS_01!$K:$K,"&gt;="&amp;RELATORIO_03!$O$3,LANÇAMENTOS_01!$K:$K,"&lt;="&amp;RELATORIO_03!$P$14,LANÇAMENTOS_01!$H:$H,RELATORIO_03!$N$1)))</f>
        <v>0</v>
      </c>
      <c r="L149">
        <f ca="1">IFERROR(LOOKUP(1,1/(COUNTIF($L$1:L148,INDIRECT("CADASTRO_02!$B$2:B"&amp;COUNTA(CADASTRO_02!A:A)))=0),INDIRECT("CADASTRO_02!$B$2:B"&amp;COUNTA(CADASTRO_02!A:A))),0)</f>
        <v>0</v>
      </c>
      <c r="M149">
        <f ca="1">IF(RELATORIO_03!$O$1=1,(IF(RELATORIO_03!$N$1="Todos",SUMIFS(LANÇAMENTOS_02!$J:$J,LANÇAMENTOS_02!$L:$L,"&lt;&gt;"&amp;$I$1,LANÇAMENTOS_02!$C:$C,AUX_03!L149,LANÇAMENTOS_02!$L:$L,"&gt;="&amp;RELATORIO_03!$O$3,LANÇAMENTOS_02!$L:$L,"&lt;="&amp;RELATORIO_03!$P$14),SUMIFS(LANÇAMENTOS_02!$J:$J,LANÇAMENTOS_02!$C:$C,AUX_03!L149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149,LANÇAMENTOS_02!$K:$K,"&gt;="&amp;RELATORIO_03!$O$3,LANÇAMENTOS_02!$K:$K,"&lt;="&amp;RELATORIO_03!$P$14),SUMIFS(LANÇAMENTOS_02!$J:$J,LANÇAMENTOS_02!$C:$C,AUX_03!L149,LANÇAMENTOS_02!$K:$K,"&gt;="&amp;RELATORIO_03!$O$3,LANÇAMENTOS_02!$K:$K,"&lt;="&amp;RELATORIO_03!$P$14,LANÇAMENTOS_02!$H:$H,RELATORIO_03!$N$1)))</f>
        <v>0</v>
      </c>
    </row>
    <row r="150" spans="2:13" x14ac:dyDescent="0.25">
      <c r="B150" s="31"/>
      <c r="F150" s="32"/>
      <c r="I150" s="32"/>
      <c r="J150">
        <f ca="1">IFERROR(LOOKUP(1,1/(COUNTIF($J$1:J149,INDIRECT("CADASTRO_01!$B$2:B"&amp;COUNTA(CADASTRO_01!A:A)))=0),INDIRECT("CADASTRO_01!$B$2:B"&amp;COUNTA(CADASTRO_01!A:A))),0)</f>
        <v>0</v>
      </c>
      <c r="K150">
        <f ca="1">IF(RELATORIO_03!$O$1=1,(IF(RELATORIO_03!$N$1="Todos",SUMIFS(LANÇAMENTOS_01!$J:$J,LANÇAMENTOS_01!$L:$L,"&lt;&gt;"&amp;$I$1,LANÇAMENTOS_01!$C:$C,AUX_03!J150,LANÇAMENTOS_01!$L:$L,"&gt;="&amp;RELATORIO_03!$O$3,LANÇAMENTOS_01!$L:$L,"&lt;="&amp;RELATORIO_03!$P$14),SUMIFS(LANÇAMENTOS_01!$J:$J,LANÇAMENTOS_01!$C:$C,AUX_03!J150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150,LANÇAMENTOS_01!$K:$K,"&gt;="&amp;RELATORIO_03!$O$3,LANÇAMENTOS_01!$K:$K,"&lt;="&amp;RELATORIO_03!$P$14),SUMIFS(LANÇAMENTOS_01!$J:$J,LANÇAMENTOS_01!$C:$C,AUX_03!J150,LANÇAMENTOS_01!$K:$K,"&gt;="&amp;RELATORIO_03!$O$3,LANÇAMENTOS_01!$K:$K,"&lt;="&amp;RELATORIO_03!$P$14,LANÇAMENTOS_01!$H:$H,RELATORIO_03!$N$1)))</f>
        <v>0</v>
      </c>
      <c r="L150">
        <f ca="1">IFERROR(LOOKUP(1,1/(COUNTIF($L$1:L149,INDIRECT("CADASTRO_02!$B$2:B"&amp;COUNTA(CADASTRO_02!A:A)))=0),INDIRECT("CADASTRO_02!$B$2:B"&amp;COUNTA(CADASTRO_02!A:A))),0)</f>
        <v>0</v>
      </c>
      <c r="M150">
        <f ca="1">IF(RELATORIO_03!$O$1=1,(IF(RELATORIO_03!$N$1="Todos",SUMIFS(LANÇAMENTOS_02!$J:$J,LANÇAMENTOS_02!$L:$L,"&lt;&gt;"&amp;$I$1,LANÇAMENTOS_02!$C:$C,AUX_03!L150,LANÇAMENTOS_02!$L:$L,"&gt;="&amp;RELATORIO_03!$O$3,LANÇAMENTOS_02!$L:$L,"&lt;="&amp;RELATORIO_03!$P$14),SUMIFS(LANÇAMENTOS_02!$J:$J,LANÇAMENTOS_02!$C:$C,AUX_03!L150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150,LANÇAMENTOS_02!$K:$K,"&gt;="&amp;RELATORIO_03!$O$3,LANÇAMENTOS_02!$K:$K,"&lt;="&amp;RELATORIO_03!$P$14),SUMIFS(LANÇAMENTOS_02!$J:$J,LANÇAMENTOS_02!$C:$C,AUX_03!L150,LANÇAMENTOS_02!$K:$K,"&gt;="&amp;RELATORIO_03!$O$3,LANÇAMENTOS_02!$K:$K,"&lt;="&amp;RELATORIO_03!$P$14,LANÇAMENTOS_02!$H:$H,RELATORIO_03!$N$1)))</f>
        <v>0</v>
      </c>
    </row>
    <row r="151" spans="2:13" x14ac:dyDescent="0.25">
      <c r="B151" s="31"/>
      <c r="F151" s="32"/>
      <c r="I151" s="32"/>
      <c r="J151">
        <f ca="1">IFERROR(LOOKUP(1,1/(COUNTIF($J$1:J150,INDIRECT("CADASTRO_01!$B$2:B"&amp;COUNTA(CADASTRO_01!A:A)))=0),INDIRECT("CADASTRO_01!$B$2:B"&amp;COUNTA(CADASTRO_01!A:A))),0)</f>
        <v>0</v>
      </c>
      <c r="K151">
        <f ca="1">IF(RELATORIO_03!$O$1=1,(IF(RELATORIO_03!$N$1="Todos",SUMIFS(LANÇAMENTOS_01!$J:$J,LANÇAMENTOS_01!$L:$L,"&lt;&gt;"&amp;$I$1,LANÇAMENTOS_01!$C:$C,AUX_03!J151,LANÇAMENTOS_01!$L:$L,"&gt;="&amp;RELATORIO_03!$O$3,LANÇAMENTOS_01!$L:$L,"&lt;="&amp;RELATORIO_03!$P$14),SUMIFS(LANÇAMENTOS_01!$J:$J,LANÇAMENTOS_01!$C:$C,AUX_03!J151,LANÇAMENTOS_01!$L:$L,"&gt;="&amp;RELATORIO_03!$O$3,LANÇAMENTOS_01!$L:$L,"&lt;="&amp;RELATORIO_03!$P$14,LANÇAMENTOS_01!$H:$H,RELATORIO_03!$N$1))),IF(RELATORIO_03!$N$1="Todos",SUMIFS(LANÇAMENTOS_01!$J:$J,LANÇAMENTOS_01!$K:$K,"&lt;&gt;"&amp;$I$1,LANÇAMENTOS_01!$C:$C,AUX_03!J151,LANÇAMENTOS_01!$K:$K,"&gt;="&amp;RELATORIO_03!$O$3,LANÇAMENTOS_01!$K:$K,"&lt;="&amp;RELATORIO_03!$P$14),SUMIFS(LANÇAMENTOS_01!$J:$J,LANÇAMENTOS_01!$C:$C,AUX_03!J151,LANÇAMENTOS_01!$K:$K,"&gt;="&amp;RELATORIO_03!$O$3,LANÇAMENTOS_01!$K:$K,"&lt;="&amp;RELATORIO_03!$P$14,LANÇAMENTOS_01!$H:$H,RELATORIO_03!$N$1)))</f>
        <v>0</v>
      </c>
      <c r="L151">
        <f ca="1">IFERROR(LOOKUP(1,1/(COUNTIF($L$1:L150,INDIRECT("CADASTRO_02!$B$2:B"&amp;COUNTA(CADASTRO_02!A:A)))=0),INDIRECT("CADASTRO_02!$B$2:B"&amp;COUNTA(CADASTRO_02!A:A))),0)</f>
        <v>0</v>
      </c>
      <c r="M151">
        <f ca="1">IF(RELATORIO_03!$O$1=1,(IF(RELATORIO_03!$N$1="Todos",SUMIFS(LANÇAMENTOS_02!$J:$J,LANÇAMENTOS_02!$L:$L,"&lt;&gt;"&amp;$I$1,LANÇAMENTOS_02!$C:$C,AUX_03!L151,LANÇAMENTOS_02!$L:$L,"&gt;="&amp;RELATORIO_03!$O$3,LANÇAMENTOS_02!$L:$L,"&lt;="&amp;RELATORIO_03!$P$14),SUMIFS(LANÇAMENTOS_02!$J:$J,LANÇAMENTOS_02!$C:$C,AUX_03!L151,LANÇAMENTOS_02!$L:$L,"&gt;="&amp;RELATORIO_03!$O$3,LANÇAMENTOS_02!$L:$L,"&lt;="&amp;RELATORIO_03!$P$14,LANÇAMENTOS_02!$H:$H,RELATORIO_03!$N$1))),IF(RELATORIO_03!$N$1="Todos",SUMIFS(LANÇAMENTOS_02!$J:$J,LANÇAMENTOS_02!$K:$K,"&lt;&gt;"&amp;$I$1,LANÇAMENTOS_02!$C:$C,AUX_03!L151,LANÇAMENTOS_02!$K:$K,"&gt;="&amp;RELATORIO_03!$O$3,LANÇAMENTOS_02!$K:$K,"&lt;="&amp;RELATORIO_03!$P$14),SUMIFS(LANÇAMENTOS_02!$J:$J,LANÇAMENTOS_02!$C:$C,AUX_03!L151,LANÇAMENTOS_02!$K:$K,"&gt;="&amp;RELATORIO_03!$O$3,LANÇAMENTOS_02!$K:$K,"&lt;="&amp;RELATORIO_03!$P$14,LANÇAMENTOS_02!$H:$H,RELATORIO_03!$N$1)))</f>
        <v>0</v>
      </c>
    </row>
    <row r="152" spans="2:13" x14ac:dyDescent="0.25">
      <c r="B152" s="31"/>
      <c r="F152" s="32"/>
      <c r="I152" s="32"/>
    </row>
    <row r="153" spans="2:13" x14ac:dyDescent="0.25">
      <c r="B153" s="31"/>
      <c r="F153" s="32"/>
      <c r="I153" s="32"/>
    </row>
    <row r="154" spans="2:13" x14ac:dyDescent="0.25">
      <c r="B154" s="31"/>
      <c r="F154" s="32"/>
      <c r="I154" s="32"/>
    </row>
    <row r="155" spans="2:13" x14ac:dyDescent="0.25">
      <c r="B155" s="31"/>
      <c r="F155" s="32"/>
      <c r="I155" s="32"/>
    </row>
    <row r="156" spans="2:13" x14ac:dyDescent="0.25">
      <c r="B156" s="31"/>
      <c r="F156" s="32"/>
      <c r="I156" s="32"/>
    </row>
    <row r="157" spans="2:13" x14ac:dyDescent="0.25">
      <c r="B157" s="31"/>
      <c r="F157" s="32"/>
      <c r="I157" s="32"/>
    </row>
    <row r="158" spans="2:13" x14ac:dyDescent="0.25">
      <c r="B158" s="31"/>
      <c r="F158" s="32"/>
      <c r="I158" s="32"/>
    </row>
    <row r="159" spans="2:13" x14ac:dyDescent="0.25">
      <c r="B159" s="31"/>
      <c r="F159" s="32"/>
      <c r="I159" s="32"/>
    </row>
    <row r="160" spans="2:13" x14ac:dyDescent="0.25">
      <c r="B160" s="31"/>
      <c r="F160" s="32"/>
      <c r="I160" s="32"/>
    </row>
    <row r="161" spans="2:9" x14ac:dyDescent="0.25">
      <c r="B161" s="31"/>
      <c r="F161" s="32"/>
      <c r="I161" s="32"/>
    </row>
    <row r="162" spans="2:9" x14ac:dyDescent="0.25">
      <c r="B162" s="31"/>
      <c r="F162" s="32"/>
      <c r="I162" s="32"/>
    </row>
    <row r="163" spans="2:9" x14ac:dyDescent="0.25">
      <c r="B163" s="31"/>
      <c r="F163" s="32"/>
      <c r="I163" s="32"/>
    </row>
    <row r="164" spans="2:9" x14ac:dyDescent="0.25">
      <c r="B164" s="31"/>
      <c r="F164" s="32"/>
      <c r="I164" s="32"/>
    </row>
    <row r="165" spans="2:9" x14ac:dyDescent="0.25">
      <c r="B165" s="31"/>
      <c r="F165" s="32"/>
      <c r="I165" s="32"/>
    </row>
    <row r="166" spans="2:9" x14ac:dyDescent="0.25">
      <c r="B166" s="31"/>
      <c r="F166" s="32"/>
      <c r="I166" s="32"/>
    </row>
    <row r="167" spans="2:9" x14ac:dyDescent="0.25">
      <c r="B167" s="31"/>
      <c r="F167" s="32"/>
      <c r="I167" s="32"/>
    </row>
    <row r="168" spans="2:9" x14ac:dyDescent="0.25">
      <c r="B168" s="31"/>
      <c r="F168" s="32"/>
      <c r="I168" s="32"/>
    </row>
    <row r="169" spans="2:9" x14ac:dyDescent="0.25">
      <c r="B169" s="31"/>
      <c r="F169" s="32"/>
      <c r="I169" s="32"/>
    </row>
    <row r="170" spans="2:9" x14ac:dyDescent="0.25">
      <c r="B170" s="31"/>
      <c r="F170" s="32"/>
      <c r="I170" s="32"/>
    </row>
    <row r="171" spans="2:9" x14ac:dyDescent="0.25">
      <c r="B171" s="31"/>
      <c r="F171" s="32"/>
      <c r="I171" s="32"/>
    </row>
    <row r="172" spans="2:9" x14ac:dyDescent="0.25">
      <c r="B172" s="31"/>
      <c r="F172" s="32"/>
      <c r="I172" s="32"/>
    </row>
    <row r="173" spans="2:9" x14ac:dyDescent="0.25">
      <c r="B173" s="31"/>
      <c r="F173" s="32"/>
      <c r="I173" s="32"/>
    </row>
    <row r="174" spans="2:9" x14ac:dyDescent="0.25">
      <c r="B174" s="31"/>
      <c r="F174" s="32"/>
      <c r="I174" s="32"/>
    </row>
    <row r="175" spans="2:9" x14ac:dyDescent="0.25">
      <c r="B175" s="31"/>
      <c r="F175" s="32"/>
      <c r="I175" s="32"/>
    </row>
    <row r="176" spans="2:9" x14ac:dyDescent="0.25">
      <c r="B176" s="31"/>
      <c r="F176" s="32"/>
      <c r="I176" s="32"/>
    </row>
    <row r="177" spans="2:9" x14ac:dyDescent="0.25">
      <c r="B177" s="31"/>
      <c r="F177" s="32"/>
      <c r="I177" s="32"/>
    </row>
    <row r="178" spans="2:9" x14ac:dyDescent="0.25">
      <c r="B178" s="31"/>
      <c r="F178" s="32"/>
      <c r="I178" s="32"/>
    </row>
    <row r="179" spans="2:9" x14ac:dyDescent="0.25">
      <c r="B179" s="31"/>
      <c r="F179" s="32"/>
      <c r="I179" s="32"/>
    </row>
    <row r="180" spans="2:9" x14ac:dyDescent="0.25">
      <c r="B180" s="31"/>
      <c r="F180" s="32"/>
      <c r="I180" s="32"/>
    </row>
    <row r="181" spans="2:9" x14ac:dyDescent="0.25">
      <c r="B181" s="31"/>
      <c r="F181" s="32"/>
      <c r="I181" s="32"/>
    </row>
    <row r="182" spans="2:9" x14ac:dyDescent="0.25">
      <c r="B182" s="31"/>
      <c r="F182" s="32"/>
      <c r="I182" s="32"/>
    </row>
    <row r="183" spans="2:9" x14ac:dyDescent="0.25">
      <c r="B183" s="31"/>
      <c r="F183" s="32"/>
      <c r="I183" s="32"/>
    </row>
    <row r="184" spans="2:9" x14ac:dyDescent="0.25">
      <c r="B184" s="31"/>
      <c r="F184" s="32"/>
      <c r="I184" s="32"/>
    </row>
    <row r="185" spans="2:9" x14ac:dyDescent="0.25">
      <c r="B185" s="31"/>
      <c r="F185" s="32"/>
      <c r="I185" s="32"/>
    </row>
    <row r="186" spans="2:9" x14ac:dyDescent="0.25">
      <c r="B186" s="31"/>
      <c r="F186" s="32"/>
      <c r="I186" s="32"/>
    </row>
    <row r="187" spans="2:9" x14ac:dyDescent="0.25">
      <c r="B187" s="31"/>
      <c r="F187" s="32"/>
      <c r="I187" s="32"/>
    </row>
    <row r="188" spans="2:9" x14ac:dyDescent="0.25">
      <c r="B188" s="31"/>
      <c r="F188" s="32"/>
      <c r="I188" s="32"/>
    </row>
    <row r="189" spans="2:9" x14ac:dyDescent="0.25">
      <c r="B189" s="31"/>
      <c r="F189" s="32"/>
      <c r="I189" s="32"/>
    </row>
    <row r="190" spans="2:9" x14ac:dyDescent="0.25">
      <c r="B190" s="31"/>
      <c r="F190" s="32"/>
      <c r="I190" s="32"/>
    </row>
    <row r="191" spans="2:9" x14ac:dyDescent="0.25">
      <c r="B191" s="31"/>
      <c r="F191" s="32"/>
      <c r="I191" s="32"/>
    </row>
    <row r="192" spans="2:9" x14ac:dyDescent="0.25">
      <c r="B192" s="31"/>
      <c r="F192" s="32"/>
      <c r="I192" s="32"/>
    </row>
    <row r="193" spans="2:9" x14ac:dyDescent="0.25">
      <c r="B193" s="31"/>
      <c r="F193" s="32"/>
      <c r="I193" s="32"/>
    </row>
    <row r="194" spans="2:9" x14ac:dyDescent="0.25">
      <c r="B194" s="31"/>
      <c r="F194" s="32"/>
      <c r="I194" s="32"/>
    </row>
    <row r="195" spans="2:9" x14ac:dyDescent="0.25">
      <c r="B195" s="31"/>
      <c r="F195" s="32"/>
      <c r="I195" s="32"/>
    </row>
    <row r="196" spans="2:9" x14ac:dyDescent="0.25">
      <c r="B196" s="31"/>
      <c r="F196" s="32"/>
      <c r="I196" s="32"/>
    </row>
    <row r="197" spans="2:9" x14ac:dyDescent="0.25">
      <c r="B197" s="31"/>
      <c r="F197" s="32"/>
      <c r="I197" s="32"/>
    </row>
    <row r="198" spans="2:9" x14ac:dyDescent="0.25">
      <c r="B198" s="31"/>
      <c r="F198" s="32"/>
      <c r="I198" s="32"/>
    </row>
    <row r="199" spans="2:9" x14ac:dyDescent="0.25">
      <c r="B199" s="31"/>
      <c r="F199" s="32"/>
      <c r="I199" s="32"/>
    </row>
    <row r="200" spans="2:9" x14ac:dyDescent="0.25">
      <c r="B200" s="31"/>
      <c r="F200" s="32"/>
      <c r="I200" s="32"/>
    </row>
    <row r="201" spans="2:9" x14ac:dyDescent="0.25">
      <c r="B201" s="31"/>
      <c r="F201" s="32"/>
      <c r="I201" s="32"/>
    </row>
    <row r="202" spans="2:9" x14ac:dyDescent="0.25">
      <c r="B202" s="31"/>
      <c r="F202" s="32"/>
      <c r="I202" s="32"/>
    </row>
    <row r="203" spans="2:9" x14ac:dyDescent="0.25">
      <c r="B203" s="31"/>
      <c r="F203" s="32"/>
      <c r="I203" s="32"/>
    </row>
    <row r="204" spans="2:9" x14ac:dyDescent="0.25">
      <c r="B204" s="31"/>
      <c r="F204" s="32"/>
      <c r="I204" s="32"/>
    </row>
    <row r="205" spans="2:9" x14ac:dyDescent="0.25">
      <c r="B205" s="31"/>
      <c r="F205" s="32"/>
      <c r="I205" s="32"/>
    </row>
    <row r="206" spans="2:9" x14ac:dyDescent="0.25">
      <c r="B206" s="31"/>
      <c r="F206" s="32"/>
      <c r="I206" s="32"/>
    </row>
    <row r="207" spans="2:9" x14ac:dyDescent="0.25">
      <c r="B207" s="31"/>
      <c r="F207" s="32"/>
      <c r="I207" s="32"/>
    </row>
    <row r="208" spans="2:9" x14ac:dyDescent="0.25">
      <c r="B208" s="31"/>
      <c r="F208" s="32"/>
      <c r="I208" s="32"/>
    </row>
    <row r="209" spans="2:9" x14ac:dyDescent="0.25">
      <c r="B209" s="31"/>
      <c r="F209" s="32"/>
      <c r="I209" s="32"/>
    </row>
    <row r="210" spans="2:9" x14ac:dyDescent="0.25">
      <c r="B210" s="31"/>
      <c r="F210" s="32"/>
      <c r="I210" s="32"/>
    </row>
    <row r="211" spans="2:9" x14ac:dyDescent="0.25">
      <c r="B211" s="31"/>
      <c r="F211" s="32"/>
      <c r="I211" s="32"/>
    </row>
    <row r="212" spans="2:9" x14ac:dyDescent="0.25">
      <c r="B212" s="31"/>
      <c r="F212" s="32"/>
      <c r="I212" s="32"/>
    </row>
    <row r="213" spans="2:9" x14ac:dyDescent="0.25">
      <c r="B213" s="31"/>
      <c r="F213" s="32"/>
      <c r="I213" s="32"/>
    </row>
    <row r="214" spans="2:9" x14ac:dyDescent="0.25">
      <c r="B214" s="31"/>
      <c r="F214" s="32"/>
      <c r="I214" s="32"/>
    </row>
    <row r="215" spans="2:9" x14ac:dyDescent="0.25">
      <c r="B215" s="31"/>
      <c r="F215" s="32"/>
      <c r="I215" s="32"/>
    </row>
    <row r="216" spans="2:9" x14ac:dyDescent="0.25">
      <c r="B216" s="31"/>
      <c r="F216" s="32"/>
      <c r="I216" s="32"/>
    </row>
    <row r="217" spans="2:9" x14ac:dyDescent="0.25">
      <c r="B217" s="31"/>
      <c r="F217" s="32"/>
      <c r="I217" s="32"/>
    </row>
    <row r="218" spans="2:9" x14ac:dyDescent="0.25">
      <c r="B218" s="31"/>
      <c r="F218" s="32"/>
      <c r="I218" s="32"/>
    </row>
    <row r="219" spans="2:9" x14ac:dyDescent="0.25">
      <c r="B219" s="31"/>
      <c r="F219" s="32"/>
      <c r="I219" s="32"/>
    </row>
    <row r="220" spans="2:9" x14ac:dyDescent="0.25">
      <c r="B220" s="31"/>
      <c r="F220" s="32"/>
      <c r="I220" s="32"/>
    </row>
    <row r="221" spans="2:9" x14ac:dyDescent="0.25">
      <c r="B221" s="31"/>
      <c r="F221" s="32"/>
      <c r="I221" s="32"/>
    </row>
    <row r="222" spans="2:9" x14ac:dyDescent="0.25">
      <c r="B222" s="31"/>
      <c r="F222" s="32"/>
      <c r="I222" s="32"/>
    </row>
    <row r="223" spans="2:9" x14ac:dyDescent="0.25">
      <c r="B223" s="31"/>
      <c r="F223" s="32"/>
      <c r="I223" s="32"/>
    </row>
    <row r="224" spans="2:9" x14ac:dyDescent="0.25">
      <c r="B224" s="31"/>
      <c r="F224" s="32"/>
      <c r="I224" s="32"/>
    </row>
    <row r="225" spans="2:9" x14ac:dyDescent="0.25">
      <c r="B225" s="31"/>
      <c r="F225" s="32"/>
      <c r="I225" s="32"/>
    </row>
    <row r="226" spans="2:9" x14ac:dyDescent="0.25">
      <c r="B226" s="31"/>
      <c r="F226" s="32"/>
      <c r="I226" s="32"/>
    </row>
    <row r="227" spans="2:9" x14ac:dyDescent="0.25">
      <c r="B227" s="31"/>
      <c r="F227" s="32"/>
      <c r="I227" s="32"/>
    </row>
    <row r="228" spans="2:9" x14ac:dyDescent="0.25">
      <c r="B228" s="31"/>
      <c r="F228" s="32"/>
      <c r="I228" s="32"/>
    </row>
    <row r="229" spans="2:9" x14ac:dyDescent="0.25">
      <c r="B229" s="31"/>
      <c r="F229" s="32"/>
      <c r="I229" s="32"/>
    </row>
    <row r="230" spans="2:9" x14ac:dyDescent="0.25">
      <c r="B230" s="31"/>
      <c r="F230" s="32"/>
      <c r="I230" s="32"/>
    </row>
    <row r="231" spans="2:9" x14ac:dyDescent="0.25">
      <c r="B231" s="31"/>
      <c r="F231" s="32"/>
      <c r="I231" s="32"/>
    </row>
    <row r="232" spans="2:9" x14ac:dyDescent="0.25">
      <c r="B232" s="31"/>
      <c r="F232" s="32"/>
      <c r="I232" s="32"/>
    </row>
    <row r="233" spans="2:9" x14ac:dyDescent="0.25">
      <c r="B233" s="31"/>
      <c r="F233" s="32"/>
      <c r="I233" s="32"/>
    </row>
    <row r="234" spans="2:9" x14ac:dyDescent="0.25">
      <c r="B234" s="31"/>
      <c r="F234" s="32"/>
      <c r="I234" s="32"/>
    </row>
    <row r="235" spans="2:9" x14ac:dyDescent="0.25">
      <c r="B235" s="31"/>
      <c r="F235" s="32"/>
      <c r="I235" s="32"/>
    </row>
    <row r="236" spans="2:9" x14ac:dyDescent="0.25">
      <c r="B236" s="31"/>
      <c r="F236" s="32"/>
      <c r="I236" s="32"/>
    </row>
    <row r="237" spans="2:9" x14ac:dyDescent="0.25">
      <c r="B237" s="31"/>
      <c r="F237" s="32"/>
      <c r="I237" s="32"/>
    </row>
    <row r="238" spans="2:9" x14ac:dyDescent="0.25">
      <c r="B238" s="31"/>
      <c r="F238" s="32"/>
      <c r="I238" s="32"/>
    </row>
    <row r="239" spans="2:9" x14ac:dyDescent="0.25">
      <c r="B239" s="31"/>
      <c r="F239" s="32"/>
      <c r="I239" s="32"/>
    </row>
    <row r="240" spans="2:9" x14ac:dyDescent="0.25">
      <c r="B240" s="31"/>
      <c r="F240" s="32"/>
      <c r="I240" s="32"/>
    </row>
    <row r="241" spans="2:9" x14ac:dyDescent="0.25">
      <c r="B241" s="31"/>
      <c r="F241" s="32"/>
      <c r="I241" s="32"/>
    </row>
    <row r="242" spans="2:9" x14ac:dyDescent="0.25">
      <c r="B242" s="31"/>
      <c r="F242" s="32"/>
      <c r="I242" s="32"/>
    </row>
    <row r="243" spans="2:9" x14ac:dyDescent="0.25">
      <c r="B243" s="31"/>
      <c r="F243" s="32"/>
      <c r="I243" s="32"/>
    </row>
    <row r="244" spans="2:9" x14ac:dyDescent="0.25">
      <c r="B244" s="31"/>
      <c r="F244" s="32"/>
      <c r="I244" s="32"/>
    </row>
    <row r="245" spans="2:9" x14ac:dyDescent="0.25">
      <c r="B245" s="31"/>
      <c r="F245" s="32"/>
      <c r="I245" s="32"/>
    </row>
    <row r="246" spans="2:9" x14ac:dyDescent="0.25">
      <c r="B246" s="31"/>
      <c r="F246" s="32"/>
      <c r="I246" s="32"/>
    </row>
    <row r="247" spans="2:9" x14ac:dyDescent="0.25">
      <c r="B247" s="31"/>
      <c r="F247" s="32"/>
      <c r="I247" s="32"/>
    </row>
    <row r="248" spans="2:9" x14ac:dyDescent="0.25">
      <c r="B248" s="31"/>
      <c r="F248" s="32"/>
      <c r="I248" s="32"/>
    </row>
    <row r="249" spans="2:9" x14ac:dyDescent="0.25">
      <c r="B249" s="31"/>
      <c r="F249" s="32"/>
      <c r="I249" s="32"/>
    </row>
    <row r="250" spans="2:9" x14ac:dyDescent="0.25">
      <c r="B250" s="31"/>
      <c r="F250" s="32"/>
      <c r="I250" s="32"/>
    </row>
    <row r="251" spans="2:9" x14ac:dyDescent="0.25">
      <c r="B251" s="31"/>
      <c r="F251" s="32"/>
      <c r="I251" s="32"/>
    </row>
    <row r="252" spans="2:9" x14ac:dyDescent="0.25">
      <c r="B252" s="31"/>
      <c r="F252" s="32"/>
      <c r="I252" s="32"/>
    </row>
    <row r="253" spans="2:9" x14ac:dyDescent="0.25">
      <c r="B253" s="31"/>
      <c r="F253" s="32"/>
      <c r="I253" s="32"/>
    </row>
    <row r="254" spans="2:9" x14ac:dyDescent="0.25">
      <c r="B254" s="31"/>
      <c r="F254" s="32"/>
      <c r="I254" s="32"/>
    </row>
    <row r="255" spans="2:9" x14ac:dyDescent="0.25">
      <c r="B255" s="31"/>
      <c r="F255" s="32"/>
      <c r="I255" s="32"/>
    </row>
    <row r="256" spans="2:9" x14ac:dyDescent="0.25">
      <c r="B256" s="31"/>
      <c r="F256" s="32"/>
      <c r="I256" s="32"/>
    </row>
    <row r="257" spans="2:9" x14ac:dyDescent="0.25">
      <c r="B257" s="31"/>
      <c r="F257" s="32"/>
      <c r="I257" s="32"/>
    </row>
    <row r="258" spans="2:9" x14ac:dyDescent="0.25">
      <c r="B258" s="31"/>
      <c r="F258" s="32"/>
      <c r="I258" s="32"/>
    </row>
    <row r="259" spans="2:9" x14ac:dyDescent="0.25">
      <c r="B259" s="31"/>
      <c r="F259" s="32"/>
      <c r="I259" s="32"/>
    </row>
    <row r="260" spans="2:9" x14ac:dyDescent="0.25">
      <c r="B260" s="31"/>
      <c r="F260" s="32"/>
      <c r="I260" s="32"/>
    </row>
    <row r="261" spans="2:9" x14ac:dyDescent="0.25">
      <c r="B261" s="31"/>
      <c r="F261" s="32"/>
      <c r="I261" s="32"/>
    </row>
    <row r="262" spans="2:9" x14ac:dyDescent="0.25">
      <c r="B262" s="31"/>
      <c r="F262" s="32"/>
      <c r="I262" s="32"/>
    </row>
    <row r="263" spans="2:9" x14ac:dyDescent="0.25">
      <c r="B263" s="31"/>
      <c r="F263" s="32"/>
      <c r="I263" s="32"/>
    </row>
    <row r="264" spans="2:9" x14ac:dyDescent="0.25">
      <c r="B264" s="31"/>
      <c r="F264" s="32"/>
      <c r="I264" s="32"/>
    </row>
    <row r="265" spans="2:9" x14ac:dyDescent="0.25">
      <c r="B265" s="31"/>
      <c r="F265" s="32"/>
      <c r="I265" s="32"/>
    </row>
    <row r="266" spans="2:9" x14ac:dyDescent="0.25">
      <c r="B266" s="31"/>
      <c r="F266" s="32"/>
      <c r="I266" s="32"/>
    </row>
    <row r="267" spans="2:9" x14ac:dyDescent="0.25">
      <c r="B267" s="31"/>
      <c r="F267" s="32"/>
      <c r="I267" s="32"/>
    </row>
    <row r="268" spans="2:9" x14ac:dyDescent="0.25">
      <c r="B268" s="31"/>
      <c r="F268" s="32"/>
      <c r="I268" s="32"/>
    </row>
    <row r="269" spans="2:9" x14ac:dyDescent="0.25">
      <c r="B269" s="31"/>
      <c r="F269" s="32"/>
      <c r="I269" s="32"/>
    </row>
    <row r="270" spans="2:9" x14ac:dyDescent="0.25">
      <c r="B270" s="31"/>
      <c r="F270" s="32"/>
      <c r="I270" s="32"/>
    </row>
    <row r="271" spans="2:9" x14ac:dyDescent="0.25">
      <c r="B271" s="31"/>
      <c r="F271" s="32"/>
      <c r="I271" s="32"/>
    </row>
    <row r="272" spans="2:9" x14ac:dyDescent="0.25">
      <c r="B272" s="31"/>
      <c r="F272" s="32"/>
      <c r="I272" s="32"/>
    </row>
    <row r="273" spans="2:9" x14ac:dyDescent="0.25">
      <c r="B273" s="31"/>
      <c r="F273" s="32"/>
      <c r="I273" s="32"/>
    </row>
    <row r="274" spans="2:9" x14ac:dyDescent="0.25">
      <c r="B274" s="31"/>
      <c r="F274" s="32"/>
      <c r="I274" s="32"/>
    </row>
    <row r="275" spans="2:9" x14ac:dyDescent="0.25">
      <c r="B275" s="31"/>
      <c r="F275" s="32"/>
      <c r="I275" s="32"/>
    </row>
    <row r="276" spans="2:9" x14ac:dyDescent="0.25">
      <c r="B276" s="31"/>
      <c r="F276" s="32"/>
      <c r="I276" s="32"/>
    </row>
    <row r="277" spans="2:9" x14ac:dyDescent="0.25">
      <c r="B277" s="31"/>
      <c r="F277" s="32"/>
      <c r="I277" s="32"/>
    </row>
    <row r="278" spans="2:9" x14ac:dyDescent="0.25">
      <c r="B278" s="31"/>
      <c r="F278" s="32"/>
      <c r="I278" s="32"/>
    </row>
    <row r="279" spans="2:9" x14ac:dyDescent="0.25">
      <c r="B279" s="31"/>
      <c r="F279" s="32"/>
      <c r="I279" s="32"/>
    </row>
    <row r="280" spans="2:9" x14ac:dyDescent="0.25">
      <c r="B280" s="31"/>
      <c r="F280" s="32"/>
      <c r="I280" s="32"/>
    </row>
    <row r="281" spans="2:9" x14ac:dyDescent="0.25">
      <c r="B281" s="31"/>
      <c r="F281" s="32"/>
      <c r="I281" s="32"/>
    </row>
    <row r="282" spans="2:9" x14ac:dyDescent="0.25">
      <c r="B282" s="31"/>
      <c r="F282" s="32"/>
      <c r="I282" s="32"/>
    </row>
    <row r="283" spans="2:9" x14ac:dyDescent="0.25">
      <c r="B283" s="31"/>
      <c r="F283" s="32"/>
      <c r="I283" s="32"/>
    </row>
    <row r="284" spans="2:9" x14ac:dyDescent="0.25">
      <c r="B284" s="31"/>
      <c r="F284" s="32"/>
      <c r="I284" s="32"/>
    </row>
    <row r="285" spans="2:9" x14ac:dyDescent="0.25">
      <c r="B285" s="31"/>
      <c r="F285" s="32"/>
      <c r="I285" s="32"/>
    </row>
    <row r="286" spans="2:9" x14ac:dyDescent="0.25">
      <c r="B286" s="31"/>
      <c r="F286" s="32"/>
      <c r="I286" s="32"/>
    </row>
    <row r="287" spans="2:9" x14ac:dyDescent="0.25">
      <c r="B287" s="31"/>
      <c r="F287" s="32"/>
      <c r="I287" s="32"/>
    </row>
    <row r="288" spans="2:9" x14ac:dyDescent="0.25">
      <c r="B288" s="31"/>
      <c r="F288" s="32"/>
      <c r="I288" s="32"/>
    </row>
    <row r="289" spans="2:9" x14ac:dyDescent="0.25">
      <c r="B289" s="31"/>
      <c r="F289" s="32"/>
      <c r="I289" s="32"/>
    </row>
    <row r="290" spans="2:9" x14ac:dyDescent="0.25">
      <c r="B290" s="31"/>
      <c r="F290" s="32"/>
      <c r="I290" s="32"/>
    </row>
    <row r="291" spans="2:9" x14ac:dyDescent="0.25">
      <c r="B291" s="31"/>
      <c r="F291" s="32"/>
      <c r="I291" s="32"/>
    </row>
    <row r="292" spans="2:9" x14ac:dyDescent="0.25">
      <c r="B292" s="31"/>
      <c r="F292" s="32"/>
      <c r="I292" s="32"/>
    </row>
    <row r="293" spans="2:9" x14ac:dyDescent="0.25">
      <c r="B293" s="31"/>
      <c r="F293" s="32"/>
      <c r="I293" s="32"/>
    </row>
    <row r="294" spans="2:9" x14ac:dyDescent="0.25">
      <c r="B294" s="31"/>
      <c r="F294" s="32"/>
      <c r="I294" s="32"/>
    </row>
    <row r="295" spans="2:9" x14ac:dyDescent="0.25">
      <c r="B295" s="31"/>
      <c r="F295" s="32"/>
      <c r="I295" s="32"/>
    </row>
    <row r="296" spans="2:9" x14ac:dyDescent="0.25">
      <c r="B296" s="31"/>
      <c r="F296" s="32"/>
      <c r="I296" s="32"/>
    </row>
    <row r="297" spans="2:9" x14ac:dyDescent="0.25">
      <c r="B297" s="31"/>
      <c r="F297" s="32"/>
      <c r="I297" s="32"/>
    </row>
    <row r="298" spans="2:9" x14ac:dyDescent="0.25">
      <c r="B298" s="31"/>
      <c r="F298" s="32"/>
      <c r="I298" s="32"/>
    </row>
    <row r="299" spans="2:9" x14ac:dyDescent="0.25">
      <c r="B299" s="31"/>
      <c r="F299" s="32"/>
      <c r="I299" s="32"/>
    </row>
    <row r="300" spans="2:9" x14ac:dyDescent="0.25">
      <c r="B300" s="31"/>
      <c r="F300" s="32"/>
      <c r="I300" s="32"/>
    </row>
    <row r="301" spans="2:9" x14ac:dyDescent="0.25">
      <c r="B301" s="31"/>
      <c r="F301" s="32"/>
      <c r="I301" s="32"/>
    </row>
    <row r="302" spans="2:9" x14ac:dyDescent="0.25">
      <c r="B302" s="31"/>
      <c r="F302" s="32"/>
      <c r="I302" s="32"/>
    </row>
    <row r="303" spans="2:9" x14ac:dyDescent="0.25">
      <c r="B303" s="31"/>
      <c r="F303" s="32"/>
      <c r="I303" s="32"/>
    </row>
    <row r="304" spans="2:9" x14ac:dyDescent="0.25">
      <c r="B304" s="31"/>
      <c r="F304" s="32"/>
      <c r="I304" s="32"/>
    </row>
    <row r="305" spans="2:9" x14ac:dyDescent="0.25">
      <c r="B305" s="31"/>
      <c r="F305" s="32"/>
      <c r="I305" s="32"/>
    </row>
    <row r="306" spans="2:9" x14ac:dyDescent="0.25">
      <c r="B306" s="31"/>
      <c r="F306" s="32"/>
      <c r="I306" s="32"/>
    </row>
    <row r="307" spans="2:9" x14ac:dyDescent="0.25">
      <c r="B307" s="31"/>
      <c r="F307" s="32"/>
      <c r="I307" s="32"/>
    </row>
    <row r="308" spans="2:9" x14ac:dyDescent="0.25">
      <c r="B308" s="31"/>
      <c r="F308" s="32"/>
      <c r="I308" s="32"/>
    </row>
    <row r="309" spans="2:9" x14ac:dyDescent="0.25">
      <c r="B309" s="31"/>
      <c r="F309" s="32"/>
      <c r="I309" s="32"/>
    </row>
    <row r="310" spans="2:9" x14ac:dyDescent="0.25">
      <c r="B310" s="31"/>
      <c r="F310" s="32"/>
      <c r="I310" s="32"/>
    </row>
    <row r="311" spans="2:9" x14ac:dyDescent="0.25">
      <c r="B311" s="31"/>
      <c r="F311" s="32"/>
      <c r="I311" s="32"/>
    </row>
    <row r="312" spans="2:9" x14ac:dyDescent="0.25">
      <c r="B312" s="31"/>
      <c r="F312" s="32"/>
      <c r="I312" s="32"/>
    </row>
    <row r="313" spans="2:9" x14ac:dyDescent="0.25">
      <c r="B313" s="31"/>
      <c r="F313" s="32"/>
      <c r="I313" s="32"/>
    </row>
    <row r="314" spans="2:9" x14ac:dyDescent="0.25">
      <c r="B314" s="31"/>
      <c r="F314" s="32"/>
      <c r="I314" s="32"/>
    </row>
    <row r="315" spans="2:9" x14ac:dyDescent="0.25">
      <c r="B315" s="31"/>
      <c r="F315" s="32"/>
      <c r="I315" s="32"/>
    </row>
    <row r="316" spans="2:9" x14ac:dyDescent="0.25">
      <c r="B316" s="31"/>
      <c r="F316" s="32"/>
      <c r="I316" s="32"/>
    </row>
    <row r="317" spans="2:9" x14ac:dyDescent="0.25">
      <c r="B317" s="31"/>
      <c r="F317" s="32"/>
      <c r="I317" s="32"/>
    </row>
    <row r="318" spans="2:9" x14ac:dyDescent="0.25">
      <c r="B318" s="31"/>
      <c r="F318" s="32"/>
      <c r="I318" s="32"/>
    </row>
    <row r="319" spans="2:9" x14ac:dyDescent="0.25">
      <c r="B319" s="31"/>
      <c r="F319" s="32"/>
      <c r="I319" s="32"/>
    </row>
    <row r="320" spans="2:9" x14ac:dyDescent="0.25">
      <c r="B320" s="31"/>
      <c r="F320" s="32"/>
      <c r="I320" s="32"/>
    </row>
    <row r="321" spans="2:9" x14ac:dyDescent="0.25">
      <c r="B321" s="31"/>
      <c r="F321" s="32"/>
      <c r="I321" s="32"/>
    </row>
    <row r="322" spans="2:9" x14ac:dyDescent="0.25">
      <c r="B322" s="31"/>
      <c r="F322" s="32"/>
      <c r="I322" s="32"/>
    </row>
    <row r="323" spans="2:9" x14ac:dyDescent="0.25">
      <c r="B323" s="31"/>
      <c r="F323" s="32"/>
      <c r="I323" s="32"/>
    </row>
    <row r="324" spans="2:9" x14ac:dyDescent="0.25">
      <c r="B324" s="31"/>
      <c r="F324" s="32"/>
      <c r="I324" s="32"/>
    </row>
    <row r="325" spans="2:9" x14ac:dyDescent="0.25">
      <c r="B325" s="31"/>
      <c r="F325" s="32"/>
      <c r="I325" s="32"/>
    </row>
    <row r="326" spans="2:9" x14ac:dyDescent="0.25">
      <c r="B326" s="31"/>
      <c r="F326" s="32"/>
      <c r="I326" s="32"/>
    </row>
    <row r="327" spans="2:9" x14ac:dyDescent="0.25">
      <c r="B327" s="31"/>
      <c r="F327" s="32"/>
      <c r="I327" s="32"/>
    </row>
    <row r="328" spans="2:9" x14ac:dyDescent="0.25">
      <c r="B328" s="31"/>
      <c r="F328" s="32"/>
      <c r="I328" s="32"/>
    </row>
    <row r="329" spans="2:9" x14ac:dyDescent="0.25">
      <c r="B329" s="31"/>
      <c r="F329" s="32"/>
      <c r="I329" s="32"/>
    </row>
    <row r="330" spans="2:9" x14ac:dyDescent="0.25">
      <c r="B330" s="31"/>
      <c r="F330" s="32"/>
      <c r="I330" s="32"/>
    </row>
    <row r="331" spans="2:9" x14ac:dyDescent="0.25">
      <c r="B331" s="31"/>
      <c r="F331" s="32"/>
      <c r="I331" s="32"/>
    </row>
    <row r="332" spans="2:9" x14ac:dyDescent="0.25">
      <c r="B332" s="31"/>
      <c r="F332" s="32"/>
      <c r="I332" s="32"/>
    </row>
    <row r="333" spans="2:9" x14ac:dyDescent="0.25">
      <c r="B333" s="31"/>
      <c r="F333" s="32"/>
      <c r="I333" s="32"/>
    </row>
    <row r="334" spans="2:9" x14ac:dyDescent="0.25">
      <c r="B334" s="31"/>
      <c r="F334" s="32"/>
      <c r="I334" s="32"/>
    </row>
    <row r="335" spans="2:9" x14ac:dyDescent="0.25">
      <c r="B335" s="31"/>
      <c r="F335" s="32"/>
      <c r="I335" s="32"/>
    </row>
    <row r="336" spans="2:9" x14ac:dyDescent="0.25">
      <c r="B336" s="31"/>
      <c r="F336" s="32"/>
      <c r="I336" s="32"/>
    </row>
    <row r="337" spans="2:9" x14ac:dyDescent="0.25">
      <c r="B337" s="31"/>
      <c r="F337" s="32"/>
      <c r="I337" s="32"/>
    </row>
    <row r="338" spans="2:9" x14ac:dyDescent="0.25">
      <c r="B338" s="31"/>
      <c r="F338" s="32"/>
      <c r="I338" s="32"/>
    </row>
    <row r="339" spans="2:9" x14ac:dyDescent="0.25">
      <c r="B339" s="31"/>
      <c r="F339" s="32"/>
      <c r="I339" s="32"/>
    </row>
    <row r="340" spans="2:9" x14ac:dyDescent="0.25">
      <c r="B340" s="31"/>
      <c r="F340" s="32"/>
      <c r="I340" s="32"/>
    </row>
    <row r="341" spans="2:9" x14ac:dyDescent="0.25">
      <c r="B341" s="31"/>
      <c r="F341" s="32"/>
      <c r="I341" s="32"/>
    </row>
    <row r="342" spans="2:9" x14ac:dyDescent="0.25">
      <c r="B342" s="31"/>
      <c r="F342" s="32"/>
      <c r="I342" s="32"/>
    </row>
    <row r="343" spans="2:9" x14ac:dyDescent="0.25">
      <c r="B343" s="31"/>
      <c r="F343" s="32"/>
      <c r="I343" s="32"/>
    </row>
    <row r="344" spans="2:9" x14ac:dyDescent="0.25">
      <c r="B344" s="31"/>
      <c r="F344" s="32"/>
      <c r="I344" s="32"/>
    </row>
    <row r="345" spans="2:9" x14ac:dyDescent="0.25">
      <c r="B345" s="31"/>
      <c r="F345" s="32"/>
      <c r="I345" s="32"/>
    </row>
    <row r="346" spans="2:9" x14ac:dyDescent="0.25">
      <c r="B346" s="31"/>
      <c r="F346" s="32"/>
      <c r="I346" s="32"/>
    </row>
    <row r="347" spans="2:9" x14ac:dyDescent="0.25">
      <c r="B347" s="31"/>
      <c r="F347" s="32"/>
      <c r="I347" s="32"/>
    </row>
    <row r="348" spans="2:9" x14ac:dyDescent="0.25">
      <c r="B348" s="31"/>
      <c r="F348" s="32"/>
      <c r="I348" s="32"/>
    </row>
    <row r="349" spans="2:9" x14ac:dyDescent="0.25">
      <c r="B349" s="31"/>
      <c r="F349" s="32"/>
      <c r="I349" s="32"/>
    </row>
    <row r="350" spans="2:9" x14ac:dyDescent="0.25">
      <c r="B350" s="31"/>
      <c r="F350" s="32"/>
      <c r="I350" s="32"/>
    </row>
    <row r="351" spans="2:9" x14ac:dyDescent="0.25">
      <c r="B351" s="31"/>
      <c r="F351" s="32"/>
      <c r="I351" s="32"/>
    </row>
    <row r="352" spans="2:9" x14ac:dyDescent="0.25">
      <c r="B352" s="31"/>
      <c r="F352" s="32"/>
      <c r="I352" s="32"/>
    </row>
    <row r="353" spans="2:9" x14ac:dyDescent="0.25">
      <c r="B353" s="31"/>
      <c r="F353" s="32"/>
      <c r="I353" s="32"/>
    </row>
    <row r="354" spans="2:9" x14ac:dyDescent="0.25">
      <c r="B354" s="31"/>
      <c r="F354" s="32"/>
      <c r="I354" s="32"/>
    </row>
    <row r="355" spans="2:9" x14ac:dyDescent="0.25">
      <c r="B355" s="31"/>
      <c r="F355" s="32"/>
      <c r="I355" s="32"/>
    </row>
    <row r="356" spans="2:9" x14ac:dyDescent="0.25">
      <c r="B356" s="31"/>
      <c r="F356" s="32"/>
      <c r="I356" s="32"/>
    </row>
    <row r="357" spans="2:9" x14ac:dyDescent="0.25">
      <c r="B357" s="31"/>
      <c r="F357" s="32"/>
      <c r="I357" s="32"/>
    </row>
    <row r="358" spans="2:9" x14ac:dyDescent="0.25">
      <c r="B358" s="31"/>
      <c r="F358" s="32"/>
      <c r="I358" s="32"/>
    </row>
    <row r="359" spans="2:9" x14ac:dyDescent="0.25">
      <c r="B359" s="31"/>
      <c r="F359" s="32"/>
      <c r="I359" s="32"/>
    </row>
    <row r="360" spans="2:9" x14ac:dyDescent="0.25">
      <c r="B360" s="31"/>
      <c r="F360" s="32"/>
      <c r="I360" s="32"/>
    </row>
    <row r="361" spans="2:9" x14ac:dyDescent="0.25">
      <c r="B361" s="31"/>
      <c r="F361" s="32"/>
      <c r="I361" s="32"/>
    </row>
    <row r="362" spans="2:9" x14ac:dyDescent="0.25">
      <c r="B362" s="31"/>
      <c r="F362" s="32"/>
      <c r="I362" s="32"/>
    </row>
    <row r="363" spans="2:9" x14ac:dyDescent="0.25">
      <c r="B363" s="31"/>
      <c r="F363" s="32"/>
      <c r="I363" s="32"/>
    </row>
    <row r="364" spans="2:9" x14ac:dyDescent="0.25">
      <c r="B364" s="31"/>
      <c r="F364" s="32"/>
      <c r="I364" s="32"/>
    </row>
    <row r="365" spans="2:9" x14ac:dyDescent="0.25">
      <c r="B365" s="31"/>
      <c r="F365" s="32"/>
      <c r="I365" s="32"/>
    </row>
    <row r="366" spans="2:9" x14ac:dyDescent="0.25">
      <c r="B366" s="31"/>
      <c r="F366" s="32"/>
      <c r="I366" s="32"/>
    </row>
    <row r="367" spans="2:9" x14ac:dyDescent="0.25">
      <c r="B367" s="31"/>
      <c r="F367" s="32"/>
      <c r="I367" s="32"/>
    </row>
    <row r="368" spans="2:9" x14ac:dyDescent="0.25">
      <c r="B368" s="31"/>
      <c r="F368" s="32"/>
      <c r="I368" s="32"/>
    </row>
    <row r="369" spans="2:9" x14ac:dyDescent="0.25">
      <c r="B369" s="31"/>
      <c r="F369" s="32"/>
      <c r="I369" s="32"/>
    </row>
    <row r="370" spans="2:9" x14ac:dyDescent="0.25">
      <c r="B370" s="31"/>
      <c r="F370" s="32"/>
      <c r="I370" s="32"/>
    </row>
    <row r="371" spans="2:9" x14ac:dyDescent="0.25">
      <c r="B371" s="31"/>
      <c r="F371" s="32"/>
      <c r="I371" s="32"/>
    </row>
    <row r="372" spans="2:9" x14ac:dyDescent="0.25">
      <c r="B372" s="31"/>
      <c r="F372" s="32"/>
      <c r="I372" s="32"/>
    </row>
    <row r="373" spans="2:9" x14ac:dyDescent="0.25">
      <c r="B373" s="31"/>
      <c r="F373" s="32"/>
      <c r="I373" s="32"/>
    </row>
    <row r="374" spans="2:9" x14ac:dyDescent="0.25">
      <c r="B374" s="31"/>
      <c r="F374" s="32"/>
      <c r="I374" s="32"/>
    </row>
    <row r="375" spans="2:9" x14ac:dyDescent="0.25">
      <c r="B375" s="31"/>
      <c r="F375" s="32"/>
      <c r="I375" s="32"/>
    </row>
    <row r="376" spans="2:9" x14ac:dyDescent="0.25">
      <c r="B376" s="31"/>
      <c r="F376" s="32"/>
      <c r="I376" s="32"/>
    </row>
    <row r="377" spans="2:9" x14ac:dyDescent="0.25">
      <c r="B377" s="31"/>
      <c r="F377" s="32"/>
      <c r="I377" s="32"/>
    </row>
    <row r="378" spans="2:9" x14ac:dyDescent="0.25">
      <c r="B378" s="31"/>
      <c r="F378" s="32"/>
      <c r="I378" s="32"/>
    </row>
    <row r="379" spans="2:9" x14ac:dyDescent="0.25">
      <c r="B379" s="31"/>
      <c r="F379" s="32"/>
      <c r="I379" s="32"/>
    </row>
    <row r="380" spans="2:9" x14ac:dyDescent="0.25">
      <c r="B380" s="31"/>
      <c r="F380" s="32"/>
      <c r="I380" s="32"/>
    </row>
    <row r="381" spans="2:9" x14ac:dyDescent="0.25">
      <c r="B381" s="31"/>
      <c r="F381" s="32"/>
      <c r="I381" s="32"/>
    </row>
    <row r="382" spans="2:9" x14ac:dyDescent="0.25">
      <c r="B382" s="31"/>
      <c r="F382" s="32"/>
      <c r="I382" s="32"/>
    </row>
    <row r="383" spans="2:9" x14ac:dyDescent="0.25">
      <c r="B383" s="31"/>
      <c r="F383" s="32"/>
      <c r="I383" s="32"/>
    </row>
    <row r="384" spans="2:9" x14ac:dyDescent="0.25">
      <c r="B384" s="31"/>
      <c r="F384" s="32"/>
      <c r="I384" s="32"/>
    </row>
    <row r="385" spans="2:9" x14ac:dyDescent="0.25">
      <c r="B385" s="31"/>
      <c r="F385" s="32"/>
      <c r="I385" s="32"/>
    </row>
    <row r="386" spans="2:9" x14ac:dyDescent="0.25">
      <c r="B386" s="31"/>
      <c r="F386" s="32"/>
      <c r="I386" s="32"/>
    </row>
    <row r="387" spans="2:9" x14ac:dyDescent="0.25">
      <c r="B387" s="31"/>
      <c r="F387" s="32"/>
      <c r="I387" s="32"/>
    </row>
    <row r="388" spans="2:9" x14ac:dyDescent="0.25">
      <c r="B388" s="31"/>
      <c r="F388" s="32"/>
      <c r="I388" s="32"/>
    </row>
    <row r="389" spans="2:9" x14ac:dyDescent="0.25">
      <c r="B389" s="31"/>
      <c r="F389" s="32"/>
      <c r="I389" s="32"/>
    </row>
    <row r="390" spans="2:9" x14ac:dyDescent="0.25">
      <c r="B390" s="31"/>
      <c r="F390" s="32"/>
      <c r="I390" s="32"/>
    </row>
    <row r="391" spans="2:9" x14ac:dyDescent="0.25">
      <c r="B391" s="31"/>
      <c r="F391" s="32"/>
      <c r="I391" s="32"/>
    </row>
    <row r="392" spans="2:9" x14ac:dyDescent="0.25">
      <c r="B392" s="31"/>
      <c r="F392" s="32"/>
      <c r="I392" s="32"/>
    </row>
    <row r="393" spans="2:9" x14ac:dyDescent="0.25">
      <c r="B393" s="31"/>
      <c r="F393" s="32"/>
      <c r="I393" s="32"/>
    </row>
    <row r="394" spans="2:9" x14ac:dyDescent="0.25">
      <c r="B394" s="31"/>
      <c r="F394" s="32"/>
      <c r="I394" s="32"/>
    </row>
    <row r="395" spans="2:9" x14ac:dyDescent="0.25">
      <c r="B395" s="31"/>
      <c r="F395" s="32"/>
      <c r="I395" s="32"/>
    </row>
    <row r="396" spans="2:9" x14ac:dyDescent="0.25">
      <c r="B396" s="31"/>
      <c r="F396" s="32"/>
      <c r="I396" s="32"/>
    </row>
    <row r="397" spans="2:9" x14ac:dyDescent="0.25">
      <c r="B397" s="31"/>
      <c r="F397" s="32"/>
      <c r="I397" s="32"/>
    </row>
    <row r="398" spans="2:9" x14ac:dyDescent="0.25">
      <c r="B398" s="31"/>
      <c r="F398" s="32"/>
      <c r="I398" s="32"/>
    </row>
    <row r="399" spans="2:9" x14ac:dyDescent="0.25">
      <c r="B399" s="31"/>
      <c r="F399" s="32"/>
      <c r="I399" s="32"/>
    </row>
    <row r="400" spans="2:9" x14ac:dyDescent="0.25">
      <c r="B400" s="31"/>
      <c r="F400" s="32"/>
      <c r="I400" s="32"/>
    </row>
    <row r="401" spans="2:9" x14ac:dyDescent="0.25">
      <c r="B401" s="31"/>
      <c r="F401" s="32"/>
      <c r="I401" s="32"/>
    </row>
    <row r="402" spans="2:9" x14ac:dyDescent="0.25">
      <c r="B402" s="31"/>
      <c r="F402" s="32"/>
      <c r="I402" s="32"/>
    </row>
    <row r="403" spans="2:9" x14ac:dyDescent="0.25">
      <c r="B403" s="31"/>
      <c r="F403" s="32"/>
      <c r="I403" s="32"/>
    </row>
    <row r="404" spans="2:9" x14ac:dyDescent="0.25">
      <c r="B404" s="31"/>
      <c r="F404" s="32"/>
      <c r="I404" s="32"/>
    </row>
    <row r="405" spans="2:9" x14ac:dyDescent="0.25">
      <c r="B405" s="31"/>
      <c r="F405" s="32"/>
      <c r="I405" s="32"/>
    </row>
    <row r="406" spans="2:9" x14ac:dyDescent="0.25">
      <c r="B406" s="31"/>
      <c r="F406" s="32"/>
      <c r="I406" s="32"/>
    </row>
    <row r="407" spans="2:9" x14ac:dyDescent="0.25">
      <c r="B407" s="31"/>
      <c r="F407" s="32"/>
      <c r="I407" s="32"/>
    </row>
    <row r="408" spans="2:9" x14ac:dyDescent="0.25">
      <c r="B408" s="31"/>
      <c r="F408" s="32"/>
      <c r="I408" s="32"/>
    </row>
    <row r="409" spans="2:9" x14ac:dyDescent="0.25">
      <c r="B409" s="31"/>
      <c r="F409" s="32"/>
      <c r="I409" s="32"/>
    </row>
    <row r="410" spans="2:9" x14ac:dyDescent="0.25">
      <c r="B410" s="31"/>
      <c r="F410" s="32"/>
      <c r="I410" s="32"/>
    </row>
    <row r="411" spans="2:9" x14ac:dyDescent="0.25">
      <c r="B411" s="31"/>
      <c r="F411" s="32"/>
      <c r="I411" s="32"/>
    </row>
    <row r="412" spans="2:9" x14ac:dyDescent="0.25">
      <c r="B412" s="31"/>
      <c r="F412" s="32"/>
      <c r="I412" s="32"/>
    </row>
    <row r="413" spans="2:9" x14ac:dyDescent="0.25">
      <c r="B413" s="31"/>
      <c r="F413" s="32"/>
      <c r="I413" s="32"/>
    </row>
    <row r="414" spans="2:9" x14ac:dyDescent="0.25">
      <c r="B414" s="31"/>
      <c r="F414" s="32"/>
      <c r="I414" s="32"/>
    </row>
    <row r="415" spans="2:9" x14ac:dyDescent="0.25">
      <c r="B415" s="31"/>
      <c r="F415" s="32"/>
      <c r="I415" s="32"/>
    </row>
    <row r="416" spans="2:9" x14ac:dyDescent="0.25">
      <c r="B416" s="31"/>
      <c r="F416" s="32"/>
      <c r="I416" s="32"/>
    </row>
    <row r="417" spans="2:9" x14ac:dyDescent="0.25">
      <c r="B417" s="31"/>
      <c r="F417" s="32"/>
      <c r="I417" s="32"/>
    </row>
    <row r="418" spans="2:9" x14ac:dyDescent="0.25">
      <c r="B418" s="31"/>
      <c r="F418" s="32"/>
      <c r="I418" s="32"/>
    </row>
    <row r="419" spans="2:9" x14ac:dyDescent="0.25">
      <c r="B419" s="31"/>
      <c r="F419" s="32"/>
      <c r="I419" s="32"/>
    </row>
    <row r="420" spans="2:9" x14ac:dyDescent="0.25">
      <c r="B420" s="31"/>
      <c r="F420" s="32"/>
      <c r="I420" s="32"/>
    </row>
    <row r="421" spans="2:9" x14ac:dyDescent="0.25">
      <c r="B421" s="31"/>
      <c r="F421" s="32"/>
      <c r="I421" s="32"/>
    </row>
    <row r="422" spans="2:9" x14ac:dyDescent="0.25">
      <c r="B422" s="31"/>
      <c r="F422" s="32"/>
      <c r="I422" s="32"/>
    </row>
    <row r="423" spans="2:9" x14ac:dyDescent="0.25">
      <c r="B423" s="31"/>
      <c r="F423" s="32"/>
      <c r="I423" s="32"/>
    </row>
    <row r="424" spans="2:9" x14ac:dyDescent="0.25">
      <c r="B424" s="31"/>
      <c r="F424" s="32"/>
      <c r="I424" s="32"/>
    </row>
    <row r="425" spans="2:9" x14ac:dyDescent="0.25">
      <c r="B425" s="31"/>
      <c r="F425" s="32"/>
      <c r="I425" s="32"/>
    </row>
    <row r="426" spans="2:9" x14ac:dyDescent="0.25">
      <c r="B426" s="31"/>
      <c r="F426" s="32"/>
      <c r="I426" s="32"/>
    </row>
    <row r="427" spans="2:9" x14ac:dyDescent="0.25">
      <c r="B427" s="31"/>
      <c r="F427" s="32"/>
      <c r="I427" s="32"/>
    </row>
    <row r="428" spans="2:9" x14ac:dyDescent="0.25">
      <c r="B428" s="31"/>
      <c r="F428" s="32"/>
      <c r="I428" s="32"/>
    </row>
    <row r="429" spans="2:9" x14ac:dyDescent="0.25">
      <c r="B429" s="31"/>
      <c r="F429" s="32"/>
      <c r="I429" s="32"/>
    </row>
    <row r="430" spans="2:9" x14ac:dyDescent="0.25">
      <c r="B430" s="31"/>
      <c r="F430" s="32"/>
      <c r="I430" s="32"/>
    </row>
    <row r="431" spans="2:9" x14ac:dyDescent="0.25">
      <c r="B431" s="31"/>
      <c r="F431" s="32"/>
      <c r="I431" s="32"/>
    </row>
    <row r="432" spans="2:9" x14ac:dyDescent="0.25">
      <c r="B432" s="31"/>
      <c r="F432" s="32"/>
      <c r="I432" s="32"/>
    </row>
    <row r="433" spans="2:9" x14ac:dyDescent="0.25">
      <c r="B433" s="31"/>
      <c r="F433" s="32"/>
      <c r="I433" s="32"/>
    </row>
    <row r="434" spans="2:9" x14ac:dyDescent="0.25">
      <c r="B434" s="31"/>
      <c r="F434" s="32"/>
      <c r="I434" s="32"/>
    </row>
    <row r="435" spans="2:9" x14ac:dyDescent="0.25">
      <c r="B435" s="31"/>
      <c r="F435" s="32"/>
      <c r="I435" s="32"/>
    </row>
    <row r="436" spans="2:9" x14ac:dyDescent="0.25">
      <c r="B436" s="31"/>
      <c r="F436" s="32"/>
      <c r="I436" s="32"/>
    </row>
    <row r="437" spans="2:9" x14ac:dyDescent="0.25">
      <c r="B437" s="31"/>
      <c r="F437" s="32"/>
      <c r="I437" s="32"/>
    </row>
    <row r="438" spans="2:9" x14ac:dyDescent="0.25">
      <c r="B438" s="31"/>
      <c r="F438" s="32"/>
      <c r="I438" s="32"/>
    </row>
    <row r="439" spans="2:9" x14ac:dyDescent="0.25">
      <c r="B439" s="31"/>
      <c r="F439" s="32"/>
      <c r="I439" s="32"/>
    </row>
    <row r="440" spans="2:9" x14ac:dyDescent="0.25">
      <c r="B440" s="31"/>
      <c r="F440" s="32"/>
      <c r="I440" s="32"/>
    </row>
    <row r="441" spans="2:9" x14ac:dyDescent="0.25">
      <c r="B441" s="31"/>
      <c r="F441" s="32"/>
      <c r="I441" s="32"/>
    </row>
    <row r="442" spans="2:9" x14ac:dyDescent="0.25">
      <c r="B442" s="31"/>
      <c r="F442" s="32"/>
      <c r="I442" s="32"/>
    </row>
    <row r="443" spans="2:9" x14ac:dyDescent="0.25">
      <c r="B443" s="31"/>
      <c r="F443" s="32"/>
      <c r="I443" s="32"/>
    </row>
    <row r="444" spans="2:9" x14ac:dyDescent="0.25">
      <c r="B444" s="31"/>
      <c r="F444" s="32"/>
      <c r="I444" s="32"/>
    </row>
    <row r="445" spans="2:9" x14ac:dyDescent="0.25">
      <c r="B445" s="31"/>
      <c r="F445" s="32"/>
      <c r="I445" s="32"/>
    </row>
    <row r="446" spans="2:9" x14ac:dyDescent="0.25">
      <c r="B446" s="31"/>
      <c r="F446" s="32"/>
      <c r="I446" s="32"/>
    </row>
    <row r="447" spans="2:9" x14ac:dyDescent="0.25">
      <c r="B447" s="31"/>
      <c r="F447" s="32"/>
      <c r="I447" s="32"/>
    </row>
    <row r="448" spans="2:9" x14ac:dyDescent="0.25">
      <c r="B448" s="31"/>
      <c r="F448" s="32"/>
      <c r="I448" s="32"/>
    </row>
    <row r="449" spans="2:9" x14ac:dyDescent="0.25">
      <c r="B449" s="31"/>
      <c r="F449" s="32"/>
      <c r="I449" s="32"/>
    </row>
    <row r="450" spans="2:9" x14ac:dyDescent="0.25">
      <c r="B450" s="31"/>
      <c r="F450" s="32"/>
      <c r="I450" s="32"/>
    </row>
    <row r="451" spans="2:9" x14ac:dyDescent="0.25">
      <c r="B451" s="31"/>
      <c r="F451" s="32"/>
      <c r="I451" s="32"/>
    </row>
    <row r="452" spans="2:9" x14ac:dyDescent="0.25">
      <c r="B452" s="31"/>
      <c r="F452" s="32"/>
      <c r="I452" s="32"/>
    </row>
    <row r="453" spans="2:9" x14ac:dyDescent="0.25">
      <c r="B453" s="31"/>
      <c r="F453" s="32"/>
      <c r="I453" s="32"/>
    </row>
    <row r="454" spans="2:9" x14ac:dyDescent="0.25">
      <c r="B454" s="31"/>
      <c r="F454" s="32"/>
      <c r="I454" s="32"/>
    </row>
    <row r="455" spans="2:9" x14ac:dyDescent="0.25">
      <c r="B455" s="31"/>
      <c r="F455" s="32"/>
      <c r="I455" s="32"/>
    </row>
    <row r="456" spans="2:9" x14ac:dyDescent="0.25">
      <c r="B456" s="31"/>
      <c r="F456" s="32"/>
      <c r="I456" s="32"/>
    </row>
    <row r="457" spans="2:9" x14ac:dyDescent="0.25">
      <c r="B457" s="31"/>
      <c r="F457" s="32"/>
      <c r="I457" s="32"/>
    </row>
    <row r="458" spans="2:9" x14ac:dyDescent="0.25">
      <c r="B458" s="31"/>
      <c r="F458" s="32"/>
      <c r="I458" s="32"/>
    </row>
    <row r="459" spans="2:9" x14ac:dyDescent="0.25">
      <c r="B459" s="31"/>
      <c r="F459" s="32"/>
      <c r="I459" s="32"/>
    </row>
    <row r="460" spans="2:9" x14ac:dyDescent="0.25">
      <c r="B460" s="31"/>
      <c r="F460" s="32"/>
      <c r="I460" s="32"/>
    </row>
    <row r="461" spans="2:9" x14ac:dyDescent="0.25">
      <c r="B461" s="31"/>
      <c r="F461" s="32"/>
      <c r="I461" s="32"/>
    </row>
    <row r="462" spans="2:9" x14ac:dyDescent="0.25">
      <c r="B462" s="31"/>
      <c r="F462" s="32"/>
      <c r="I462" s="32"/>
    </row>
    <row r="463" spans="2:9" x14ac:dyDescent="0.25">
      <c r="B463" s="31"/>
      <c r="F463" s="32"/>
      <c r="I463" s="32"/>
    </row>
    <row r="464" spans="2:9" x14ac:dyDescent="0.25">
      <c r="B464" s="31"/>
      <c r="F464" s="32"/>
      <c r="I464" s="32"/>
    </row>
    <row r="465" spans="2:9" x14ac:dyDescent="0.25">
      <c r="B465" s="31"/>
      <c r="F465" s="32"/>
      <c r="I465" s="32"/>
    </row>
    <row r="466" spans="2:9" x14ac:dyDescent="0.25">
      <c r="B466" s="31"/>
      <c r="F466" s="32"/>
      <c r="I466" s="32"/>
    </row>
    <row r="467" spans="2:9" x14ac:dyDescent="0.25">
      <c r="B467" s="31"/>
      <c r="F467" s="32"/>
      <c r="I467" s="32"/>
    </row>
    <row r="468" spans="2:9" x14ac:dyDescent="0.25">
      <c r="B468" s="31"/>
      <c r="F468" s="32"/>
      <c r="I468" s="32"/>
    </row>
    <row r="469" spans="2:9" x14ac:dyDescent="0.25">
      <c r="B469" s="31"/>
      <c r="F469" s="32"/>
      <c r="I469" s="32"/>
    </row>
    <row r="470" spans="2:9" x14ac:dyDescent="0.25">
      <c r="B470" s="31"/>
      <c r="F470" s="32"/>
      <c r="I470" s="32"/>
    </row>
    <row r="471" spans="2:9" x14ac:dyDescent="0.25">
      <c r="B471" s="31"/>
      <c r="F471" s="32"/>
      <c r="I471" s="32"/>
    </row>
    <row r="472" spans="2:9" x14ac:dyDescent="0.25">
      <c r="B472" s="31"/>
      <c r="F472" s="32"/>
      <c r="I472" s="32"/>
    </row>
    <row r="473" spans="2:9" x14ac:dyDescent="0.25">
      <c r="B473" s="31"/>
      <c r="F473" s="32"/>
      <c r="I473" s="32"/>
    </row>
    <row r="474" spans="2:9" x14ac:dyDescent="0.25">
      <c r="B474" s="31"/>
      <c r="F474" s="32"/>
      <c r="I474" s="32"/>
    </row>
    <row r="475" spans="2:9" x14ac:dyDescent="0.25">
      <c r="B475" s="31"/>
      <c r="F475" s="32"/>
      <c r="I475" s="32"/>
    </row>
    <row r="476" spans="2:9" x14ac:dyDescent="0.25">
      <c r="B476" s="31"/>
      <c r="F476" s="32"/>
      <c r="I476" s="32"/>
    </row>
    <row r="477" spans="2:9" x14ac:dyDescent="0.25">
      <c r="B477" s="31"/>
      <c r="F477" s="32"/>
      <c r="I477" s="32"/>
    </row>
    <row r="478" spans="2:9" x14ac:dyDescent="0.25">
      <c r="B478" s="31"/>
      <c r="F478" s="32"/>
      <c r="I478" s="32"/>
    </row>
    <row r="479" spans="2:9" x14ac:dyDescent="0.25">
      <c r="B479" s="31"/>
      <c r="F479" s="32"/>
      <c r="I479" s="32"/>
    </row>
    <row r="480" spans="2:9" x14ac:dyDescent="0.25">
      <c r="B480" s="31"/>
      <c r="F480" s="32"/>
      <c r="I480" s="32"/>
    </row>
    <row r="481" spans="2:9" x14ac:dyDescent="0.25">
      <c r="B481" s="31"/>
      <c r="F481" s="32"/>
      <c r="I481" s="32"/>
    </row>
    <row r="482" spans="2:9" x14ac:dyDescent="0.25">
      <c r="B482" s="31"/>
      <c r="F482" s="32"/>
      <c r="I482" s="32"/>
    </row>
    <row r="483" spans="2:9" x14ac:dyDescent="0.25">
      <c r="B483" s="31"/>
      <c r="F483" s="32"/>
      <c r="I483" s="32"/>
    </row>
    <row r="484" spans="2:9" x14ac:dyDescent="0.25">
      <c r="B484" s="31"/>
      <c r="F484" s="32"/>
      <c r="I484" s="32"/>
    </row>
    <row r="485" spans="2:9" x14ac:dyDescent="0.25">
      <c r="B485" s="31"/>
      <c r="F485" s="32"/>
      <c r="I485" s="32"/>
    </row>
    <row r="486" spans="2:9" x14ac:dyDescent="0.25">
      <c r="B486" s="31"/>
      <c r="F486" s="32"/>
      <c r="I486" s="32"/>
    </row>
    <row r="487" spans="2:9" x14ac:dyDescent="0.25">
      <c r="B487" s="31"/>
      <c r="F487" s="32"/>
      <c r="I487" s="32"/>
    </row>
    <row r="488" spans="2:9" x14ac:dyDescent="0.25">
      <c r="B488" s="31"/>
      <c r="F488" s="32"/>
      <c r="I488" s="32"/>
    </row>
    <row r="489" spans="2:9" x14ac:dyDescent="0.25">
      <c r="B489" s="31"/>
      <c r="F489" s="32"/>
      <c r="I489" s="32"/>
    </row>
    <row r="490" spans="2:9" x14ac:dyDescent="0.25">
      <c r="B490" s="31"/>
      <c r="F490" s="32"/>
      <c r="I490" s="32"/>
    </row>
    <row r="491" spans="2:9" x14ac:dyDescent="0.25">
      <c r="B491" s="31"/>
      <c r="F491" s="32"/>
      <c r="I491" s="32"/>
    </row>
    <row r="492" spans="2:9" x14ac:dyDescent="0.25">
      <c r="B492" s="31"/>
      <c r="F492" s="32"/>
      <c r="I492" s="32"/>
    </row>
    <row r="493" spans="2:9" x14ac:dyDescent="0.25">
      <c r="B493" s="31"/>
      <c r="F493" s="32"/>
      <c r="I493" s="32"/>
    </row>
    <row r="494" spans="2:9" x14ac:dyDescent="0.25">
      <c r="B494" s="31"/>
      <c r="F494" s="32"/>
      <c r="I494" s="32"/>
    </row>
    <row r="495" spans="2:9" x14ac:dyDescent="0.25">
      <c r="B495" s="31"/>
      <c r="F495" s="32"/>
      <c r="I495" s="32"/>
    </row>
    <row r="496" spans="2:9" x14ac:dyDescent="0.25">
      <c r="B496" s="31"/>
      <c r="F496" s="32"/>
      <c r="I496" s="32"/>
    </row>
    <row r="497" spans="2:9" x14ac:dyDescent="0.25">
      <c r="B497" s="31"/>
      <c r="F497" s="32"/>
      <c r="I497" s="32"/>
    </row>
    <row r="498" spans="2:9" x14ac:dyDescent="0.25">
      <c r="B498" s="31"/>
      <c r="F498" s="32"/>
      <c r="I498" s="32"/>
    </row>
    <row r="499" spans="2:9" x14ac:dyDescent="0.25">
      <c r="B499" s="31"/>
      <c r="F499" s="32"/>
      <c r="I499" s="32"/>
    </row>
    <row r="500" spans="2:9" x14ac:dyDescent="0.25">
      <c r="B500" s="31"/>
      <c r="F500" s="32"/>
      <c r="I500" s="32"/>
    </row>
    <row r="501" spans="2:9" x14ac:dyDescent="0.25">
      <c r="B501" s="31"/>
      <c r="F501" s="32"/>
      <c r="I501" s="32"/>
    </row>
    <row r="502" spans="2:9" x14ac:dyDescent="0.25">
      <c r="B502" s="31"/>
      <c r="F502" s="32"/>
      <c r="I502" s="32"/>
    </row>
    <row r="503" spans="2:9" x14ac:dyDescent="0.25">
      <c r="B503" s="31"/>
      <c r="F503" s="32"/>
      <c r="I503" s="32"/>
    </row>
    <row r="504" spans="2:9" x14ac:dyDescent="0.25">
      <c r="B504" s="31"/>
      <c r="F504" s="32"/>
      <c r="I504" s="32"/>
    </row>
    <row r="505" spans="2:9" x14ac:dyDescent="0.25">
      <c r="B505" s="31"/>
      <c r="F505" s="32"/>
      <c r="I505" s="32"/>
    </row>
    <row r="506" spans="2:9" x14ac:dyDescent="0.25">
      <c r="B506" s="31"/>
      <c r="F506" s="32"/>
      <c r="I506" s="32"/>
    </row>
    <row r="507" spans="2:9" x14ac:dyDescent="0.25">
      <c r="B507" s="31"/>
      <c r="F507" s="32"/>
      <c r="I507" s="32"/>
    </row>
    <row r="508" spans="2:9" x14ac:dyDescent="0.25">
      <c r="B508" s="31"/>
      <c r="F508" s="32"/>
      <c r="I508" s="32"/>
    </row>
    <row r="509" spans="2:9" x14ac:dyDescent="0.25">
      <c r="B509" s="31"/>
      <c r="F509" s="32"/>
      <c r="I509" s="32"/>
    </row>
    <row r="510" spans="2:9" x14ac:dyDescent="0.25">
      <c r="B510" s="31"/>
      <c r="F510" s="32"/>
      <c r="I510" s="32"/>
    </row>
    <row r="511" spans="2:9" x14ac:dyDescent="0.25">
      <c r="B511" s="31"/>
      <c r="F511" s="32"/>
      <c r="I511" s="32"/>
    </row>
    <row r="512" spans="2:9" x14ac:dyDescent="0.25">
      <c r="B512" s="31"/>
      <c r="F512" s="32"/>
      <c r="I512" s="32"/>
    </row>
    <row r="513" spans="2:9" x14ac:dyDescent="0.25">
      <c r="B513" s="31"/>
      <c r="F513" s="32"/>
      <c r="I513" s="32"/>
    </row>
    <row r="514" spans="2:9" x14ac:dyDescent="0.25">
      <c r="B514" s="31"/>
      <c r="F514" s="32"/>
      <c r="I514" s="32"/>
    </row>
    <row r="515" spans="2:9" x14ac:dyDescent="0.25">
      <c r="B515" s="31"/>
      <c r="F515" s="32"/>
      <c r="I515" s="32"/>
    </row>
    <row r="516" spans="2:9" x14ac:dyDescent="0.25">
      <c r="B516" s="31"/>
      <c r="F516" s="32"/>
      <c r="I516" s="32"/>
    </row>
    <row r="517" spans="2:9" x14ac:dyDescent="0.25">
      <c r="B517" s="31"/>
      <c r="F517" s="32"/>
      <c r="I517" s="32"/>
    </row>
    <row r="518" spans="2:9" x14ac:dyDescent="0.25">
      <c r="B518" s="31"/>
      <c r="F518" s="32"/>
      <c r="I518" s="32"/>
    </row>
    <row r="519" spans="2:9" x14ac:dyDescent="0.25">
      <c r="B519" s="31"/>
      <c r="F519" s="32"/>
      <c r="I519" s="32"/>
    </row>
    <row r="520" spans="2:9" x14ac:dyDescent="0.25">
      <c r="B520" s="31"/>
      <c r="F520" s="32"/>
      <c r="I520" s="32"/>
    </row>
    <row r="521" spans="2:9" x14ac:dyDescent="0.25">
      <c r="B521" s="31"/>
      <c r="F521" s="32"/>
      <c r="I521" s="32"/>
    </row>
    <row r="522" spans="2:9" x14ac:dyDescent="0.25">
      <c r="B522" s="31"/>
      <c r="F522" s="32"/>
      <c r="I522" s="32"/>
    </row>
    <row r="523" spans="2:9" x14ac:dyDescent="0.25">
      <c r="B523" s="31"/>
      <c r="F523" s="32"/>
      <c r="I523" s="32"/>
    </row>
    <row r="524" spans="2:9" x14ac:dyDescent="0.25">
      <c r="B524" s="31"/>
      <c r="F524" s="32"/>
      <c r="I524" s="32"/>
    </row>
    <row r="525" spans="2:9" x14ac:dyDescent="0.25">
      <c r="B525" s="31"/>
      <c r="F525" s="32"/>
      <c r="I525" s="32"/>
    </row>
    <row r="526" spans="2:9" x14ac:dyDescent="0.25">
      <c r="B526" s="31"/>
      <c r="F526" s="32"/>
      <c r="I526" s="32"/>
    </row>
    <row r="527" spans="2:9" x14ac:dyDescent="0.25">
      <c r="B527" s="31"/>
      <c r="F527" s="32"/>
      <c r="I527" s="32"/>
    </row>
    <row r="528" spans="2:9" x14ac:dyDescent="0.25">
      <c r="B528" s="31"/>
      <c r="F528" s="32"/>
      <c r="I528" s="32"/>
    </row>
    <row r="529" spans="2:9" x14ac:dyDescent="0.25">
      <c r="B529" s="31"/>
      <c r="F529" s="32"/>
      <c r="I529" s="32"/>
    </row>
    <row r="530" spans="2:9" x14ac:dyDescent="0.25">
      <c r="B530" s="31"/>
      <c r="F530" s="32"/>
      <c r="I530" s="32"/>
    </row>
    <row r="531" spans="2:9" x14ac:dyDescent="0.25">
      <c r="B531" s="31"/>
      <c r="F531" s="32"/>
      <c r="I531" s="32"/>
    </row>
    <row r="532" spans="2:9" x14ac:dyDescent="0.25">
      <c r="B532" s="31"/>
      <c r="F532" s="32"/>
      <c r="I532" s="32"/>
    </row>
    <row r="533" spans="2:9" x14ac:dyDescent="0.25">
      <c r="B533" s="31"/>
      <c r="F533" s="32"/>
      <c r="I533" s="32"/>
    </row>
    <row r="534" spans="2:9" x14ac:dyDescent="0.25">
      <c r="B534" s="31"/>
      <c r="F534" s="32"/>
      <c r="I534" s="32"/>
    </row>
    <row r="535" spans="2:9" x14ac:dyDescent="0.25">
      <c r="B535" s="31"/>
      <c r="F535" s="32"/>
      <c r="I535" s="32"/>
    </row>
    <row r="536" spans="2:9" x14ac:dyDescent="0.25">
      <c r="B536" s="31"/>
      <c r="F536" s="32"/>
      <c r="I536" s="32"/>
    </row>
    <row r="537" spans="2:9" x14ac:dyDescent="0.25">
      <c r="B537" s="31"/>
      <c r="F537" s="32"/>
      <c r="I537" s="32"/>
    </row>
    <row r="538" spans="2:9" x14ac:dyDescent="0.25">
      <c r="B538" s="31"/>
      <c r="F538" s="32"/>
      <c r="I538" s="32"/>
    </row>
    <row r="539" spans="2:9" x14ac:dyDescent="0.25">
      <c r="B539" s="31"/>
      <c r="F539" s="32"/>
      <c r="I539" s="32"/>
    </row>
    <row r="540" spans="2:9" x14ac:dyDescent="0.25">
      <c r="B540" s="31"/>
      <c r="F540" s="32"/>
      <c r="I540" s="32"/>
    </row>
    <row r="541" spans="2:9" x14ac:dyDescent="0.25">
      <c r="B541" s="31"/>
      <c r="F541" s="32"/>
      <c r="I541" s="32"/>
    </row>
    <row r="542" spans="2:9" x14ac:dyDescent="0.25">
      <c r="B542" s="31"/>
      <c r="F542" s="32"/>
      <c r="I542" s="32"/>
    </row>
    <row r="543" spans="2:9" x14ac:dyDescent="0.25">
      <c r="B543" s="31"/>
      <c r="F543" s="32"/>
      <c r="I543" s="32"/>
    </row>
    <row r="544" spans="2:9" x14ac:dyDescent="0.25">
      <c r="B544" s="31"/>
      <c r="F544" s="32"/>
      <c r="I544" s="32"/>
    </row>
    <row r="545" spans="2:9" x14ac:dyDescent="0.25">
      <c r="B545" s="31"/>
      <c r="F545" s="32"/>
      <c r="I545" s="32"/>
    </row>
    <row r="546" spans="2:9" x14ac:dyDescent="0.25">
      <c r="B546" s="31"/>
      <c r="F546" s="32"/>
      <c r="I546" s="32"/>
    </row>
    <row r="547" spans="2:9" x14ac:dyDescent="0.25">
      <c r="B547" s="31"/>
      <c r="F547" s="32"/>
      <c r="I547" s="32"/>
    </row>
    <row r="548" spans="2:9" x14ac:dyDescent="0.25">
      <c r="B548" s="31"/>
      <c r="F548" s="32"/>
      <c r="I548" s="32"/>
    </row>
    <row r="549" spans="2:9" x14ac:dyDescent="0.25">
      <c r="B549" s="31"/>
      <c r="F549" s="32"/>
      <c r="I549" s="32"/>
    </row>
    <row r="550" spans="2:9" x14ac:dyDescent="0.25">
      <c r="B550" s="31"/>
      <c r="F550" s="32"/>
      <c r="I550" s="32"/>
    </row>
    <row r="551" spans="2:9" x14ac:dyDescent="0.25">
      <c r="B551" s="31"/>
      <c r="F551" s="32"/>
      <c r="I551" s="32"/>
    </row>
    <row r="552" spans="2:9" x14ac:dyDescent="0.25">
      <c r="B552" s="31"/>
      <c r="F552" s="32"/>
      <c r="I552" s="32"/>
    </row>
    <row r="553" spans="2:9" x14ac:dyDescent="0.25">
      <c r="B553" s="31"/>
      <c r="F553" s="32"/>
      <c r="I553" s="32"/>
    </row>
    <row r="554" spans="2:9" x14ac:dyDescent="0.25">
      <c r="B554" s="31"/>
      <c r="F554" s="32"/>
      <c r="I554" s="32"/>
    </row>
    <row r="555" spans="2:9" x14ac:dyDescent="0.25">
      <c r="B555" s="31"/>
      <c r="F555" s="32"/>
      <c r="I555" s="32"/>
    </row>
    <row r="556" spans="2:9" x14ac:dyDescent="0.25">
      <c r="B556" s="31"/>
      <c r="F556" s="32"/>
      <c r="I556" s="32"/>
    </row>
    <row r="557" spans="2:9" x14ac:dyDescent="0.25">
      <c r="B557" s="31"/>
      <c r="F557" s="32"/>
      <c r="I557" s="32"/>
    </row>
    <row r="558" spans="2:9" x14ac:dyDescent="0.25">
      <c r="B558" s="31"/>
      <c r="F558" s="32"/>
      <c r="I558" s="32"/>
    </row>
    <row r="559" spans="2:9" x14ac:dyDescent="0.25">
      <c r="B559" s="31"/>
      <c r="F559" s="32"/>
      <c r="I559" s="32"/>
    </row>
    <row r="560" spans="2:9" x14ac:dyDescent="0.25">
      <c r="B560" s="31"/>
      <c r="F560" s="32"/>
      <c r="I560" s="32"/>
    </row>
    <row r="561" spans="2:9" x14ac:dyDescent="0.25">
      <c r="B561" s="31"/>
      <c r="F561" s="32"/>
      <c r="I561" s="32"/>
    </row>
    <row r="562" spans="2:9" x14ac:dyDescent="0.25">
      <c r="B562" s="31"/>
      <c r="F562" s="32"/>
      <c r="I562" s="32"/>
    </row>
    <row r="563" spans="2:9" x14ac:dyDescent="0.25">
      <c r="B563" s="31"/>
      <c r="F563" s="32"/>
      <c r="I563" s="32"/>
    </row>
    <row r="564" spans="2:9" x14ac:dyDescent="0.25">
      <c r="B564" s="31"/>
      <c r="F564" s="32"/>
      <c r="I564" s="32"/>
    </row>
    <row r="565" spans="2:9" x14ac:dyDescent="0.25">
      <c r="B565" s="31"/>
      <c r="F565" s="32"/>
      <c r="I565" s="32"/>
    </row>
    <row r="566" spans="2:9" x14ac:dyDescent="0.25">
      <c r="B566" s="31"/>
      <c r="F566" s="32"/>
      <c r="I566" s="32"/>
    </row>
    <row r="567" spans="2:9" x14ac:dyDescent="0.25">
      <c r="B567" s="31"/>
      <c r="F567" s="32"/>
      <c r="I567" s="32"/>
    </row>
    <row r="568" spans="2:9" x14ac:dyDescent="0.25">
      <c r="B568" s="31"/>
      <c r="F568" s="32"/>
      <c r="I568" s="32"/>
    </row>
    <row r="569" spans="2:9" x14ac:dyDescent="0.25">
      <c r="B569" s="31"/>
      <c r="F569" s="32"/>
      <c r="I569" s="32"/>
    </row>
    <row r="570" spans="2:9" x14ac:dyDescent="0.25">
      <c r="B570" s="31"/>
      <c r="F570" s="32"/>
      <c r="I570" s="32"/>
    </row>
    <row r="571" spans="2:9" x14ac:dyDescent="0.25">
      <c r="B571" s="31"/>
      <c r="F571" s="32"/>
      <c r="I571" s="32"/>
    </row>
    <row r="572" spans="2:9" x14ac:dyDescent="0.25">
      <c r="B572" s="31"/>
      <c r="F572" s="32"/>
      <c r="I572" s="32"/>
    </row>
    <row r="573" spans="2:9" x14ac:dyDescent="0.25">
      <c r="B573" s="31"/>
      <c r="F573" s="32"/>
      <c r="I573" s="32"/>
    </row>
    <row r="574" spans="2:9" x14ac:dyDescent="0.25">
      <c r="B574" s="31"/>
      <c r="F574" s="32"/>
      <c r="I574" s="32"/>
    </row>
    <row r="575" spans="2:9" x14ac:dyDescent="0.25">
      <c r="B575" s="31"/>
      <c r="F575" s="32"/>
      <c r="I575" s="32"/>
    </row>
    <row r="576" spans="2:9" x14ac:dyDescent="0.25">
      <c r="B576" s="31"/>
      <c r="F576" s="32"/>
      <c r="I576" s="32"/>
    </row>
    <row r="577" spans="2:9" x14ac:dyDescent="0.25">
      <c r="B577" s="31"/>
      <c r="F577" s="32"/>
      <c r="I577" s="32"/>
    </row>
    <row r="578" spans="2:9" x14ac:dyDescent="0.25">
      <c r="B578" s="31"/>
      <c r="F578" s="32"/>
      <c r="I578" s="32"/>
    </row>
    <row r="579" spans="2:9" x14ac:dyDescent="0.25">
      <c r="B579" s="31"/>
      <c r="F579" s="32"/>
      <c r="I579" s="32"/>
    </row>
    <row r="580" spans="2:9" x14ac:dyDescent="0.25">
      <c r="B580" s="31"/>
      <c r="F580" s="32"/>
      <c r="I580" s="32"/>
    </row>
    <row r="581" spans="2:9" x14ac:dyDescent="0.25">
      <c r="B581" s="31"/>
      <c r="F581" s="32"/>
      <c r="I581" s="32"/>
    </row>
    <row r="582" spans="2:9" x14ac:dyDescent="0.25">
      <c r="B582" s="31"/>
      <c r="F582" s="32"/>
      <c r="I582" s="32"/>
    </row>
    <row r="583" spans="2:9" x14ac:dyDescent="0.25">
      <c r="B583" s="31"/>
      <c r="F583" s="32"/>
      <c r="I583" s="32"/>
    </row>
    <row r="584" spans="2:9" x14ac:dyDescent="0.25">
      <c r="B584" s="31"/>
      <c r="F584" s="32"/>
      <c r="I584" s="32"/>
    </row>
    <row r="585" spans="2:9" x14ac:dyDescent="0.25">
      <c r="B585" s="31"/>
      <c r="F585" s="32"/>
      <c r="I585" s="32"/>
    </row>
    <row r="586" spans="2:9" x14ac:dyDescent="0.25">
      <c r="B586" s="31"/>
      <c r="F586" s="32"/>
      <c r="I586" s="32"/>
    </row>
    <row r="587" spans="2:9" x14ac:dyDescent="0.25">
      <c r="B587" s="31"/>
      <c r="F587" s="32"/>
      <c r="I587" s="32"/>
    </row>
    <row r="588" spans="2:9" x14ac:dyDescent="0.25">
      <c r="B588" s="31"/>
      <c r="F588" s="32"/>
      <c r="I588" s="32"/>
    </row>
    <row r="589" spans="2:9" x14ac:dyDescent="0.25">
      <c r="B589" s="31"/>
      <c r="F589" s="32"/>
      <c r="I589" s="32"/>
    </row>
    <row r="590" spans="2:9" x14ac:dyDescent="0.25">
      <c r="B590" s="31"/>
      <c r="F590" s="32"/>
      <c r="I590" s="32"/>
    </row>
    <row r="591" spans="2:9" x14ac:dyDescent="0.25">
      <c r="B591" s="31"/>
      <c r="F591" s="32"/>
      <c r="I591" s="32"/>
    </row>
    <row r="592" spans="2:9" x14ac:dyDescent="0.25">
      <c r="B592" s="31"/>
      <c r="F592" s="32"/>
      <c r="I592" s="32"/>
    </row>
    <row r="593" spans="2:9" x14ac:dyDescent="0.25">
      <c r="B593" s="31"/>
      <c r="F593" s="32"/>
      <c r="I593" s="32"/>
    </row>
    <row r="594" spans="2:9" x14ac:dyDescent="0.25">
      <c r="B594" s="31"/>
      <c r="F594" s="32"/>
      <c r="I594" s="32"/>
    </row>
    <row r="595" spans="2:9" x14ac:dyDescent="0.25">
      <c r="B595" s="31"/>
      <c r="F595" s="32"/>
      <c r="I595" s="32"/>
    </row>
    <row r="596" spans="2:9" x14ac:dyDescent="0.25">
      <c r="B596" s="31"/>
      <c r="F596" s="32"/>
      <c r="I596" s="32"/>
    </row>
    <row r="597" spans="2:9" x14ac:dyDescent="0.25">
      <c r="B597" s="31"/>
      <c r="F597" s="32"/>
      <c r="I597" s="32"/>
    </row>
    <row r="598" spans="2:9" x14ac:dyDescent="0.25">
      <c r="B598" s="31"/>
      <c r="F598" s="32"/>
      <c r="I598" s="32"/>
    </row>
    <row r="599" spans="2:9" x14ac:dyDescent="0.25">
      <c r="B599" s="31"/>
      <c r="F599" s="32"/>
      <c r="I599" s="32"/>
    </row>
    <row r="600" spans="2:9" x14ac:dyDescent="0.25">
      <c r="B600" s="31"/>
      <c r="F600" s="32"/>
      <c r="I600" s="32"/>
    </row>
    <row r="601" spans="2:9" x14ac:dyDescent="0.25">
      <c r="B601" s="31"/>
      <c r="F601" s="32"/>
      <c r="I601" s="32"/>
    </row>
    <row r="602" spans="2:9" x14ac:dyDescent="0.25">
      <c r="B602" s="31"/>
      <c r="F602" s="32"/>
      <c r="I602" s="32"/>
    </row>
    <row r="603" spans="2:9" x14ac:dyDescent="0.25">
      <c r="B603" s="31"/>
      <c r="F603" s="32"/>
      <c r="I603" s="32"/>
    </row>
    <row r="604" spans="2:9" x14ac:dyDescent="0.25">
      <c r="B604" s="31"/>
      <c r="F604" s="32"/>
      <c r="I604" s="32"/>
    </row>
    <row r="605" spans="2:9" x14ac:dyDescent="0.25">
      <c r="B605" s="31"/>
      <c r="F605" s="32"/>
      <c r="I605" s="32"/>
    </row>
    <row r="606" spans="2:9" x14ac:dyDescent="0.25">
      <c r="B606" s="31"/>
      <c r="F606" s="32"/>
      <c r="I606" s="32"/>
    </row>
    <row r="607" spans="2:9" x14ac:dyDescent="0.25">
      <c r="B607" s="31"/>
      <c r="F607" s="32"/>
      <c r="I607" s="32"/>
    </row>
    <row r="608" spans="2:9" x14ac:dyDescent="0.25">
      <c r="B608" s="31"/>
      <c r="F608" s="32"/>
      <c r="I608" s="32"/>
    </row>
    <row r="609" spans="2:9" x14ac:dyDescent="0.25">
      <c r="B609" s="31"/>
      <c r="F609" s="32"/>
      <c r="I609" s="32"/>
    </row>
    <row r="610" spans="2:9" x14ac:dyDescent="0.25">
      <c r="B610" s="31"/>
      <c r="F610" s="32"/>
      <c r="I610" s="32"/>
    </row>
    <row r="611" spans="2:9" x14ac:dyDescent="0.25">
      <c r="B611" s="31"/>
      <c r="F611" s="32"/>
      <c r="I611" s="32"/>
    </row>
    <row r="612" spans="2:9" x14ac:dyDescent="0.25">
      <c r="B612" s="31"/>
      <c r="F612" s="32"/>
      <c r="I612" s="32"/>
    </row>
    <row r="613" spans="2:9" x14ac:dyDescent="0.25">
      <c r="B613" s="31"/>
      <c r="F613" s="32"/>
      <c r="I613" s="32"/>
    </row>
    <row r="614" spans="2:9" x14ac:dyDescent="0.25">
      <c r="B614" s="31"/>
      <c r="F614" s="32"/>
      <c r="I614" s="32"/>
    </row>
    <row r="615" spans="2:9" x14ac:dyDescent="0.25">
      <c r="B615" s="31"/>
      <c r="F615" s="32"/>
      <c r="I615" s="32"/>
    </row>
    <row r="616" spans="2:9" x14ac:dyDescent="0.25">
      <c r="B616" s="31"/>
      <c r="F616" s="32"/>
      <c r="I616" s="32"/>
    </row>
    <row r="617" spans="2:9" x14ac:dyDescent="0.25">
      <c r="B617" s="31"/>
      <c r="F617" s="32"/>
      <c r="I617" s="32"/>
    </row>
    <row r="618" spans="2:9" x14ac:dyDescent="0.25">
      <c r="B618" s="31"/>
      <c r="F618" s="32"/>
      <c r="I618" s="32"/>
    </row>
    <row r="619" spans="2:9" x14ac:dyDescent="0.25">
      <c r="B619" s="31"/>
      <c r="F619" s="32"/>
      <c r="I619" s="32"/>
    </row>
    <row r="620" spans="2:9" x14ac:dyDescent="0.25">
      <c r="B620" s="31"/>
      <c r="F620" s="32"/>
      <c r="I620" s="32"/>
    </row>
    <row r="621" spans="2:9" x14ac:dyDescent="0.25">
      <c r="B621" s="31"/>
      <c r="F621" s="32"/>
      <c r="I621" s="32"/>
    </row>
    <row r="622" spans="2:9" x14ac:dyDescent="0.25">
      <c r="B622" s="31"/>
      <c r="F622" s="32"/>
      <c r="I622" s="32"/>
    </row>
    <row r="623" spans="2:9" x14ac:dyDescent="0.25">
      <c r="B623" s="31"/>
      <c r="F623" s="32"/>
      <c r="I623" s="32"/>
    </row>
    <row r="624" spans="2:9" x14ac:dyDescent="0.25">
      <c r="B624" s="31"/>
      <c r="F624" s="32"/>
      <c r="I624" s="32"/>
    </row>
    <row r="625" spans="2:9" x14ac:dyDescent="0.25">
      <c r="B625" s="31"/>
      <c r="F625" s="32"/>
      <c r="I625" s="32"/>
    </row>
    <row r="626" spans="2:9" x14ac:dyDescent="0.25">
      <c r="B626" s="31"/>
      <c r="F626" s="32"/>
      <c r="I626" s="32"/>
    </row>
    <row r="627" spans="2:9" x14ac:dyDescent="0.25">
      <c r="B627" s="31"/>
      <c r="F627" s="32"/>
      <c r="I627" s="32"/>
    </row>
    <row r="628" spans="2:9" x14ac:dyDescent="0.25">
      <c r="B628" s="31"/>
      <c r="F628" s="32"/>
      <c r="I628" s="32"/>
    </row>
    <row r="629" spans="2:9" x14ac:dyDescent="0.25">
      <c r="B629" s="31"/>
      <c r="F629" s="32"/>
      <c r="I629" s="32"/>
    </row>
    <row r="630" spans="2:9" x14ac:dyDescent="0.25">
      <c r="B630" s="31"/>
      <c r="F630" s="32"/>
      <c r="I630" s="32"/>
    </row>
    <row r="631" spans="2:9" x14ac:dyDescent="0.25">
      <c r="B631" s="31"/>
      <c r="F631" s="32"/>
      <c r="I631" s="32"/>
    </row>
    <row r="632" spans="2:9" x14ac:dyDescent="0.25">
      <c r="B632" s="31"/>
      <c r="F632" s="32"/>
      <c r="I632" s="32"/>
    </row>
    <row r="633" spans="2:9" x14ac:dyDescent="0.25">
      <c r="B633" s="31"/>
      <c r="F633" s="32"/>
      <c r="I633" s="32"/>
    </row>
    <row r="634" spans="2:9" x14ac:dyDescent="0.25">
      <c r="B634" s="31"/>
      <c r="F634" s="32"/>
      <c r="I634" s="32"/>
    </row>
    <row r="635" spans="2:9" x14ac:dyDescent="0.25">
      <c r="B635" s="31"/>
      <c r="F635" s="32"/>
      <c r="I635" s="32"/>
    </row>
    <row r="636" spans="2:9" x14ac:dyDescent="0.25">
      <c r="B636" s="31"/>
      <c r="F636" s="32"/>
      <c r="I636" s="32"/>
    </row>
    <row r="637" spans="2:9" x14ac:dyDescent="0.25">
      <c r="B637" s="31"/>
      <c r="F637" s="32"/>
      <c r="I637" s="32"/>
    </row>
    <row r="638" spans="2:9" x14ac:dyDescent="0.25">
      <c r="B638" s="31"/>
      <c r="F638" s="32"/>
      <c r="I638" s="32"/>
    </row>
    <row r="639" spans="2:9" x14ac:dyDescent="0.25">
      <c r="B639" s="31"/>
      <c r="F639" s="32"/>
      <c r="I639" s="32"/>
    </row>
    <row r="640" spans="2:9" x14ac:dyDescent="0.25">
      <c r="B640" s="31"/>
      <c r="F640" s="32"/>
      <c r="I640" s="32"/>
    </row>
    <row r="641" spans="2:9" x14ac:dyDescent="0.25">
      <c r="B641" s="31"/>
      <c r="F641" s="32"/>
      <c r="I641" s="32"/>
    </row>
    <row r="642" spans="2:9" x14ac:dyDescent="0.25">
      <c r="B642" s="31"/>
      <c r="F642" s="32"/>
      <c r="I642" s="32"/>
    </row>
    <row r="643" spans="2:9" x14ac:dyDescent="0.25">
      <c r="B643" s="31"/>
      <c r="F643" s="32"/>
      <c r="I643" s="32"/>
    </row>
    <row r="644" spans="2:9" x14ac:dyDescent="0.25">
      <c r="B644" s="31"/>
      <c r="F644" s="32"/>
      <c r="I644" s="32"/>
    </row>
    <row r="645" spans="2:9" x14ac:dyDescent="0.25">
      <c r="B645" s="31"/>
      <c r="F645" s="32"/>
      <c r="I645" s="32"/>
    </row>
    <row r="646" spans="2:9" x14ac:dyDescent="0.25">
      <c r="B646" s="31"/>
      <c r="F646" s="32"/>
      <c r="I646" s="32"/>
    </row>
    <row r="647" spans="2:9" x14ac:dyDescent="0.25">
      <c r="B647" s="31"/>
      <c r="F647" s="32"/>
      <c r="I647" s="32"/>
    </row>
    <row r="648" spans="2:9" x14ac:dyDescent="0.25">
      <c r="B648" s="31"/>
      <c r="F648" s="32"/>
      <c r="I648" s="32"/>
    </row>
    <row r="649" spans="2:9" x14ac:dyDescent="0.25">
      <c r="B649" s="31"/>
      <c r="F649" s="32"/>
      <c r="I649" s="32"/>
    </row>
    <row r="650" spans="2:9" x14ac:dyDescent="0.25">
      <c r="B650" s="31"/>
      <c r="F650" s="32"/>
      <c r="I650" s="32"/>
    </row>
    <row r="651" spans="2:9" x14ac:dyDescent="0.25">
      <c r="B651" s="31"/>
      <c r="F651" s="32"/>
      <c r="I651" s="32"/>
    </row>
    <row r="652" spans="2:9" x14ac:dyDescent="0.25">
      <c r="B652" s="31"/>
      <c r="F652" s="32"/>
      <c r="I652" s="32"/>
    </row>
    <row r="653" spans="2:9" x14ac:dyDescent="0.25">
      <c r="B653" s="31"/>
      <c r="F653" s="32"/>
      <c r="I653" s="32"/>
    </row>
    <row r="654" spans="2:9" x14ac:dyDescent="0.25">
      <c r="B654" s="31"/>
      <c r="F654" s="32"/>
      <c r="I654" s="32"/>
    </row>
    <row r="655" spans="2:9" x14ac:dyDescent="0.25">
      <c r="B655" s="31"/>
      <c r="F655" s="32"/>
      <c r="I655" s="32"/>
    </row>
    <row r="656" spans="2:9" x14ac:dyDescent="0.25">
      <c r="B656" s="31"/>
      <c r="F656" s="32"/>
      <c r="I656" s="32"/>
    </row>
    <row r="657" spans="2:9" x14ac:dyDescent="0.25">
      <c r="B657" s="31"/>
      <c r="F657" s="32"/>
      <c r="I657" s="32"/>
    </row>
    <row r="658" spans="2:9" x14ac:dyDescent="0.25">
      <c r="B658" s="31"/>
      <c r="F658" s="32"/>
      <c r="I658" s="32"/>
    </row>
    <row r="659" spans="2:9" x14ac:dyDescent="0.25">
      <c r="B659" s="31"/>
      <c r="F659" s="32"/>
      <c r="I659" s="32"/>
    </row>
    <row r="660" spans="2:9" x14ac:dyDescent="0.25">
      <c r="B660" s="31"/>
      <c r="F660" s="32"/>
      <c r="I660" s="32"/>
    </row>
    <row r="661" spans="2:9" x14ac:dyDescent="0.25">
      <c r="B661" s="31"/>
      <c r="F661" s="32"/>
      <c r="I661" s="32"/>
    </row>
    <row r="662" spans="2:9" x14ac:dyDescent="0.25">
      <c r="B662" s="31"/>
      <c r="F662" s="32"/>
      <c r="I662" s="32"/>
    </row>
    <row r="663" spans="2:9" x14ac:dyDescent="0.25">
      <c r="B663" s="31"/>
      <c r="F663" s="32"/>
      <c r="I663" s="32"/>
    </row>
    <row r="664" spans="2:9" x14ac:dyDescent="0.25">
      <c r="B664" s="31"/>
      <c r="F664" s="32"/>
      <c r="I664" s="32"/>
    </row>
    <row r="665" spans="2:9" x14ac:dyDescent="0.25">
      <c r="B665" s="31"/>
      <c r="F665" s="32"/>
      <c r="I665" s="32"/>
    </row>
    <row r="666" spans="2:9" x14ac:dyDescent="0.25">
      <c r="B666" s="31"/>
      <c r="F666" s="32"/>
      <c r="I666" s="32"/>
    </row>
    <row r="667" spans="2:9" x14ac:dyDescent="0.25">
      <c r="B667" s="31"/>
      <c r="F667" s="32"/>
      <c r="I667" s="32"/>
    </row>
    <row r="668" spans="2:9" x14ac:dyDescent="0.25">
      <c r="B668" s="31"/>
      <c r="F668" s="32"/>
      <c r="I668" s="32"/>
    </row>
    <row r="669" spans="2:9" x14ac:dyDescent="0.25">
      <c r="B669" s="31"/>
      <c r="F669" s="32"/>
      <c r="I669" s="32"/>
    </row>
    <row r="670" spans="2:9" x14ac:dyDescent="0.25">
      <c r="B670" s="31"/>
      <c r="F670" s="32"/>
      <c r="I670" s="32"/>
    </row>
    <row r="671" spans="2:9" x14ac:dyDescent="0.25">
      <c r="B671" s="31"/>
      <c r="F671" s="32"/>
      <c r="I671" s="32"/>
    </row>
    <row r="672" spans="2:9" x14ac:dyDescent="0.25">
      <c r="B672" s="31"/>
      <c r="F672" s="32"/>
      <c r="I672" s="32"/>
    </row>
    <row r="673" spans="2:9" x14ac:dyDescent="0.25">
      <c r="B673" s="31"/>
      <c r="F673" s="32"/>
      <c r="I673" s="32"/>
    </row>
    <row r="674" spans="2:9" x14ac:dyDescent="0.25">
      <c r="B674" s="31"/>
      <c r="F674" s="32"/>
      <c r="I674" s="32"/>
    </row>
    <row r="675" spans="2:9" x14ac:dyDescent="0.25">
      <c r="B675" s="31"/>
      <c r="F675" s="32"/>
      <c r="I675" s="32"/>
    </row>
    <row r="676" spans="2:9" x14ac:dyDescent="0.25">
      <c r="B676" s="31"/>
      <c r="F676" s="32"/>
      <c r="I676" s="32"/>
    </row>
    <row r="677" spans="2:9" x14ac:dyDescent="0.25">
      <c r="B677" s="31"/>
      <c r="F677" s="32"/>
      <c r="I677" s="32"/>
    </row>
    <row r="678" spans="2:9" x14ac:dyDescent="0.25">
      <c r="B678" s="31"/>
      <c r="F678" s="32"/>
      <c r="I678" s="32"/>
    </row>
    <row r="679" spans="2:9" x14ac:dyDescent="0.25">
      <c r="B679" s="31"/>
      <c r="F679" s="32"/>
      <c r="I679" s="32"/>
    </row>
    <row r="680" spans="2:9" x14ac:dyDescent="0.25">
      <c r="B680" s="31"/>
      <c r="F680" s="32"/>
      <c r="I680" s="32"/>
    </row>
    <row r="681" spans="2:9" x14ac:dyDescent="0.25">
      <c r="B681" s="31"/>
      <c r="F681" s="32"/>
      <c r="I681" s="32"/>
    </row>
    <row r="682" spans="2:9" x14ac:dyDescent="0.25">
      <c r="B682" s="31"/>
      <c r="F682" s="32"/>
      <c r="I682" s="32"/>
    </row>
    <row r="683" spans="2:9" x14ac:dyDescent="0.25">
      <c r="B683" s="31"/>
      <c r="F683" s="32"/>
      <c r="I683" s="32"/>
    </row>
    <row r="684" spans="2:9" x14ac:dyDescent="0.25">
      <c r="B684" s="31"/>
      <c r="F684" s="32"/>
      <c r="I684" s="32"/>
    </row>
    <row r="685" spans="2:9" x14ac:dyDescent="0.25">
      <c r="B685" s="31"/>
      <c r="F685" s="32"/>
      <c r="I685" s="32"/>
    </row>
    <row r="686" spans="2:9" x14ac:dyDescent="0.25">
      <c r="B686" s="31"/>
      <c r="F686" s="32"/>
      <c r="I686" s="32"/>
    </row>
    <row r="687" spans="2:9" x14ac:dyDescent="0.25">
      <c r="B687" s="31"/>
      <c r="F687" s="32"/>
      <c r="I687" s="32"/>
    </row>
    <row r="688" spans="2:9" x14ac:dyDescent="0.25">
      <c r="B688" s="31"/>
      <c r="F688" s="32"/>
      <c r="I688" s="32"/>
    </row>
    <row r="689" spans="2:9" x14ac:dyDescent="0.25">
      <c r="B689" s="31"/>
      <c r="F689" s="32"/>
      <c r="I689" s="32"/>
    </row>
    <row r="690" spans="2:9" x14ac:dyDescent="0.25">
      <c r="B690" s="31"/>
      <c r="F690" s="32"/>
      <c r="I690" s="32"/>
    </row>
    <row r="691" spans="2:9" x14ac:dyDescent="0.25">
      <c r="B691" s="31"/>
      <c r="F691" s="32"/>
      <c r="I691" s="32"/>
    </row>
    <row r="692" spans="2:9" x14ac:dyDescent="0.25">
      <c r="B692" s="31"/>
      <c r="F692" s="32"/>
      <c r="I692" s="32"/>
    </row>
    <row r="693" spans="2:9" x14ac:dyDescent="0.25">
      <c r="B693" s="31"/>
      <c r="F693" s="32"/>
      <c r="I693" s="32"/>
    </row>
    <row r="694" spans="2:9" x14ac:dyDescent="0.25">
      <c r="B694" s="31"/>
      <c r="F694" s="32"/>
      <c r="I694" s="32"/>
    </row>
    <row r="695" spans="2:9" x14ac:dyDescent="0.25">
      <c r="B695" s="31"/>
      <c r="F695" s="32"/>
      <c r="I695" s="32"/>
    </row>
    <row r="696" spans="2:9" x14ac:dyDescent="0.25">
      <c r="B696" s="31"/>
      <c r="F696" s="32"/>
      <c r="I696" s="32"/>
    </row>
    <row r="697" spans="2:9" x14ac:dyDescent="0.25">
      <c r="B697" s="31"/>
      <c r="F697" s="32"/>
      <c r="I697" s="32"/>
    </row>
    <row r="698" spans="2:9" x14ac:dyDescent="0.25">
      <c r="B698" s="31"/>
      <c r="F698" s="32"/>
      <c r="I698" s="32"/>
    </row>
    <row r="699" spans="2:9" x14ac:dyDescent="0.25">
      <c r="B699" s="31"/>
      <c r="F699" s="32"/>
      <c r="I699" s="32"/>
    </row>
    <row r="700" spans="2:9" x14ac:dyDescent="0.25">
      <c r="B700" s="31"/>
      <c r="F700" s="32"/>
      <c r="I700" s="32"/>
    </row>
    <row r="701" spans="2:9" x14ac:dyDescent="0.25">
      <c r="B701" s="31"/>
      <c r="F701" s="32"/>
      <c r="I701" s="32"/>
    </row>
    <row r="702" spans="2:9" x14ac:dyDescent="0.25">
      <c r="B702" s="31"/>
      <c r="F702" s="32"/>
      <c r="I702" s="32"/>
    </row>
    <row r="703" spans="2:9" x14ac:dyDescent="0.25">
      <c r="B703" s="31"/>
      <c r="F703" s="32"/>
      <c r="I703" s="32"/>
    </row>
    <row r="704" spans="2:9" x14ac:dyDescent="0.25">
      <c r="B704" s="31"/>
      <c r="F704" s="32"/>
      <c r="I704" s="32"/>
    </row>
    <row r="705" spans="2:9" x14ac:dyDescent="0.25">
      <c r="B705" s="31"/>
      <c r="F705" s="32"/>
      <c r="I705" s="32"/>
    </row>
    <row r="706" spans="2:9" x14ac:dyDescent="0.25">
      <c r="B706" s="31"/>
      <c r="F706" s="32"/>
      <c r="I706" s="32"/>
    </row>
    <row r="707" spans="2:9" x14ac:dyDescent="0.25">
      <c r="B707" s="31"/>
      <c r="F707" s="32"/>
      <c r="I707" s="32"/>
    </row>
    <row r="708" spans="2:9" x14ac:dyDescent="0.25">
      <c r="B708" s="31"/>
      <c r="F708" s="32"/>
      <c r="I708" s="32"/>
    </row>
    <row r="709" spans="2:9" x14ac:dyDescent="0.25">
      <c r="B709" s="31"/>
      <c r="F709" s="32"/>
      <c r="I709" s="32"/>
    </row>
    <row r="710" spans="2:9" x14ac:dyDescent="0.25">
      <c r="B710" s="31"/>
      <c r="F710" s="32"/>
      <c r="I710" s="32"/>
    </row>
    <row r="711" spans="2:9" x14ac:dyDescent="0.25">
      <c r="B711" s="31"/>
      <c r="F711" s="32"/>
      <c r="I711" s="32"/>
    </row>
    <row r="712" spans="2:9" x14ac:dyDescent="0.25">
      <c r="B712" s="31"/>
      <c r="F712" s="32"/>
      <c r="I712" s="32"/>
    </row>
    <row r="713" spans="2:9" x14ac:dyDescent="0.25">
      <c r="B713" s="31"/>
      <c r="F713" s="32"/>
      <c r="I713" s="32"/>
    </row>
    <row r="714" spans="2:9" x14ac:dyDescent="0.25">
      <c r="B714" s="31"/>
      <c r="F714" s="32"/>
      <c r="I714" s="32"/>
    </row>
    <row r="715" spans="2:9" x14ac:dyDescent="0.25">
      <c r="B715" s="31"/>
      <c r="F715" s="32"/>
      <c r="I715" s="32"/>
    </row>
    <row r="716" spans="2:9" x14ac:dyDescent="0.25">
      <c r="B716" s="31"/>
      <c r="F716" s="32"/>
      <c r="I716" s="32"/>
    </row>
    <row r="717" spans="2:9" x14ac:dyDescent="0.25">
      <c r="B717" s="31"/>
      <c r="F717" s="32"/>
      <c r="I717" s="32"/>
    </row>
    <row r="718" spans="2:9" x14ac:dyDescent="0.25">
      <c r="B718" s="31"/>
      <c r="F718" s="32"/>
      <c r="I718" s="32"/>
    </row>
    <row r="719" spans="2:9" x14ac:dyDescent="0.25">
      <c r="B719" s="31"/>
      <c r="F719" s="32"/>
      <c r="I719" s="32"/>
    </row>
    <row r="720" spans="2:9" x14ac:dyDescent="0.25">
      <c r="B720" s="31"/>
      <c r="F720" s="32"/>
      <c r="I720" s="32"/>
    </row>
    <row r="721" spans="2:9" x14ac:dyDescent="0.25">
      <c r="B721" s="31"/>
      <c r="F721" s="32"/>
      <c r="I721" s="32"/>
    </row>
    <row r="722" spans="2:9" x14ac:dyDescent="0.25">
      <c r="B722" s="31"/>
      <c r="F722" s="32"/>
      <c r="I722" s="32"/>
    </row>
    <row r="723" spans="2:9" x14ac:dyDescent="0.25">
      <c r="B723" s="31"/>
      <c r="F723" s="32"/>
      <c r="I723" s="32"/>
    </row>
    <row r="724" spans="2:9" x14ac:dyDescent="0.25">
      <c r="B724" s="31"/>
      <c r="F724" s="32"/>
      <c r="I724" s="32"/>
    </row>
    <row r="725" spans="2:9" x14ac:dyDescent="0.25">
      <c r="B725" s="31"/>
      <c r="F725" s="32"/>
      <c r="I725" s="32"/>
    </row>
    <row r="726" spans="2:9" x14ac:dyDescent="0.25">
      <c r="B726" s="31"/>
      <c r="F726" s="32"/>
      <c r="I726" s="32"/>
    </row>
    <row r="727" spans="2:9" x14ac:dyDescent="0.25">
      <c r="B727" s="31"/>
      <c r="F727" s="32"/>
      <c r="I727" s="32"/>
    </row>
    <row r="728" spans="2:9" x14ac:dyDescent="0.25">
      <c r="B728" s="31"/>
      <c r="F728" s="32"/>
      <c r="I728" s="32"/>
    </row>
    <row r="729" spans="2:9" x14ac:dyDescent="0.25">
      <c r="B729" s="31"/>
      <c r="F729" s="32"/>
      <c r="I729" s="32"/>
    </row>
    <row r="730" spans="2:9" x14ac:dyDescent="0.25">
      <c r="B730" s="31"/>
      <c r="F730" s="32"/>
      <c r="I730" s="32"/>
    </row>
    <row r="731" spans="2:9" x14ac:dyDescent="0.25">
      <c r="B731" s="31"/>
      <c r="F731" s="32"/>
      <c r="I731" s="32"/>
    </row>
    <row r="732" spans="2:9" x14ac:dyDescent="0.25">
      <c r="B732" s="31"/>
      <c r="F732" s="32"/>
      <c r="I732" s="32"/>
    </row>
    <row r="733" spans="2:9" x14ac:dyDescent="0.25">
      <c r="B733" s="31"/>
      <c r="F733" s="32"/>
      <c r="I733" s="32"/>
    </row>
    <row r="734" spans="2:9" x14ac:dyDescent="0.25">
      <c r="B734" s="31"/>
      <c r="F734" s="32"/>
      <c r="I734" s="32"/>
    </row>
    <row r="735" spans="2:9" x14ac:dyDescent="0.25">
      <c r="B735" s="31"/>
      <c r="F735" s="32"/>
      <c r="I735" s="32"/>
    </row>
    <row r="736" spans="2:9" x14ac:dyDescent="0.25">
      <c r="B736" s="31"/>
      <c r="F736" s="32"/>
      <c r="I736" s="32"/>
    </row>
    <row r="737" spans="2:9" x14ac:dyDescent="0.25">
      <c r="B737" s="31"/>
      <c r="F737" s="32"/>
      <c r="I737" s="32"/>
    </row>
    <row r="738" spans="2:9" x14ac:dyDescent="0.25">
      <c r="B738" s="31"/>
      <c r="F738" s="32"/>
      <c r="I738" s="32"/>
    </row>
    <row r="739" spans="2:9" x14ac:dyDescent="0.25">
      <c r="B739" s="31"/>
      <c r="F739" s="32"/>
      <c r="I739" s="32"/>
    </row>
    <row r="740" spans="2:9" x14ac:dyDescent="0.25">
      <c r="B740" s="31"/>
      <c r="F740" s="32"/>
      <c r="I740" s="32"/>
    </row>
    <row r="741" spans="2:9" x14ac:dyDescent="0.25">
      <c r="B741" s="31"/>
      <c r="F741" s="32"/>
      <c r="I741" s="32"/>
    </row>
    <row r="742" spans="2:9" x14ac:dyDescent="0.25">
      <c r="B742" s="31"/>
      <c r="F742" s="32"/>
      <c r="I742" s="32"/>
    </row>
    <row r="743" spans="2:9" x14ac:dyDescent="0.25">
      <c r="B743" s="31"/>
      <c r="F743" s="32"/>
      <c r="I743" s="32"/>
    </row>
    <row r="744" spans="2:9" x14ac:dyDescent="0.25">
      <c r="B744" s="31"/>
      <c r="F744" s="32"/>
      <c r="I744" s="32"/>
    </row>
    <row r="745" spans="2:9" x14ac:dyDescent="0.25">
      <c r="B745" s="31"/>
      <c r="F745" s="32"/>
      <c r="I745" s="32"/>
    </row>
    <row r="746" spans="2:9" x14ac:dyDescent="0.25">
      <c r="B746" s="31"/>
      <c r="F746" s="32"/>
      <c r="I746" s="32"/>
    </row>
    <row r="747" spans="2:9" x14ac:dyDescent="0.25">
      <c r="B747" s="31"/>
      <c r="F747" s="32"/>
      <c r="I747" s="32"/>
    </row>
    <row r="748" spans="2:9" x14ac:dyDescent="0.25">
      <c r="B748" s="31"/>
      <c r="F748" s="32"/>
      <c r="I748" s="32"/>
    </row>
    <row r="749" spans="2:9" x14ac:dyDescent="0.25">
      <c r="B749" s="31"/>
      <c r="F749" s="32"/>
      <c r="I749" s="32"/>
    </row>
    <row r="750" spans="2:9" x14ac:dyDescent="0.25">
      <c r="B750" s="31"/>
      <c r="F750" s="32"/>
      <c r="I750" s="32"/>
    </row>
    <row r="751" spans="2:9" x14ac:dyDescent="0.25">
      <c r="B751" s="31"/>
      <c r="F751" s="32"/>
      <c r="I751" s="32"/>
    </row>
    <row r="752" spans="2:9" x14ac:dyDescent="0.25">
      <c r="B752" s="31"/>
      <c r="F752" s="32"/>
      <c r="I752" s="32"/>
    </row>
    <row r="753" spans="2:9" x14ac:dyDescent="0.25">
      <c r="B753" s="31"/>
      <c r="F753" s="32"/>
      <c r="I753" s="32"/>
    </row>
    <row r="754" spans="2:9" x14ac:dyDescent="0.25">
      <c r="B754" s="31"/>
      <c r="F754" s="32"/>
      <c r="I754" s="32"/>
    </row>
    <row r="755" spans="2:9" x14ac:dyDescent="0.25">
      <c r="B755" s="31"/>
      <c r="F755" s="32"/>
      <c r="I755" s="32"/>
    </row>
    <row r="756" spans="2:9" x14ac:dyDescent="0.25">
      <c r="B756" s="31"/>
      <c r="F756" s="32"/>
      <c r="I756" s="32"/>
    </row>
    <row r="757" spans="2:9" x14ac:dyDescent="0.25">
      <c r="B757" s="31"/>
      <c r="F757" s="32"/>
      <c r="I757" s="32"/>
    </row>
    <row r="758" spans="2:9" x14ac:dyDescent="0.25">
      <c r="B758" s="31"/>
      <c r="F758" s="32"/>
      <c r="I758" s="32"/>
    </row>
    <row r="759" spans="2:9" x14ac:dyDescent="0.25">
      <c r="B759" s="31"/>
      <c r="F759" s="32"/>
      <c r="I759" s="32"/>
    </row>
    <row r="760" spans="2:9" x14ac:dyDescent="0.25">
      <c r="B760" s="31"/>
      <c r="F760" s="32"/>
      <c r="I760" s="32"/>
    </row>
    <row r="761" spans="2:9" x14ac:dyDescent="0.25">
      <c r="B761" s="31"/>
      <c r="F761" s="32"/>
      <c r="I761" s="32"/>
    </row>
    <row r="762" spans="2:9" x14ac:dyDescent="0.25">
      <c r="B762" s="31"/>
      <c r="F762" s="32"/>
      <c r="I762" s="32"/>
    </row>
    <row r="763" spans="2:9" x14ac:dyDescent="0.25">
      <c r="B763" s="31"/>
      <c r="F763" s="32"/>
      <c r="I763" s="32"/>
    </row>
    <row r="764" spans="2:9" x14ac:dyDescent="0.25">
      <c r="B764" s="31"/>
      <c r="F764" s="32"/>
      <c r="I764" s="32"/>
    </row>
    <row r="765" spans="2:9" x14ac:dyDescent="0.25">
      <c r="B765" s="31"/>
      <c r="F765" s="32"/>
      <c r="I765" s="32"/>
    </row>
    <row r="766" spans="2:9" x14ac:dyDescent="0.25">
      <c r="B766" s="31"/>
      <c r="F766" s="32"/>
      <c r="I766" s="32"/>
    </row>
    <row r="767" spans="2:9" x14ac:dyDescent="0.25">
      <c r="B767" s="31"/>
      <c r="F767" s="32"/>
      <c r="I767" s="32"/>
    </row>
    <row r="768" spans="2:9" x14ac:dyDescent="0.25">
      <c r="B768" s="31"/>
      <c r="F768" s="32"/>
      <c r="I768" s="32"/>
    </row>
    <row r="769" spans="2:9" x14ac:dyDescent="0.25">
      <c r="B769" s="31"/>
      <c r="F769" s="32"/>
      <c r="I769" s="32"/>
    </row>
    <row r="770" spans="2:9" x14ac:dyDescent="0.25">
      <c r="B770" s="31"/>
      <c r="F770" s="32"/>
      <c r="I770" s="32"/>
    </row>
    <row r="771" spans="2:9" x14ac:dyDescent="0.25">
      <c r="B771" s="31"/>
      <c r="F771" s="32"/>
      <c r="I771" s="32"/>
    </row>
    <row r="772" spans="2:9" x14ac:dyDescent="0.25">
      <c r="B772" s="31"/>
      <c r="F772" s="32"/>
      <c r="I772" s="32"/>
    </row>
    <row r="773" spans="2:9" x14ac:dyDescent="0.25">
      <c r="B773" s="31"/>
      <c r="F773" s="32"/>
      <c r="I773" s="32"/>
    </row>
    <row r="774" spans="2:9" x14ac:dyDescent="0.25">
      <c r="B774" s="31"/>
      <c r="F774" s="32"/>
      <c r="I774" s="32"/>
    </row>
    <row r="775" spans="2:9" x14ac:dyDescent="0.25">
      <c r="B775" s="31"/>
      <c r="F775" s="32"/>
      <c r="I775" s="32"/>
    </row>
    <row r="776" spans="2:9" x14ac:dyDescent="0.25">
      <c r="B776" s="31"/>
      <c r="F776" s="32"/>
      <c r="I776" s="32"/>
    </row>
    <row r="777" spans="2:9" x14ac:dyDescent="0.25">
      <c r="B777" s="31"/>
      <c r="F777" s="32"/>
      <c r="I777" s="32"/>
    </row>
    <row r="778" spans="2:9" x14ac:dyDescent="0.25">
      <c r="B778" s="31"/>
      <c r="F778" s="32"/>
      <c r="I778" s="32"/>
    </row>
    <row r="779" spans="2:9" x14ac:dyDescent="0.25">
      <c r="B779" s="31"/>
      <c r="F779" s="32"/>
      <c r="I779" s="32"/>
    </row>
    <row r="780" spans="2:9" x14ac:dyDescent="0.25">
      <c r="B780" s="31"/>
      <c r="F780" s="32"/>
      <c r="I780" s="32"/>
    </row>
    <row r="781" spans="2:9" x14ac:dyDescent="0.25">
      <c r="B781" s="31"/>
      <c r="F781" s="32"/>
      <c r="I781" s="32"/>
    </row>
    <row r="782" spans="2:9" x14ac:dyDescent="0.25">
      <c r="B782" s="31"/>
      <c r="F782" s="32"/>
      <c r="I782" s="32"/>
    </row>
    <row r="783" spans="2:9" x14ac:dyDescent="0.25">
      <c r="B783" s="31"/>
      <c r="F783" s="32"/>
      <c r="I783" s="32"/>
    </row>
    <row r="784" spans="2:9" x14ac:dyDescent="0.25">
      <c r="B784" s="31"/>
      <c r="F784" s="32"/>
      <c r="I784" s="32"/>
    </row>
    <row r="785" spans="2:9" x14ac:dyDescent="0.25">
      <c r="B785" s="31"/>
      <c r="F785" s="32"/>
      <c r="I785" s="32"/>
    </row>
    <row r="786" spans="2:9" x14ac:dyDescent="0.25">
      <c r="B786" s="31"/>
      <c r="F786" s="32"/>
      <c r="I786" s="32"/>
    </row>
    <row r="787" spans="2:9" x14ac:dyDescent="0.25">
      <c r="B787" s="31"/>
      <c r="F787" s="32"/>
      <c r="I787" s="32"/>
    </row>
    <row r="788" spans="2:9" x14ac:dyDescent="0.25">
      <c r="B788" s="31"/>
      <c r="F788" s="32"/>
      <c r="I788" s="32"/>
    </row>
    <row r="789" spans="2:9" x14ac:dyDescent="0.25">
      <c r="B789" s="31"/>
      <c r="F789" s="32"/>
      <c r="I789" s="32"/>
    </row>
    <row r="790" spans="2:9" x14ac:dyDescent="0.25">
      <c r="B790" s="31"/>
      <c r="F790" s="32"/>
      <c r="I790" s="32"/>
    </row>
    <row r="791" spans="2:9" x14ac:dyDescent="0.25">
      <c r="B791" s="31"/>
      <c r="F791" s="32"/>
      <c r="I791" s="32"/>
    </row>
    <row r="792" spans="2:9" x14ac:dyDescent="0.25">
      <c r="B792" s="31"/>
      <c r="F792" s="32"/>
      <c r="I792" s="32"/>
    </row>
    <row r="793" spans="2:9" x14ac:dyDescent="0.25">
      <c r="B793" s="31"/>
      <c r="F793" s="32"/>
      <c r="I793" s="32"/>
    </row>
    <row r="794" spans="2:9" x14ac:dyDescent="0.25">
      <c r="B794" s="31"/>
      <c r="F794" s="32"/>
      <c r="I794" s="32"/>
    </row>
    <row r="795" spans="2:9" x14ac:dyDescent="0.25">
      <c r="B795" s="31"/>
      <c r="F795" s="32"/>
      <c r="I795" s="32"/>
    </row>
    <row r="796" spans="2:9" x14ac:dyDescent="0.25">
      <c r="B796" s="31"/>
      <c r="F796" s="32"/>
      <c r="I796" s="32"/>
    </row>
    <row r="797" spans="2:9" x14ac:dyDescent="0.25">
      <c r="B797" s="31"/>
      <c r="F797" s="32"/>
      <c r="I797" s="32"/>
    </row>
    <row r="798" spans="2:9" x14ac:dyDescent="0.25">
      <c r="B798" s="31"/>
      <c r="F798" s="32"/>
      <c r="I798" s="32"/>
    </row>
    <row r="799" spans="2:9" x14ac:dyDescent="0.25">
      <c r="B799" s="31"/>
      <c r="F799" s="32"/>
      <c r="I799" s="32"/>
    </row>
    <row r="800" spans="2:9" x14ac:dyDescent="0.25">
      <c r="B800" s="31"/>
      <c r="F800" s="32"/>
      <c r="I800" s="32"/>
    </row>
    <row r="801" spans="2:9" x14ac:dyDescent="0.25">
      <c r="B801" s="31"/>
      <c r="F801" s="32"/>
      <c r="I801" s="32"/>
    </row>
    <row r="802" spans="2:9" x14ac:dyDescent="0.25">
      <c r="B802" s="31"/>
      <c r="F802" s="32"/>
      <c r="I802" s="32"/>
    </row>
    <row r="803" spans="2:9" x14ac:dyDescent="0.25">
      <c r="B803" s="31"/>
      <c r="F803" s="32"/>
      <c r="I803" s="32"/>
    </row>
    <row r="804" spans="2:9" x14ac:dyDescent="0.25">
      <c r="B804" s="31"/>
      <c r="F804" s="32"/>
      <c r="I804" s="32"/>
    </row>
    <row r="805" spans="2:9" x14ac:dyDescent="0.25">
      <c r="B805" s="31"/>
      <c r="F805" s="32"/>
      <c r="I805" s="32"/>
    </row>
    <row r="806" spans="2:9" x14ac:dyDescent="0.25">
      <c r="B806" s="31"/>
      <c r="F806" s="32"/>
      <c r="I806" s="32"/>
    </row>
    <row r="807" spans="2:9" x14ac:dyDescent="0.25">
      <c r="B807" s="31"/>
      <c r="F807" s="32"/>
      <c r="I807" s="32"/>
    </row>
    <row r="808" spans="2:9" x14ac:dyDescent="0.25">
      <c r="B808" s="31"/>
      <c r="F808" s="32"/>
      <c r="I808" s="32"/>
    </row>
    <row r="809" spans="2:9" x14ac:dyDescent="0.25">
      <c r="B809" s="31"/>
      <c r="F809" s="32"/>
      <c r="I809" s="32"/>
    </row>
    <row r="810" spans="2:9" x14ac:dyDescent="0.25">
      <c r="B810" s="31"/>
      <c r="F810" s="32"/>
      <c r="I810" s="32"/>
    </row>
    <row r="811" spans="2:9" x14ac:dyDescent="0.25">
      <c r="B811" s="31"/>
      <c r="F811" s="32"/>
      <c r="I811" s="32"/>
    </row>
    <row r="812" spans="2:9" x14ac:dyDescent="0.25">
      <c r="B812" s="31"/>
      <c r="F812" s="32"/>
      <c r="I812" s="32"/>
    </row>
    <row r="813" spans="2:9" x14ac:dyDescent="0.25">
      <c r="B813" s="31"/>
      <c r="F813" s="32"/>
      <c r="I813" s="32"/>
    </row>
    <row r="814" spans="2:9" x14ac:dyDescent="0.25">
      <c r="B814" s="31"/>
      <c r="F814" s="32"/>
      <c r="I814" s="32"/>
    </row>
    <row r="815" spans="2:9" x14ac:dyDescent="0.25">
      <c r="B815" s="31"/>
      <c r="F815" s="32"/>
      <c r="I815" s="32"/>
    </row>
    <row r="816" spans="2:9" x14ac:dyDescent="0.25">
      <c r="B816" s="31"/>
      <c r="F816" s="32"/>
      <c r="I816" s="32"/>
    </row>
    <row r="817" spans="2:9" x14ac:dyDescent="0.25">
      <c r="B817" s="31"/>
      <c r="F817" s="32"/>
      <c r="I817" s="32"/>
    </row>
    <row r="818" spans="2:9" x14ac:dyDescent="0.25">
      <c r="B818" s="31"/>
      <c r="F818" s="32"/>
      <c r="I818" s="32"/>
    </row>
    <row r="819" spans="2:9" x14ac:dyDescent="0.25">
      <c r="B819" s="31"/>
      <c r="F819" s="32"/>
      <c r="I819" s="32"/>
    </row>
    <row r="820" spans="2:9" x14ac:dyDescent="0.25">
      <c r="B820" s="31"/>
      <c r="F820" s="32"/>
      <c r="I820" s="32"/>
    </row>
    <row r="821" spans="2:9" x14ac:dyDescent="0.25">
      <c r="B821" s="31"/>
      <c r="F821" s="32"/>
      <c r="I821" s="32"/>
    </row>
    <row r="822" spans="2:9" x14ac:dyDescent="0.25">
      <c r="B822" s="31"/>
      <c r="F822" s="32"/>
      <c r="I822" s="32"/>
    </row>
    <row r="823" spans="2:9" x14ac:dyDescent="0.25">
      <c r="B823" s="31"/>
      <c r="F823" s="32"/>
      <c r="I823" s="32"/>
    </row>
    <row r="824" spans="2:9" x14ac:dyDescent="0.25">
      <c r="B824" s="31"/>
      <c r="F824" s="32"/>
      <c r="I824" s="32"/>
    </row>
    <row r="825" spans="2:9" x14ac:dyDescent="0.25">
      <c r="B825" s="31"/>
      <c r="F825" s="32"/>
      <c r="I825" s="32"/>
    </row>
    <row r="826" spans="2:9" x14ac:dyDescent="0.25">
      <c r="B826" s="31"/>
      <c r="F826" s="32"/>
      <c r="I826" s="32"/>
    </row>
    <row r="827" spans="2:9" x14ac:dyDescent="0.25">
      <c r="B827" s="31"/>
      <c r="F827" s="32"/>
      <c r="I827" s="32"/>
    </row>
    <row r="828" spans="2:9" x14ac:dyDescent="0.25">
      <c r="B828" s="31"/>
      <c r="F828" s="32"/>
      <c r="I828" s="32"/>
    </row>
    <row r="829" spans="2:9" x14ac:dyDescent="0.25">
      <c r="B829" s="31"/>
      <c r="F829" s="32"/>
      <c r="I829" s="32"/>
    </row>
    <row r="830" spans="2:9" x14ac:dyDescent="0.25">
      <c r="B830" s="31"/>
      <c r="F830" s="32"/>
      <c r="I830" s="32"/>
    </row>
    <row r="831" spans="2:9" x14ac:dyDescent="0.25">
      <c r="B831" s="31"/>
      <c r="F831" s="32"/>
      <c r="I831" s="32"/>
    </row>
    <row r="832" spans="2:9" x14ac:dyDescent="0.25">
      <c r="B832" s="31"/>
      <c r="F832" s="32"/>
      <c r="I832" s="32"/>
    </row>
    <row r="833" spans="2:9" x14ac:dyDescent="0.25">
      <c r="B833" s="31"/>
      <c r="F833" s="32"/>
      <c r="I833" s="32"/>
    </row>
    <row r="834" spans="2:9" x14ac:dyDescent="0.25">
      <c r="B834" s="31"/>
      <c r="F834" s="32"/>
      <c r="I834" s="32"/>
    </row>
    <row r="835" spans="2:9" x14ac:dyDescent="0.25">
      <c r="B835" s="31"/>
      <c r="F835" s="32"/>
      <c r="I835" s="32"/>
    </row>
    <row r="836" spans="2:9" x14ac:dyDescent="0.25">
      <c r="B836" s="31"/>
      <c r="F836" s="32"/>
      <c r="I836" s="32"/>
    </row>
    <row r="837" spans="2:9" x14ac:dyDescent="0.25">
      <c r="B837" s="31"/>
      <c r="F837" s="32"/>
      <c r="I837" s="32"/>
    </row>
    <row r="838" spans="2:9" x14ac:dyDescent="0.25">
      <c r="B838" s="31"/>
      <c r="F838" s="32"/>
      <c r="I838" s="32"/>
    </row>
    <row r="839" spans="2:9" x14ac:dyDescent="0.25">
      <c r="B839" s="31"/>
      <c r="F839" s="32"/>
      <c r="I839" s="32"/>
    </row>
    <row r="840" spans="2:9" x14ac:dyDescent="0.25">
      <c r="B840" s="31"/>
      <c r="F840" s="32"/>
      <c r="I840" s="32"/>
    </row>
    <row r="841" spans="2:9" x14ac:dyDescent="0.25">
      <c r="B841" s="31"/>
      <c r="F841" s="32"/>
      <c r="I841" s="32"/>
    </row>
    <row r="842" spans="2:9" x14ac:dyDescent="0.25">
      <c r="B842" s="31"/>
      <c r="F842" s="32"/>
      <c r="I842" s="32"/>
    </row>
    <row r="843" spans="2:9" x14ac:dyDescent="0.25">
      <c r="B843" s="31"/>
      <c r="F843" s="32"/>
      <c r="I843" s="32"/>
    </row>
    <row r="844" spans="2:9" x14ac:dyDescent="0.25">
      <c r="B844" s="31"/>
      <c r="F844" s="32"/>
      <c r="I844" s="32"/>
    </row>
    <row r="845" spans="2:9" x14ac:dyDescent="0.25">
      <c r="B845" s="31"/>
      <c r="F845" s="32"/>
      <c r="I845" s="32"/>
    </row>
    <row r="846" spans="2:9" x14ac:dyDescent="0.25">
      <c r="B846" s="31"/>
      <c r="F846" s="32"/>
      <c r="I846" s="32"/>
    </row>
    <row r="847" spans="2:9" x14ac:dyDescent="0.25">
      <c r="B847" s="31"/>
      <c r="F847" s="32"/>
      <c r="I847" s="32"/>
    </row>
    <row r="848" spans="2:9" x14ac:dyDescent="0.25">
      <c r="B848" s="31"/>
      <c r="F848" s="32"/>
      <c r="I848" s="32"/>
    </row>
    <row r="849" spans="2:9" x14ac:dyDescent="0.25">
      <c r="B849" s="31"/>
      <c r="F849" s="32"/>
      <c r="I849" s="32"/>
    </row>
    <row r="850" spans="2:9" x14ac:dyDescent="0.25">
      <c r="B850" s="31"/>
      <c r="F850" s="32"/>
      <c r="I850" s="32"/>
    </row>
    <row r="851" spans="2:9" x14ac:dyDescent="0.25">
      <c r="B851" s="31"/>
      <c r="F851" s="32"/>
      <c r="I851" s="32"/>
    </row>
    <row r="852" spans="2:9" x14ac:dyDescent="0.25">
      <c r="B852" s="31"/>
      <c r="F852" s="32"/>
      <c r="I852" s="32"/>
    </row>
    <row r="853" spans="2:9" x14ac:dyDescent="0.25">
      <c r="B853" s="31"/>
      <c r="F853" s="32"/>
      <c r="I853" s="32"/>
    </row>
    <row r="854" spans="2:9" x14ac:dyDescent="0.25">
      <c r="B854" s="31"/>
      <c r="F854" s="32"/>
      <c r="I854" s="32"/>
    </row>
    <row r="855" spans="2:9" x14ac:dyDescent="0.25">
      <c r="B855" s="31"/>
      <c r="F855" s="32"/>
      <c r="I855" s="32"/>
    </row>
    <row r="856" spans="2:9" x14ac:dyDescent="0.25">
      <c r="B856" s="31"/>
      <c r="F856" s="32"/>
      <c r="I856" s="32"/>
    </row>
    <row r="857" spans="2:9" x14ac:dyDescent="0.25">
      <c r="B857" s="31"/>
      <c r="F857" s="32"/>
      <c r="I857" s="32"/>
    </row>
    <row r="858" spans="2:9" x14ac:dyDescent="0.25">
      <c r="B858" s="31"/>
      <c r="F858" s="32"/>
      <c r="I858" s="32"/>
    </row>
    <row r="859" spans="2:9" x14ac:dyDescent="0.25">
      <c r="B859" s="31"/>
      <c r="F859" s="32"/>
      <c r="I859" s="32"/>
    </row>
    <row r="860" spans="2:9" x14ac:dyDescent="0.25">
      <c r="B860" s="31"/>
      <c r="F860" s="32"/>
      <c r="I860" s="32"/>
    </row>
    <row r="861" spans="2:9" x14ac:dyDescent="0.25">
      <c r="B861" s="31"/>
      <c r="F861" s="32"/>
      <c r="I861" s="32"/>
    </row>
    <row r="862" spans="2:9" x14ac:dyDescent="0.25">
      <c r="B862" s="31"/>
      <c r="F862" s="32"/>
      <c r="I862" s="32"/>
    </row>
    <row r="863" spans="2:9" x14ac:dyDescent="0.25">
      <c r="B863" s="31"/>
      <c r="F863" s="32"/>
      <c r="I863" s="32"/>
    </row>
    <row r="864" spans="2:9" x14ac:dyDescent="0.25">
      <c r="B864" s="31"/>
      <c r="F864" s="32"/>
      <c r="I864" s="32"/>
    </row>
    <row r="865" spans="2:9" x14ac:dyDescent="0.25">
      <c r="B865" s="31"/>
      <c r="F865" s="32"/>
      <c r="I865" s="32"/>
    </row>
    <row r="866" spans="2:9" x14ac:dyDescent="0.25">
      <c r="B866" s="31"/>
      <c r="F866" s="32"/>
      <c r="I866" s="32"/>
    </row>
    <row r="867" spans="2:9" x14ac:dyDescent="0.25">
      <c r="B867" s="31"/>
      <c r="F867" s="32"/>
      <c r="I867" s="32"/>
    </row>
    <row r="868" spans="2:9" x14ac:dyDescent="0.25">
      <c r="B868" s="31"/>
      <c r="F868" s="32"/>
      <c r="I868" s="32"/>
    </row>
    <row r="869" spans="2:9" x14ac:dyDescent="0.25">
      <c r="B869" s="31"/>
      <c r="F869" s="32"/>
      <c r="I869" s="32"/>
    </row>
    <row r="870" spans="2:9" x14ac:dyDescent="0.25">
      <c r="B870" s="31"/>
      <c r="F870" s="32"/>
      <c r="I870" s="32"/>
    </row>
    <row r="871" spans="2:9" x14ac:dyDescent="0.25">
      <c r="B871" s="31"/>
      <c r="F871" s="32"/>
      <c r="I871" s="32"/>
    </row>
    <row r="872" spans="2:9" x14ac:dyDescent="0.25">
      <c r="B872" s="31"/>
      <c r="F872" s="32"/>
      <c r="I872" s="32"/>
    </row>
    <row r="873" spans="2:9" x14ac:dyDescent="0.25">
      <c r="B873" s="31"/>
      <c r="F873" s="32"/>
      <c r="I873" s="32"/>
    </row>
    <row r="874" spans="2:9" x14ac:dyDescent="0.25">
      <c r="B874" s="31"/>
      <c r="F874" s="32"/>
      <c r="I874" s="32"/>
    </row>
    <row r="875" spans="2:9" x14ac:dyDescent="0.25">
      <c r="B875" s="31"/>
      <c r="F875" s="32"/>
      <c r="I875" s="32"/>
    </row>
    <row r="876" spans="2:9" x14ac:dyDescent="0.25">
      <c r="B876" s="31"/>
      <c r="F876" s="32"/>
      <c r="I876" s="32"/>
    </row>
    <row r="877" spans="2:9" x14ac:dyDescent="0.25">
      <c r="B877" s="31"/>
      <c r="F877" s="32"/>
      <c r="I877" s="32"/>
    </row>
    <row r="878" spans="2:9" x14ac:dyDescent="0.25">
      <c r="B878" s="31"/>
      <c r="F878" s="32"/>
      <c r="I878" s="32"/>
    </row>
    <row r="879" spans="2:9" x14ac:dyDescent="0.25">
      <c r="B879" s="31"/>
      <c r="F879" s="32"/>
      <c r="I879" s="32"/>
    </row>
    <row r="880" spans="2:9" x14ac:dyDescent="0.25">
      <c r="B880" s="31"/>
      <c r="F880" s="32"/>
      <c r="I880" s="32"/>
    </row>
    <row r="881" spans="2:9" x14ac:dyDescent="0.25">
      <c r="B881" s="31"/>
      <c r="F881" s="32"/>
      <c r="I881" s="32"/>
    </row>
    <row r="882" spans="2:9" x14ac:dyDescent="0.25">
      <c r="B882" s="31"/>
      <c r="F882" s="32"/>
      <c r="I882" s="32"/>
    </row>
    <row r="883" spans="2:9" x14ac:dyDescent="0.25">
      <c r="B883" s="31"/>
      <c r="F883" s="32"/>
      <c r="I883" s="32"/>
    </row>
    <row r="884" spans="2:9" x14ac:dyDescent="0.25">
      <c r="B884" s="31"/>
      <c r="F884" s="32"/>
      <c r="I884" s="32"/>
    </row>
    <row r="885" spans="2:9" x14ac:dyDescent="0.25">
      <c r="B885" s="31"/>
      <c r="F885" s="32"/>
      <c r="I885" s="32"/>
    </row>
    <row r="886" spans="2:9" x14ac:dyDescent="0.25">
      <c r="B886" s="31"/>
      <c r="F886" s="32"/>
      <c r="I886" s="32"/>
    </row>
    <row r="887" spans="2:9" x14ac:dyDescent="0.25">
      <c r="B887" s="31"/>
      <c r="F887" s="32"/>
      <c r="I887" s="32"/>
    </row>
    <row r="888" spans="2:9" x14ac:dyDescent="0.25">
      <c r="B888" s="31"/>
      <c r="F888" s="32"/>
      <c r="I888" s="32"/>
    </row>
    <row r="889" spans="2:9" x14ac:dyDescent="0.25">
      <c r="B889" s="31"/>
      <c r="F889" s="32"/>
      <c r="I889" s="32"/>
    </row>
    <row r="890" spans="2:9" x14ac:dyDescent="0.25">
      <c r="B890" s="31"/>
      <c r="F890" s="32"/>
      <c r="I890" s="32"/>
    </row>
    <row r="891" spans="2:9" x14ac:dyDescent="0.25">
      <c r="B891" s="31"/>
      <c r="F891" s="32"/>
      <c r="I891" s="32"/>
    </row>
    <row r="892" spans="2:9" x14ac:dyDescent="0.25">
      <c r="B892" s="31"/>
      <c r="F892" s="32"/>
      <c r="I892" s="32"/>
    </row>
    <row r="893" spans="2:9" x14ac:dyDescent="0.25">
      <c r="B893" s="31"/>
      <c r="F893" s="32"/>
      <c r="I893" s="32"/>
    </row>
    <row r="894" spans="2:9" x14ac:dyDescent="0.25">
      <c r="B894" s="31"/>
      <c r="F894" s="32"/>
      <c r="I894" s="32"/>
    </row>
    <row r="895" spans="2:9" x14ac:dyDescent="0.25">
      <c r="B895" s="31"/>
      <c r="F895" s="32"/>
      <c r="I895" s="32"/>
    </row>
    <row r="896" spans="2:9" x14ac:dyDescent="0.25">
      <c r="B896" s="31"/>
      <c r="F896" s="32"/>
      <c r="I896" s="32"/>
    </row>
    <row r="897" spans="2:9" x14ac:dyDescent="0.25">
      <c r="B897" s="31"/>
      <c r="F897" s="32"/>
      <c r="I897" s="32"/>
    </row>
    <row r="898" spans="2:9" x14ac:dyDescent="0.25">
      <c r="B898" s="31"/>
      <c r="F898" s="32"/>
      <c r="I898" s="32"/>
    </row>
    <row r="899" spans="2:9" x14ac:dyDescent="0.25">
      <c r="B899" s="31"/>
      <c r="F899" s="32"/>
      <c r="I899" s="32"/>
    </row>
    <row r="900" spans="2:9" x14ac:dyDescent="0.25">
      <c r="B900" s="31"/>
      <c r="F900" s="32"/>
      <c r="I900" s="32"/>
    </row>
    <row r="901" spans="2:9" x14ac:dyDescent="0.25">
      <c r="B901" s="31"/>
      <c r="F901" s="32"/>
      <c r="I901" s="32"/>
    </row>
    <row r="902" spans="2:9" x14ac:dyDescent="0.25">
      <c r="B902" s="31"/>
      <c r="F902" s="32"/>
      <c r="I902" s="32"/>
    </row>
    <row r="903" spans="2:9" x14ac:dyDescent="0.25">
      <c r="B903" s="31"/>
      <c r="F903" s="32"/>
      <c r="I903" s="32"/>
    </row>
    <row r="904" spans="2:9" x14ac:dyDescent="0.25">
      <c r="B904" s="31"/>
      <c r="F904" s="32"/>
      <c r="I904" s="32"/>
    </row>
    <row r="905" spans="2:9" x14ac:dyDescent="0.25">
      <c r="B905" s="31"/>
      <c r="F905" s="32"/>
      <c r="I905" s="32"/>
    </row>
    <row r="906" spans="2:9" x14ac:dyDescent="0.25">
      <c r="B906" s="31"/>
      <c r="F906" s="32"/>
      <c r="I906" s="32"/>
    </row>
    <row r="907" spans="2:9" x14ac:dyDescent="0.25">
      <c r="B907" s="31"/>
      <c r="F907" s="32"/>
      <c r="I907" s="32"/>
    </row>
    <row r="908" spans="2:9" x14ac:dyDescent="0.25">
      <c r="B908" s="31"/>
      <c r="F908" s="32"/>
      <c r="I908" s="32"/>
    </row>
    <row r="909" spans="2:9" x14ac:dyDescent="0.25">
      <c r="B909" s="31"/>
      <c r="F909" s="32"/>
      <c r="I909" s="32"/>
    </row>
    <row r="910" spans="2:9" x14ac:dyDescent="0.25">
      <c r="B910" s="31"/>
      <c r="F910" s="32"/>
      <c r="I910" s="32"/>
    </row>
    <row r="911" spans="2:9" x14ac:dyDescent="0.25">
      <c r="B911" s="31"/>
      <c r="F911" s="32"/>
      <c r="I911" s="32"/>
    </row>
    <row r="912" spans="2:9" x14ac:dyDescent="0.25">
      <c r="B912" s="31"/>
      <c r="F912" s="32"/>
      <c r="I912" s="32"/>
    </row>
    <row r="913" spans="2:9" x14ac:dyDescent="0.25">
      <c r="B913" s="31"/>
      <c r="F913" s="32"/>
      <c r="I913" s="32"/>
    </row>
    <row r="914" spans="2:9" x14ac:dyDescent="0.25">
      <c r="B914" s="31"/>
      <c r="F914" s="32"/>
      <c r="I914" s="32"/>
    </row>
    <row r="915" spans="2:9" x14ac:dyDescent="0.25">
      <c r="B915" s="31"/>
      <c r="F915" s="32"/>
      <c r="I915" s="32"/>
    </row>
    <row r="916" spans="2:9" x14ac:dyDescent="0.25">
      <c r="B916" s="31"/>
      <c r="F916" s="32"/>
      <c r="I916" s="32"/>
    </row>
    <row r="917" spans="2:9" x14ac:dyDescent="0.25">
      <c r="B917" s="31"/>
      <c r="F917" s="32"/>
      <c r="I917" s="32"/>
    </row>
    <row r="918" spans="2:9" x14ac:dyDescent="0.25">
      <c r="B918" s="31"/>
      <c r="F918" s="32"/>
      <c r="I918" s="32"/>
    </row>
    <row r="919" spans="2:9" x14ac:dyDescent="0.25">
      <c r="B919" s="31"/>
      <c r="F919" s="32"/>
      <c r="I919" s="32"/>
    </row>
    <row r="920" spans="2:9" x14ac:dyDescent="0.25">
      <c r="B920" s="31"/>
      <c r="F920" s="32"/>
      <c r="I920" s="32"/>
    </row>
    <row r="921" spans="2:9" x14ac:dyDescent="0.25">
      <c r="B921" s="31"/>
      <c r="F921" s="32"/>
      <c r="I921" s="32"/>
    </row>
    <row r="922" spans="2:9" x14ac:dyDescent="0.25">
      <c r="B922" s="31"/>
      <c r="F922" s="32"/>
      <c r="I922" s="32"/>
    </row>
    <row r="923" spans="2:9" x14ac:dyDescent="0.25">
      <c r="B923" s="31"/>
      <c r="F923" s="32"/>
      <c r="I923" s="32"/>
    </row>
    <row r="924" spans="2:9" x14ac:dyDescent="0.25">
      <c r="B924" s="31"/>
      <c r="F924" s="32"/>
      <c r="I924" s="32"/>
    </row>
    <row r="925" spans="2:9" x14ac:dyDescent="0.25">
      <c r="B925" s="31"/>
      <c r="F925" s="32"/>
      <c r="I925" s="32"/>
    </row>
    <row r="926" spans="2:9" x14ac:dyDescent="0.25">
      <c r="B926" s="31"/>
      <c r="F926" s="32"/>
      <c r="I926" s="32"/>
    </row>
    <row r="927" spans="2:9" x14ac:dyDescent="0.25">
      <c r="B927" s="31"/>
      <c r="F927" s="32"/>
      <c r="I927" s="32"/>
    </row>
    <row r="928" spans="2:9" x14ac:dyDescent="0.25">
      <c r="B928" s="31"/>
      <c r="F928" s="32"/>
      <c r="I928" s="32"/>
    </row>
    <row r="929" spans="2:9" x14ac:dyDescent="0.25">
      <c r="B929" s="31"/>
      <c r="F929" s="32"/>
      <c r="I929" s="32"/>
    </row>
    <row r="930" spans="2:9" x14ac:dyDescent="0.25">
      <c r="B930" s="31"/>
      <c r="F930" s="32"/>
      <c r="I930" s="32"/>
    </row>
    <row r="931" spans="2:9" x14ac:dyDescent="0.25">
      <c r="B931" s="31"/>
      <c r="F931" s="32"/>
      <c r="I931" s="32"/>
    </row>
    <row r="932" spans="2:9" x14ac:dyDescent="0.25">
      <c r="B932" s="31"/>
      <c r="F932" s="32"/>
      <c r="I932" s="32"/>
    </row>
    <row r="933" spans="2:9" x14ac:dyDescent="0.25">
      <c r="B933" s="31"/>
      <c r="F933" s="32"/>
      <c r="I933" s="32"/>
    </row>
    <row r="934" spans="2:9" x14ac:dyDescent="0.25">
      <c r="B934" s="31"/>
      <c r="F934" s="32"/>
      <c r="I934" s="32"/>
    </row>
    <row r="935" spans="2:9" x14ac:dyDescent="0.25">
      <c r="B935" s="31"/>
      <c r="F935" s="32"/>
      <c r="I935" s="32"/>
    </row>
    <row r="936" spans="2:9" x14ac:dyDescent="0.25">
      <c r="B936" s="31"/>
      <c r="F936" s="32"/>
      <c r="I936" s="32"/>
    </row>
    <row r="937" spans="2:9" x14ac:dyDescent="0.25">
      <c r="B937" s="31"/>
      <c r="F937" s="32"/>
      <c r="I937" s="32"/>
    </row>
    <row r="938" spans="2:9" x14ac:dyDescent="0.25">
      <c r="B938" s="31"/>
      <c r="F938" s="32"/>
      <c r="I938" s="32"/>
    </row>
    <row r="939" spans="2:9" x14ac:dyDescent="0.25">
      <c r="B939" s="31"/>
      <c r="F939" s="32"/>
      <c r="I939" s="32"/>
    </row>
    <row r="940" spans="2:9" x14ac:dyDescent="0.25">
      <c r="B940" s="31"/>
      <c r="F940" s="32"/>
      <c r="I940" s="32"/>
    </row>
    <row r="941" spans="2:9" x14ac:dyDescent="0.25">
      <c r="B941" s="31"/>
      <c r="F941" s="32"/>
      <c r="I941" s="32"/>
    </row>
    <row r="942" spans="2:9" x14ac:dyDescent="0.25">
      <c r="B942" s="31"/>
      <c r="F942" s="32"/>
      <c r="I942" s="32"/>
    </row>
    <row r="943" spans="2:9" x14ac:dyDescent="0.25">
      <c r="B943" s="31"/>
      <c r="F943" s="32"/>
      <c r="I943" s="32"/>
    </row>
    <row r="944" spans="2:9" x14ac:dyDescent="0.25">
      <c r="B944" s="31"/>
      <c r="F944" s="32"/>
      <c r="I944" s="32"/>
    </row>
    <row r="945" spans="2:9" x14ac:dyDescent="0.25">
      <c r="B945" s="31"/>
      <c r="F945" s="32"/>
      <c r="I945" s="32"/>
    </row>
    <row r="946" spans="2:9" x14ac:dyDescent="0.25">
      <c r="B946" s="31"/>
      <c r="F946" s="32"/>
      <c r="I946" s="32"/>
    </row>
    <row r="947" spans="2:9" x14ac:dyDescent="0.25">
      <c r="B947" s="31"/>
      <c r="F947" s="32"/>
      <c r="I947" s="32"/>
    </row>
    <row r="948" spans="2:9" x14ac:dyDescent="0.25">
      <c r="B948" s="31"/>
      <c r="F948" s="32"/>
      <c r="I948" s="32"/>
    </row>
    <row r="949" spans="2:9" x14ac:dyDescent="0.25">
      <c r="B949" s="31"/>
      <c r="F949" s="32"/>
      <c r="I949" s="32"/>
    </row>
    <row r="950" spans="2:9" x14ac:dyDescent="0.25">
      <c r="B950" s="31"/>
      <c r="F950" s="32"/>
      <c r="I950" s="32"/>
    </row>
    <row r="951" spans="2:9" x14ac:dyDescent="0.25">
      <c r="B951" s="31"/>
      <c r="F951" s="32"/>
      <c r="I951" s="32"/>
    </row>
    <row r="952" spans="2:9" x14ac:dyDescent="0.25">
      <c r="B952" s="31"/>
      <c r="F952" s="32"/>
      <c r="I952" s="32"/>
    </row>
    <row r="953" spans="2:9" x14ac:dyDescent="0.25">
      <c r="B953" s="31"/>
      <c r="F953" s="32"/>
      <c r="I953" s="32"/>
    </row>
    <row r="954" spans="2:9" x14ac:dyDescent="0.25">
      <c r="B954" s="31"/>
      <c r="F954" s="32"/>
      <c r="I954" s="32"/>
    </row>
    <row r="955" spans="2:9" x14ac:dyDescent="0.25">
      <c r="B955" s="31"/>
      <c r="F955" s="32"/>
      <c r="I955" s="32"/>
    </row>
    <row r="956" spans="2:9" x14ac:dyDescent="0.25">
      <c r="B956" s="31"/>
      <c r="F956" s="32"/>
      <c r="I956" s="32"/>
    </row>
    <row r="957" spans="2:9" x14ac:dyDescent="0.25">
      <c r="B957" s="31"/>
      <c r="F957" s="32"/>
      <c r="I957" s="32"/>
    </row>
    <row r="958" spans="2:9" x14ac:dyDescent="0.25">
      <c r="B958" s="31"/>
      <c r="F958" s="32"/>
      <c r="I958" s="32"/>
    </row>
    <row r="959" spans="2:9" x14ac:dyDescent="0.25">
      <c r="B959" s="31"/>
      <c r="F959" s="32"/>
      <c r="I959" s="32"/>
    </row>
    <row r="960" spans="2:9" x14ac:dyDescent="0.25">
      <c r="B960" s="31"/>
      <c r="F960" s="32"/>
      <c r="I960" s="32"/>
    </row>
    <row r="961" spans="2:9" x14ac:dyDescent="0.25">
      <c r="B961" s="31"/>
      <c r="F961" s="32"/>
      <c r="I961" s="32"/>
    </row>
    <row r="962" spans="2:9" x14ac:dyDescent="0.25">
      <c r="B962" s="31"/>
      <c r="F962" s="32"/>
      <c r="I962" s="32"/>
    </row>
    <row r="963" spans="2:9" x14ac:dyDescent="0.25">
      <c r="B963" s="31"/>
      <c r="F963" s="32"/>
      <c r="I963" s="32"/>
    </row>
    <row r="964" spans="2:9" x14ac:dyDescent="0.25">
      <c r="B964" s="31"/>
      <c r="F964" s="32"/>
      <c r="I964" s="32"/>
    </row>
    <row r="965" spans="2:9" x14ac:dyDescent="0.25">
      <c r="B965" s="31"/>
      <c r="F965" s="32"/>
      <c r="I965" s="32"/>
    </row>
    <row r="966" spans="2:9" x14ac:dyDescent="0.25">
      <c r="B966" s="31"/>
      <c r="F966" s="32"/>
      <c r="I966" s="32"/>
    </row>
    <row r="967" spans="2:9" x14ac:dyDescent="0.25">
      <c r="B967" s="31"/>
      <c r="F967" s="32"/>
      <c r="I967" s="32"/>
    </row>
    <row r="968" spans="2:9" x14ac:dyDescent="0.25">
      <c r="B968" s="31"/>
      <c r="F968" s="32"/>
      <c r="I968" s="32"/>
    </row>
    <row r="969" spans="2:9" x14ac:dyDescent="0.25">
      <c r="B969" s="31"/>
      <c r="F969" s="32"/>
      <c r="I969" s="32"/>
    </row>
    <row r="970" spans="2:9" x14ac:dyDescent="0.25">
      <c r="B970" s="31"/>
      <c r="F970" s="32"/>
      <c r="I970" s="32"/>
    </row>
    <row r="971" spans="2:9" x14ac:dyDescent="0.25">
      <c r="B971" s="31"/>
      <c r="F971" s="32"/>
      <c r="I971" s="32"/>
    </row>
    <row r="972" spans="2:9" x14ac:dyDescent="0.25">
      <c r="B972" s="31"/>
      <c r="F972" s="32"/>
      <c r="I972" s="32"/>
    </row>
    <row r="973" spans="2:9" x14ac:dyDescent="0.25">
      <c r="B973" s="31"/>
      <c r="F973" s="32"/>
      <c r="I973" s="32"/>
    </row>
    <row r="974" spans="2:9" x14ac:dyDescent="0.25">
      <c r="B974" s="31"/>
      <c r="F974" s="32"/>
      <c r="I974" s="32"/>
    </row>
    <row r="975" spans="2:9" x14ac:dyDescent="0.25">
      <c r="B975" s="31"/>
      <c r="F975" s="32"/>
      <c r="I975" s="32"/>
    </row>
    <row r="976" spans="2:9" x14ac:dyDescent="0.25">
      <c r="B976" s="31"/>
      <c r="F976" s="32"/>
      <c r="I976" s="32"/>
    </row>
    <row r="977" spans="2:9" x14ac:dyDescent="0.25">
      <c r="B977" s="31"/>
      <c r="F977" s="32"/>
      <c r="I977" s="32"/>
    </row>
    <row r="978" spans="2:9" x14ac:dyDescent="0.25">
      <c r="B978" s="31"/>
      <c r="F978" s="32"/>
      <c r="I978" s="32"/>
    </row>
    <row r="979" spans="2:9" x14ac:dyDescent="0.25">
      <c r="B979" s="31"/>
      <c r="F979" s="32"/>
      <c r="I979" s="32"/>
    </row>
    <row r="980" spans="2:9" x14ac:dyDescent="0.25">
      <c r="B980" s="31"/>
      <c r="F980" s="32"/>
      <c r="I980" s="32"/>
    </row>
    <row r="981" spans="2:9" x14ac:dyDescent="0.25">
      <c r="B981" s="31"/>
      <c r="F981" s="32"/>
      <c r="I981" s="32"/>
    </row>
    <row r="982" spans="2:9" x14ac:dyDescent="0.25">
      <c r="B982" s="31"/>
      <c r="F982" s="32"/>
      <c r="I982" s="32"/>
    </row>
    <row r="983" spans="2:9" x14ac:dyDescent="0.25">
      <c r="B983" s="31"/>
      <c r="F983" s="32"/>
      <c r="I983" s="32"/>
    </row>
    <row r="984" spans="2:9" x14ac:dyDescent="0.25">
      <c r="B984" s="31"/>
      <c r="F984" s="32"/>
      <c r="I984" s="32"/>
    </row>
    <row r="985" spans="2:9" x14ac:dyDescent="0.25">
      <c r="B985" s="31"/>
      <c r="F985" s="32"/>
      <c r="I985" s="32"/>
    </row>
    <row r="986" spans="2:9" x14ac:dyDescent="0.25">
      <c r="B986" s="31"/>
      <c r="F986" s="32"/>
      <c r="I986" s="32"/>
    </row>
    <row r="987" spans="2:9" x14ac:dyDescent="0.25">
      <c r="B987" s="31"/>
      <c r="F987" s="32"/>
      <c r="I987" s="32"/>
    </row>
    <row r="988" spans="2:9" x14ac:dyDescent="0.25">
      <c r="B988" s="31"/>
      <c r="F988" s="32"/>
      <c r="I988" s="32"/>
    </row>
    <row r="989" spans="2:9" x14ac:dyDescent="0.25">
      <c r="B989" s="31"/>
      <c r="F989" s="32"/>
      <c r="I989" s="32"/>
    </row>
    <row r="990" spans="2:9" x14ac:dyDescent="0.25">
      <c r="B990" s="31"/>
      <c r="F990" s="32"/>
      <c r="I990" s="32"/>
    </row>
    <row r="991" spans="2:9" x14ac:dyDescent="0.25">
      <c r="B991" s="31"/>
      <c r="F991" s="32"/>
      <c r="I991" s="32"/>
    </row>
    <row r="992" spans="2:9" x14ac:dyDescent="0.25">
      <c r="B992" s="31"/>
      <c r="F992" s="32"/>
      <c r="I992" s="32"/>
    </row>
    <row r="993" spans="2:9" x14ac:dyDescent="0.25">
      <c r="B993" s="31"/>
      <c r="F993" s="32"/>
      <c r="I993" s="32"/>
    </row>
    <row r="994" spans="2:9" x14ac:dyDescent="0.25">
      <c r="B994" s="31"/>
      <c r="F994" s="32"/>
      <c r="I994" s="32"/>
    </row>
    <row r="995" spans="2:9" x14ac:dyDescent="0.25">
      <c r="B995" s="31"/>
      <c r="F995" s="32"/>
      <c r="I995" s="32"/>
    </row>
    <row r="996" spans="2:9" x14ac:dyDescent="0.25">
      <c r="B996" s="31"/>
      <c r="F996" s="32"/>
      <c r="I996" s="32"/>
    </row>
    <row r="997" spans="2:9" x14ac:dyDescent="0.25">
      <c r="B997" s="31"/>
      <c r="F997" s="32"/>
      <c r="I997" s="32"/>
    </row>
    <row r="998" spans="2:9" x14ac:dyDescent="0.25">
      <c r="B998" s="31"/>
      <c r="F998" s="32"/>
      <c r="I998" s="32"/>
    </row>
    <row r="999" spans="2:9" x14ac:dyDescent="0.25">
      <c r="B999" s="31"/>
      <c r="F999" s="32"/>
      <c r="I999" s="32"/>
    </row>
    <row r="1000" spans="2:9" x14ac:dyDescent="0.25">
      <c r="B1000" s="31"/>
      <c r="F1000" s="32"/>
      <c r="I1000" s="32"/>
    </row>
    <row r="1001" spans="2:9" x14ac:dyDescent="0.25">
      <c r="B1001" s="31"/>
      <c r="F1001" s="32"/>
      <c r="I1001" s="32"/>
    </row>
    <row r="1002" spans="2:9" x14ac:dyDescent="0.25">
      <c r="B1002" s="31"/>
      <c r="F1002" s="32"/>
      <c r="I1002" s="32"/>
    </row>
    <row r="1003" spans="2:9" x14ac:dyDescent="0.25">
      <c r="B1003" s="31"/>
      <c r="F1003" s="32"/>
      <c r="I1003" s="32"/>
    </row>
    <row r="1004" spans="2:9" x14ac:dyDescent="0.25">
      <c r="B1004" s="31"/>
      <c r="F1004" s="32"/>
      <c r="I1004" s="32"/>
    </row>
    <row r="1005" spans="2:9" x14ac:dyDescent="0.25">
      <c r="B1005" s="31"/>
      <c r="F1005" s="32"/>
      <c r="I1005" s="32"/>
    </row>
    <row r="1006" spans="2:9" x14ac:dyDescent="0.25">
      <c r="B1006" s="31"/>
      <c r="F1006" s="32"/>
      <c r="I1006" s="32"/>
    </row>
    <row r="1007" spans="2:9" x14ac:dyDescent="0.25">
      <c r="B1007" s="31"/>
      <c r="F1007" s="32"/>
      <c r="I1007" s="32"/>
    </row>
    <row r="1008" spans="2:9" x14ac:dyDescent="0.25">
      <c r="B1008" s="31"/>
      <c r="F1008" s="32"/>
      <c r="I1008" s="32"/>
    </row>
    <row r="1009" spans="2:9" x14ac:dyDescent="0.25">
      <c r="B1009" s="31"/>
      <c r="F1009" s="32"/>
      <c r="I1009" s="32"/>
    </row>
    <row r="1010" spans="2:9" x14ac:dyDescent="0.25">
      <c r="B1010" s="31"/>
      <c r="F1010" s="32"/>
      <c r="I1010" s="32"/>
    </row>
    <row r="1011" spans="2:9" x14ac:dyDescent="0.25">
      <c r="B1011" s="31"/>
      <c r="F1011" s="32"/>
      <c r="I1011" s="32"/>
    </row>
    <row r="1012" spans="2:9" x14ac:dyDescent="0.25">
      <c r="B1012" s="31"/>
      <c r="F1012" s="32"/>
      <c r="I1012" s="32"/>
    </row>
    <row r="1013" spans="2:9" x14ac:dyDescent="0.25">
      <c r="B1013" s="31"/>
      <c r="F1013" s="32"/>
      <c r="I1013" s="32"/>
    </row>
    <row r="1014" spans="2:9" x14ac:dyDescent="0.25">
      <c r="B1014" s="31"/>
      <c r="F1014" s="32"/>
      <c r="I1014" s="32"/>
    </row>
    <row r="1015" spans="2:9" x14ac:dyDescent="0.25">
      <c r="B1015" s="31"/>
      <c r="F1015" s="32"/>
      <c r="I1015" s="32"/>
    </row>
    <row r="1016" spans="2:9" x14ac:dyDescent="0.25">
      <c r="B1016" s="31"/>
      <c r="F1016" s="32"/>
      <c r="I1016" s="32"/>
    </row>
    <row r="1017" spans="2:9" x14ac:dyDescent="0.25">
      <c r="B1017" s="31"/>
      <c r="F1017" s="32"/>
      <c r="I1017" s="32"/>
    </row>
    <row r="1018" spans="2:9" x14ac:dyDescent="0.25">
      <c r="B1018" s="31"/>
      <c r="F1018" s="32"/>
      <c r="I1018" s="32"/>
    </row>
    <row r="1019" spans="2:9" x14ac:dyDescent="0.25">
      <c r="B1019" s="31"/>
      <c r="F1019" s="32"/>
      <c r="I1019" s="32"/>
    </row>
    <row r="1020" spans="2:9" x14ac:dyDescent="0.25">
      <c r="B1020" s="31"/>
      <c r="F1020" s="32"/>
      <c r="I1020" s="32"/>
    </row>
    <row r="1021" spans="2:9" x14ac:dyDescent="0.25">
      <c r="B1021" s="31"/>
      <c r="F1021" s="32"/>
      <c r="I1021" s="32"/>
    </row>
    <row r="1022" spans="2:9" x14ac:dyDescent="0.25">
      <c r="B1022" s="31"/>
      <c r="F1022" s="32"/>
      <c r="I1022" s="32"/>
    </row>
    <row r="1023" spans="2:9" x14ac:dyDescent="0.25">
      <c r="B1023" s="31"/>
      <c r="F1023" s="32"/>
      <c r="I1023" s="32"/>
    </row>
    <row r="1024" spans="2:9" x14ac:dyDescent="0.25">
      <c r="B1024" s="31"/>
      <c r="F1024" s="32"/>
      <c r="I1024" s="32"/>
    </row>
    <row r="1025" spans="2:9" x14ac:dyDescent="0.25">
      <c r="B1025" s="31"/>
      <c r="F1025" s="32"/>
      <c r="I1025" s="32"/>
    </row>
    <row r="1026" spans="2:9" x14ac:dyDescent="0.25">
      <c r="B1026" s="31"/>
      <c r="F1026" s="32"/>
      <c r="I1026" s="32"/>
    </row>
    <row r="1027" spans="2:9" x14ac:dyDescent="0.25">
      <c r="B1027" s="31"/>
      <c r="F1027" s="32"/>
      <c r="I1027" s="32"/>
    </row>
    <row r="1028" spans="2:9" x14ac:dyDescent="0.25">
      <c r="B1028" s="31"/>
      <c r="F1028" s="32"/>
      <c r="I1028" s="32"/>
    </row>
    <row r="1029" spans="2:9" x14ac:dyDescent="0.25">
      <c r="B1029" s="31"/>
      <c r="F1029" s="32"/>
      <c r="I1029" s="32"/>
    </row>
    <row r="1030" spans="2:9" x14ac:dyDescent="0.25">
      <c r="B1030" s="31"/>
      <c r="F1030" s="32"/>
      <c r="I1030" s="32"/>
    </row>
    <row r="1031" spans="2:9" x14ac:dyDescent="0.25">
      <c r="B1031" s="31"/>
      <c r="F1031" s="32"/>
      <c r="I1031" s="32"/>
    </row>
    <row r="1032" spans="2:9" x14ac:dyDescent="0.25">
      <c r="B1032" s="31"/>
      <c r="F1032" s="32"/>
      <c r="I1032" s="32"/>
    </row>
    <row r="1033" spans="2:9" x14ac:dyDescent="0.25">
      <c r="B1033" s="31"/>
      <c r="F1033" s="32"/>
      <c r="I1033" s="32"/>
    </row>
    <row r="1034" spans="2:9" x14ac:dyDescent="0.25">
      <c r="B1034" s="31"/>
      <c r="F1034" s="32"/>
      <c r="I1034" s="32"/>
    </row>
    <row r="1035" spans="2:9" x14ac:dyDescent="0.25">
      <c r="B1035" s="31"/>
      <c r="F1035" s="32"/>
      <c r="I1035" s="32"/>
    </row>
    <row r="1036" spans="2:9" x14ac:dyDescent="0.25">
      <c r="B1036" s="31"/>
      <c r="F1036" s="32"/>
      <c r="I1036" s="32"/>
    </row>
    <row r="1037" spans="2:9" x14ac:dyDescent="0.25">
      <c r="B1037" s="31"/>
      <c r="F1037" s="32"/>
      <c r="I1037" s="32"/>
    </row>
    <row r="1038" spans="2:9" x14ac:dyDescent="0.25">
      <c r="B1038" s="31"/>
      <c r="F1038" s="32"/>
      <c r="I1038" s="32"/>
    </row>
    <row r="1039" spans="2:9" x14ac:dyDescent="0.25">
      <c r="B1039" s="31"/>
      <c r="F1039" s="32"/>
      <c r="I1039" s="32"/>
    </row>
    <row r="1040" spans="2:9" x14ac:dyDescent="0.25">
      <c r="B1040" s="31"/>
      <c r="F1040" s="32"/>
      <c r="I1040" s="32"/>
    </row>
    <row r="1041" spans="2:9" x14ac:dyDescent="0.25">
      <c r="B1041" s="31"/>
      <c r="F1041" s="32"/>
      <c r="I1041" s="32"/>
    </row>
    <row r="1042" spans="2:9" x14ac:dyDescent="0.25">
      <c r="B1042" s="31"/>
      <c r="F1042" s="32"/>
      <c r="I1042" s="32"/>
    </row>
    <row r="1043" spans="2:9" x14ac:dyDescent="0.25">
      <c r="B1043" s="31"/>
      <c r="F1043" s="32"/>
      <c r="I1043" s="32"/>
    </row>
    <row r="1044" spans="2:9" x14ac:dyDescent="0.25">
      <c r="B1044" s="31"/>
      <c r="F1044" s="32"/>
      <c r="I1044" s="32"/>
    </row>
    <row r="1045" spans="2:9" x14ac:dyDescent="0.25">
      <c r="B1045" s="31"/>
      <c r="F1045" s="32"/>
      <c r="I1045" s="32"/>
    </row>
    <row r="1046" spans="2:9" x14ac:dyDescent="0.25">
      <c r="B1046" s="31"/>
      <c r="F1046" s="32"/>
      <c r="I1046" s="32"/>
    </row>
    <row r="1047" spans="2:9" x14ac:dyDescent="0.25">
      <c r="B1047" s="31"/>
      <c r="F1047" s="32"/>
      <c r="I1047" s="32"/>
    </row>
    <row r="1048" spans="2:9" x14ac:dyDescent="0.25">
      <c r="B1048" s="31"/>
      <c r="F1048" s="32"/>
      <c r="I1048" s="32"/>
    </row>
    <row r="1049" spans="2:9" x14ac:dyDescent="0.25">
      <c r="B1049" s="31"/>
      <c r="F1049" s="32"/>
      <c r="I1049" s="32"/>
    </row>
    <row r="1050" spans="2:9" x14ac:dyDescent="0.25">
      <c r="B1050" s="31"/>
      <c r="F1050" s="32"/>
      <c r="I1050" s="32"/>
    </row>
    <row r="1051" spans="2:9" x14ac:dyDescent="0.25">
      <c r="B1051" s="31"/>
      <c r="F1051" s="32"/>
      <c r="I1051" s="32"/>
    </row>
    <row r="1052" spans="2:9" x14ac:dyDescent="0.25">
      <c r="B1052" s="31"/>
      <c r="F1052" s="32"/>
      <c r="I1052" s="32"/>
    </row>
    <row r="1053" spans="2:9" x14ac:dyDescent="0.25">
      <c r="B1053" s="31"/>
      <c r="F1053" s="32"/>
      <c r="I1053" s="32"/>
    </row>
    <row r="1054" spans="2:9" x14ac:dyDescent="0.25">
      <c r="B1054" s="31"/>
      <c r="F1054" s="32"/>
      <c r="I1054" s="32"/>
    </row>
    <row r="1055" spans="2:9" x14ac:dyDescent="0.25">
      <c r="B1055" s="31"/>
      <c r="F1055" s="32"/>
      <c r="I1055" s="32"/>
    </row>
    <row r="1056" spans="2:9" x14ac:dyDescent="0.25">
      <c r="B1056" s="31"/>
      <c r="F1056" s="32"/>
      <c r="I1056" s="32"/>
    </row>
    <row r="1057" spans="2:9" x14ac:dyDescent="0.25">
      <c r="B1057" s="31"/>
      <c r="F1057" s="32"/>
      <c r="I1057" s="32"/>
    </row>
    <row r="1058" spans="2:9" x14ac:dyDescent="0.25">
      <c r="B1058" s="31"/>
      <c r="F1058" s="32"/>
      <c r="I1058" s="32"/>
    </row>
    <row r="1059" spans="2:9" x14ac:dyDescent="0.25">
      <c r="B1059" s="31"/>
      <c r="F1059" s="32"/>
      <c r="I1059" s="32"/>
    </row>
    <row r="1060" spans="2:9" x14ac:dyDescent="0.25">
      <c r="B1060" s="31"/>
      <c r="F1060" s="32"/>
      <c r="I1060" s="32"/>
    </row>
    <row r="1061" spans="2:9" x14ac:dyDescent="0.25">
      <c r="B1061" s="31"/>
      <c r="F1061" s="32"/>
      <c r="I1061" s="32"/>
    </row>
    <row r="1062" spans="2:9" x14ac:dyDescent="0.25">
      <c r="B1062" s="31"/>
      <c r="F1062" s="32"/>
      <c r="I1062" s="32"/>
    </row>
    <row r="1063" spans="2:9" x14ac:dyDescent="0.25">
      <c r="B1063" s="31"/>
      <c r="F1063" s="32"/>
      <c r="I1063" s="32"/>
    </row>
    <row r="1064" spans="2:9" x14ac:dyDescent="0.25">
      <c r="B1064" s="31"/>
      <c r="F1064" s="32"/>
      <c r="I1064" s="32"/>
    </row>
    <row r="1065" spans="2:9" x14ac:dyDescent="0.25">
      <c r="B1065" s="31"/>
      <c r="F1065" s="32"/>
      <c r="I1065" s="32"/>
    </row>
    <row r="1066" spans="2:9" x14ac:dyDescent="0.25">
      <c r="B1066" s="31"/>
      <c r="F1066" s="32"/>
      <c r="I1066" s="32"/>
    </row>
    <row r="1067" spans="2:9" x14ac:dyDescent="0.25">
      <c r="B1067" s="31"/>
      <c r="F1067" s="32"/>
      <c r="I1067" s="32"/>
    </row>
    <row r="1068" spans="2:9" x14ac:dyDescent="0.25">
      <c r="B1068" s="31"/>
      <c r="F1068" s="32"/>
      <c r="I1068" s="32"/>
    </row>
    <row r="1069" spans="2:9" x14ac:dyDescent="0.25">
      <c r="B1069" s="31"/>
      <c r="F1069" s="32"/>
      <c r="I1069" s="32"/>
    </row>
    <row r="1070" spans="2:9" x14ac:dyDescent="0.25">
      <c r="B1070" s="31"/>
      <c r="F1070" s="32"/>
      <c r="I1070" s="32"/>
    </row>
    <row r="1071" spans="2:9" x14ac:dyDescent="0.25">
      <c r="B1071" s="31"/>
      <c r="F1071" s="32"/>
      <c r="I1071" s="32"/>
    </row>
    <row r="1072" spans="2:9" x14ac:dyDescent="0.25">
      <c r="B1072" s="31"/>
      <c r="F1072" s="32"/>
      <c r="I1072" s="32"/>
    </row>
    <row r="1073" spans="2:9" x14ac:dyDescent="0.25">
      <c r="B1073" s="31"/>
      <c r="F1073" s="32"/>
      <c r="I1073" s="32"/>
    </row>
    <row r="1074" spans="2:9" x14ac:dyDescent="0.25">
      <c r="B1074" s="31"/>
      <c r="F1074" s="32"/>
      <c r="I1074" s="32"/>
    </row>
    <row r="1075" spans="2:9" x14ac:dyDescent="0.25">
      <c r="B1075" s="31"/>
      <c r="F1075" s="32"/>
      <c r="I1075" s="32"/>
    </row>
    <row r="1076" spans="2:9" x14ac:dyDescent="0.25">
      <c r="B1076" s="31"/>
      <c r="F1076" s="32"/>
      <c r="I1076" s="32"/>
    </row>
    <row r="1077" spans="2:9" x14ac:dyDescent="0.25">
      <c r="B1077" s="31"/>
      <c r="F1077" s="32"/>
      <c r="I1077" s="32"/>
    </row>
    <row r="1078" spans="2:9" x14ac:dyDescent="0.25">
      <c r="B1078" s="31"/>
      <c r="F1078" s="32"/>
      <c r="I1078" s="32"/>
    </row>
    <row r="1079" spans="2:9" x14ac:dyDescent="0.25">
      <c r="B1079" s="31"/>
      <c r="F1079" s="32"/>
      <c r="I1079" s="32"/>
    </row>
    <row r="1080" spans="2:9" x14ac:dyDescent="0.25">
      <c r="B1080" s="31"/>
      <c r="F1080" s="32"/>
      <c r="I1080" s="32"/>
    </row>
    <row r="1081" spans="2:9" x14ac:dyDescent="0.25">
      <c r="B1081" s="31"/>
      <c r="F1081" s="32"/>
      <c r="I1081" s="32"/>
    </row>
    <row r="1082" spans="2:9" x14ac:dyDescent="0.25">
      <c r="B1082" s="31"/>
      <c r="F1082" s="32"/>
      <c r="I1082" s="32"/>
    </row>
    <row r="1083" spans="2:9" x14ac:dyDescent="0.25">
      <c r="B1083" s="31"/>
      <c r="F1083" s="32"/>
      <c r="I1083" s="32"/>
    </row>
    <row r="1084" spans="2:9" x14ac:dyDescent="0.25">
      <c r="B1084" s="31"/>
      <c r="F1084" s="32"/>
      <c r="I1084" s="32"/>
    </row>
    <row r="1085" spans="2:9" x14ac:dyDescent="0.25">
      <c r="B1085" s="31"/>
      <c r="F1085" s="32"/>
      <c r="I1085" s="32"/>
    </row>
    <row r="1086" spans="2:9" x14ac:dyDescent="0.25">
      <c r="B1086" s="31"/>
      <c r="F1086" s="32"/>
      <c r="I1086" s="32"/>
    </row>
    <row r="1087" spans="2:9" x14ac:dyDescent="0.25">
      <c r="B1087" s="31"/>
      <c r="F1087" s="32"/>
      <c r="I1087" s="32"/>
    </row>
    <row r="1088" spans="2:9" x14ac:dyDescent="0.25">
      <c r="B1088" s="31"/>
      <c r="F1088" s="32"/>
      <c r="I1088" s="32"/>
    </row>
    <row r="1089" spans="2:9" x14ac:dyDescent="0.25">
      <c r="B1089" s="31"/>
      <c r="F1089" s="32"/>
      <c r="I1089" s="32"/>
    </row>
    <row r="1090" spans="2:9" x14ac:dyDescent="0.25">
      <c r="B1090" s="31"/>
      <c r="F1090" s="32"/>
      <c r="I1090" s="32"/>
    </row>
    <row r="1091" spans="2:9" x14ac:dyDescent="0.25">
      <c r="B1091" s="31"/>
      <c r="F1091" s="32"/>
      <c r="I1091" s="32"/>
    </row>
    <row r="1092" spans="2:9" x14ac:dyDescent="0.25">
      <c r="B1092" s="31"/>
      <c r="F1092" s="32"/>
      <c r="I1092" s="32"/>
    </row>
    <row r="1093" spans="2:9" x14ac:dyDescent="0.25">
      <c r="B1093" s="31"/>
      <c r="F1093" s="32"/>
      <c r="I1093" s="32"/>
    </row>
    <row r="1094" spans="2:9" x14ac:dyDescent="0.25">
      <c r="B1094" s="31"/>
      <c r="F1094" s="32"/>
      <c r="I1094" s="32"/>
    </row>
    <row r="1095" spans="2:9" x14ac:dyDescent="0.25">
      <c r="B1095" s="31"/>
      <c r="F1095" s="32"/>
      <c r="I1095" s="32"/>
    </row>
    <row r="1096" spans="2:9" x14ac:dyDescent="0.25">
      <c r="B1096" s="31"/>
      <c r="F1096" s="32"/>
      <c r="I1096" s="32"/>
    </row>
    <row r="1097" spans="2:9" x14ac:dyDescent="0.25">
      <c r="B1097" s="31"/>
      <c r="F1097" s="32"/>
      <c r="I1097" s="32"/>
    </row>
    <row r="1098" spans="2:9" x14ac:dyDescent="0.25">
      <c r="B1098" s="31"/>
      <c r="F1098" s="32"/>
      <c r="I1098" s="32"/>
    </row>
    <row r="1099" spans="2:9" x14ac:dyDescent="0.25">
      <c r="B1099" s="31"/>
      <c r="F1099" s="32"/>
      <c r="I1099" s="32"/>
    </row>
    <row r="1100" spans="2:9" x14ac:dyDescent="0.25">
      <c r="B1100" s="31"/>
      <c r="F1100" s="32"/>
      <c r="I1100" s="32"/>
    </row>
    <row r="1101" spans="2:9" x14ac:dyDescent="0.25">
      <c r="B1101" s="31"/>
      <c r="F1101" s="32"/>
      <c r="I1101" s="32"/>
    </row>
    <row r="1102" spans="2:9" x14ac:dyDescent="0.25">
      <c r="B1102" s="31"/>
      <c r="F1102" s="32"/>
      <c r="I1102" s="32"/>
    </row>
    <row r="1103" spans="2:9" x14ac:dyDescent="0.25">
      <c r="B1103" s="31"/>
      <c r="F1103" s="32"/>
      <c r="I1103" s="32"/>
    </row>
    <row r="1104" spans="2:9" x14ac:dyDescent="0.25">
      <c r="B1104" s="31"/>
      <c r="F1104" s="32"/>
      <c r="I1104" s="32"/>
    </row>
    <row r="1105" spans="2:9" x14ac:dyDescent="0.25">
      <c r="B1105" s="31"/>
      <c r="F1105" s="32"/>
      <c r="I1105" s="32"/>
    </row>
    <row r="1106" spans="2:9" x14ac:dyDescent="0.25">
      <c r="B1106" s="31"/>
      <c r="F1106" s="32"/>
      <c r="I1106" s="32"/>
    </row>
    <row r="1107" spans="2:9" x14ac:dyDescent="0.25">
      <c r="B1107" s="31"/>
      <c r="F1107" s="32"/>
      <c r="I1107" s="32"/>
    </row>
    <row r="1108" spans="2:9" x14ac:dyDescent="0.25">
      <c r="B1108" s="31"/>
      <c r="F1108" s="32"/>
      <c r="I1108" s="32"/>
    </row>
    <row r="1109" spans="2:9" x14ac:dyDescent="0.25">
      <c r="B1109" s="31"/>
      <c r="F1109" s="32"/>
      <c r="I1109" s="32"/>
    </row>
    <row r="1110" spans="2:9" x14ac:dyDescent="0.25">
      <c r="B1110" s="31"/>
      <c r="F1110" s="32"/>
      <c r="I1110" s="32"/>
    </row>
    <row r="1111" spans="2:9" x14ac:dyDescent="0.25">
      <c r="B1111" s="31"/>
      <c r="F1111" s="32"/>
      <c r="I1111" s="32"/>
    </row>
    <row r="1112" spans="2:9" x14ac:dyDescent="0.25">
      <c r="B1112" s="31"/>
      <c r="F1112" s="32"/>
      <c r="I1112" s="32"/>
    </row>
    <row r="1113" spans="2:9" x14ac:dyDescent="0.25">
      <c r="B1113" s="31"/>
      <c r="F1113" s="32"/>
      <c r="I1113" s="32"/>
    </row>
    <row r="1114" spans="2:9" x14ac:dyDescent="0.25">
      <c r="B1114" s="31"/>
      <c r="F1114" s="32"/>
      <c r="I1114" s="32"/>
    </row>
    <row r="1115" spans="2:9" x14ac:dyDescent="0.25">
      <c r="B1115" s="31"/>
      <c r="F1115" s="32"/>
      <c r="I1115" s="32"/>
    </row>
    <row r="1116" spans="2:9" x14ac:dyDescent="0.25">
      <c r="B1116" s="31"/>
      <c r="F1116" s="32"/>
      <c r="I1116" s="32"/>
    </row>
    <row r="1117" spans="2:9" x14ac:dyDescent="0.25">
      <c r="B1117" s="31"/>
      <c r="F1117" s="32"/>
      <c r="I1117" s="32"/>
    </row>
    <row r="1118" spans="2:9" x14ac:dyDescent="0.25">
      <c r="B1118" s="31"/>
      <c r="F1118" s="32"/>
      <c r="I1118" s="32"/>
    </row>
    <row r="1119" spans="2:9" x14ac:dyDescent="0.25">
      <c r="B1119" s="31"/>
      <c r="F1119" s="32"/>
      <c r="I1119" s="32"/>
    </row>
    <row r="1120" spans="2:9" x14ac:dyDescent="0.25">
      <c r="B1120" s="31"/>
      <c r="F1120" s="32"/>
      <c r="I1120" s="32"/>
    </row>
    <row r="1121" spans="2:9" x14ac:dyDescent="0.25">
      <c r="B1121" s="31"/>
      <c r="F1121" s="32"/>
      <c r="I1121" s="32"/>
    </row>
    <row r="1122" spans="2:9" x14ac:dyDescent="0.25">
      <c r="B1122" s="31"/>
      <c r="F1122" s="32"/>
      <c r="I1122" s="32"/>
    </row>
    <row r="1123" spans="2:9" x14ac:dyDescent="0.25">
      <c r="B1123" s="31"/>
      <c r="F1123" s="32"/>
      <c r="I1123" s="32"/>
    </row>
    <row r="1124" spans="2:9" x14ac:dyDescent="0.25">
      <c r="B1124" s="31"/>
      <c r="F1124" s="32"/>
      <c r="I1124" s="32"/>
    </row>
    <row r="1125" spans="2:9" x14ac:dyDescent="0.25">
      <c r="B1125" s="31"/>
      <c r="F1125" s="32"/>
      <c r="I1125" s="32"/>
    </row>
    <row r="1126" spans="2:9" x14ac:dyDescent="0.25">
      <c r="B1126" s="31"/>
      <c r="F1126" s="32"/>
      <c r="I1126" s="32"/>
    </row>
    <row r="1127" spans="2:9" x14ac:dyDescent="0.25">
      <c r="B1127" s="31"/>
      <c r="F1127" s="32"/>
      <c r="I1127" s="32"/>
    </row>
    <row r="1128" spans="2:9" x14ac:dyDescent="0.25">
      <c r="B1128" s="31"/>
      <c r="F1128" s="32"/>
      <c r="I1128" s="32"/>
    </row>
    <row r="1129" spans="2:9" x14ac:dyDescent="0.25">
      <c r="B1129" s="31"/>
      <c r="F1129" s="32"/>
      <c r="I1129" s="32"/>
    </row>
    <row r="1130" spans="2:9" x14ac:dyDescent="0.25">
      <c r="B1130" s="31"/>
      <c r="F1130" s="32"/>
      <c r="I1130" s="32"/>
    </row>
    <row r="1131" spans="2:9" x14ac:dyDescent="0.25">
      <c r="B1131" s="31"/>
      <c r="F1131" s="32"/>
      <c r="I1131" s="32"/>
    </row>
    <row r="1132" spans="2:9" x14ac:dyDescent="0.25">
      <c r="B1132" s="31"/>
      <c r="F1132" s="32"/>
      <c r="I1132" s="32"/>
    </row>
    <row r="1133" spans="2:9" x14ac:dyDescent="0.25">
      <c r="B1133" s="31"/>
      <c r="F1133" s="32"/>
      <c r="I1133" s="32"/>
    </row>
    <row r="1134" spans="2:9" x14ac:dyDescent="0.25">
      <c r="B1134" s="31"/>
      <c r="F1134" s="32"/>
      <c r="I1134" s="32"/>
    </row>
    <row r="1135" spans="2:9" x14ac:dyDescent="0.25">
      <c r="B1135" s="31"/>
      <c r="F1135" s="32"/>
      <c r="I1135" s="32"/>
    </row>
    <row r="1136" spans="2:9" x14ac:dyDescent="0.25">
      <c r="B1136" s="31"/>
      <c r="F1136" s="32"/>
      <c r="I1136" s="32"/>
    </row>
    <row r="1137" spans="2:9" x14ac:dyDescent="0.25">
      <c r="B1137" s="31"/>
      <c r="F1137" s="32"/>
      <c r="I1137" s="32"/>
    </row>
    <row r="1138" spans="2:9" x14ac:dyDescent="0.25">
      <c r="B1138" s="31"/>
      <c r="F1138" s="32"/>
      <c r="I1138" s="32"/>
    </row>
    <row r="1139" spans="2:9" x14ac:dyDescent="0.25">
      <c r="B1139" s="31"/>
      <c r="F1139" s="32"/>
      <c r="I1139" s="32"/>
    </row>
    <row r="1140" spans="2:9" x14ac:dyDescent="0.25">
      <c r="B1140" s="31"/>
      <c r="F1140" s="32"/>
      <c r="I1140" s="32"/>
    </row>
    <row r="1141" spans="2:9" x14ac:dyDescent="0.25">
      <c r="B1141" s="31"/>
      <c r="F1141" s="32"/>
      <c r="I1141" s="32"/>
    </row>
    <row r="1142" spans="2:9" x14ac:dyDescent="0.25">
      <c r="B1142" s="31"/>
      <c r="F1142" s="32"/>
      <c r="I1142" s="32"/>
    </row>
    <row r="1143" spans="2:9" x14ac:dyDescent="0.25">
      <c r="B1143" s="31"/>
      <c r="F1143" s="32"/>
      <c r="I1143" s="32"/>
    </row>
    <row r="1144" spans="2:9" x14ac:dyDescent="0.25">
      <c r="B1144" s="31"/>
      <c r="F1144" s="32"/>
      <c r="I1144" s="32"/>
    </row>
    <row r="1145" spans="2:9" x14ac:dyDescent="0.25">
      <c r="B1145" s="31"/>
      <c r="F1145" s="32"/>
      <c r="I1145" s="32"/>
    </row>
    <row r="1146" spans="2:9" x14ac:dyDescent="0.25">
      <c r="B1146" s="31"/>
      <c r="F1146" s="32"/>
      <c r="I1146" s="32"/>
    </row>
    <row r="1147" spans="2:9" x14ac:dyDescent="0.25">
      <c r="B1147" s="31"/>
      <c r="F1147" s="32"/>
      <c r="I1147" s="32"/>
    </row>
    <row r="1148" spans="2:9" x14ac:dyDescent="0.25">
      <c r="B1148" s="31"/>
      <c r="F1148" s="32"/>
      <c r="I1148" s="32"/>
    </row>
    <row r="1149" spans="2:9" x14ac:dyDescent="0.25">
      <c r="B1149" s="31"/>
      <c r="F1149" s="32"/>
      <c r="I1149" s="32"/>
    </row>
    <row r="1150" spans="2:9" x14ac:dyDescent="0.25">
      <c r="B1150" s="31"/>
      <c r="F1150" s="32"/>
      <c r="I1150" s="32"/>
    </row>
    <row r="1151" spans="2:9" x14ac:dyDescent="0.25">
      <c r="B1151" s="31"/>
      <c r="F1151" s="32"/>
      <c r="I1151" s="32"/>
    </row>
    <row r="1152" spans="2:9" x14ac:dyDescent="0.25">
      <c r="B1152" s="31"/>
      <c r="F1152" s="32"/>
      <c r="I1152" s="32"/>
    </row>
    <row r="1153" spans="2:9" x14ac:dyDescent="0.25">
      <c r="B1153" s="31"/>
      <c r="F1153" s="32"/>
      <c r="I1153" s="32"/>
    </row>
    <row r="1154" spans="2:9" x14ac:dyDescent="0.25">
      <c r="B1154" s="31"/>
      <c r="F1154" s="32"/>
      <c r="I1154" s="32"/>
    </row>
    <row r="1155" spans="2:9" x14ac:dyDescent="0.25">
      <c r="B1155" s="31"/>
      <c r="F1155" s="32"/>
      <c r="I1155" s="32"/>
    </row>
    <row r="1156" spans="2:9" x14ac:dyDescent="0.25">
      <c r="B1156" s="31"/>
      <c r="F1156" s="32"/>
      <c r="I1156" s="32"/>
    </row>
    <row r="1157" spans="2:9" x14ac:dyDescent="0.25">
      <c r="B1157" s="31"/>
      <c r="F1157" s="32"/>
      <c r="I1157" s="32"/>
    </row>
    <row r="1158" spans="2:9" x14ac:dyDescent="0.25">
      <c r="B1158" s="31"/>
      <c r="F1158" s="32"/>
      <c r="I1158" s="32"/>
    </row>
    <row r="1159" spans="2:9" x14ac:dyDescent="0.25">
      <c r="B1159" s="31"/>
      <c r="F1159" s="32"/>
      <c r="I1159" s="32"/>
    </row>
    <row r="1160" spans="2:9" x14ac:dyDescent="0.25">
      <c r="B1160" s="31"/>
      <c r="F1160" s="32"/>
      <c r="I1160" s="32"/>
    </row>
    <row r="1161" spans="2:9" x14ac:dyDescent="0.25">
      <c r="B1161" s="31"/>
      <c r="F1161" s="32"/>
      <c r="I1161" s="32"/>
    </row>
    <row r="1162" spans="2:9" x14ac:dyDescent="0.25">
      <c r="B1162" s="31"/>
      <c r="F1162" s="32"/>
      <c r="I1162" s="32"/>
    </row>
    <row r="1163" spans="2:9" x14ac:dyDescent="0.25">
      <c r="B1163" s="31"/>
      <c r="F1163" s="32"/>
      <c r="I1163" s="32"/>
    </row>
    <row r="1164" spans="2:9" x14ac:dyDescent="0.25">
      <c r="B1164" s="31"/>
      <c r="F1164" s="32"/>
      <c r="I1164" s="32"/>
    </row>
    <row r="1165" spans="2:9" x14ac:dyDescent="0.25">
      <c r="B1165" s="31"/>
      <c r="F1165" s="32"/>
      <c r="I1165" s="32"/>
    </row>
    <row r="1166" spans="2:9" x14ac:dyDescent="0.25">
      <c r="B1166" s="31"/>
      <c r="F1166" s="32"/>
      <c r="I1166" s="32"/>
    </row>
    <row r="1167" spans="2:9" x14ac:dyDescent="0.25">
      <c r="B1167" s="31"/>
      <c r="F1167" s="32"/>
      <c r="I1167" s="32"/>
    </row>
    <row r="1168" spans="2:9" x14ac:dyDescent="0.25">
      <c r="B1168" s="31"/>
      <c r="F1168" s="32"/>
      <c r="I1168" s="32"/>
    </row>
    <row r="1169" spans="2:9" x14ac:dyDescent="0.25">
      <c r="B1169" s="31"/>
      <c r="F1169" s="32"/>
      <c r="I1169" s="32"/>
    </row>
    <row r="1170" spans="2:9" x14ac:dyDescent="0.25">
      <c r="B1170" s="31"/>
      <c r="F1170" s="32"/>
      <c r="I1170" s="32"/>
    </row>
    <row r="1171" spans="2:9" x14ac:dyDescent="0.25">
      <c r="B1171" s="31"/>
      <c r="F1171" s="32"/>
      <c r="I1171" s="32"/>
    </row>
    <row r="1172" spans="2:9" x14ac:dyDescent="0.25">
      <c r="B1172" s="31"/>
      <c r="F1172" s="32"/>
      <c r="I1172" s="32"/>
    </row>
    <row r="1173" spans="2:9" x14ac:dyDescent="0.25">
      <c r="B1173" s="31"/>
      <c r="F1173" s="32"/>
      <c r="I1173" s="32"/>
    </row>
    <row r="1174" spans="2:9" x14ac:dyDescent="0.25">
      <c r="B1174" s="31"/>
      <c r="F1174" s="32"/>
      <c r="I1174" s="32"/>
    </row>
    <row r="1175" spans="2:9" x14ac:dyDescent="0.25">
      <c r="B1175" s="31"/>
      <c r="F1175" s="32"/>
      <c r="I1175" s="32"/>
    </row>
    <row r="1176" spans="2:9" x14ac:dyDescent="0.25">
      <c r="B1176" s="31"/>
      <c r="F1176" s="32"/>
      <c r="I1176" s="32"/>
    </row>
    <row r="1177" spans="2:9" x14ac:dyDescent="0.25">
      <c r="B1177" s="31"/>
      <c r="F1177" s="32"/>
      <c r="I1177" s="32"/>
    </row>
    <row r="1178" spans="2:9" x14ac:dyDescent="0.25">
      <c r="B1178" s="31"/>
      <c r="F1178" s="32"/>
      <c r="I1178" s="32"/>
    </row>
    <row r="1179" spans="2:9" x14ac:dyDescent="0.25">
      <c r="B1179" s="31"/>
      <c r="F1179" s="32"/>
      <c r="I1179" s="32"/>
    </row>
    <row r="1180" spans="2:9" x14ac:dyDescent="0.25">
      <c r="B1180" s="31"/>
      <c r="F1180" s="32"/>
      <c r="I1180" s="32"/>
    </row>
    <row r="1181" spans="2:9" x14ac:dyDescent="0.25">
      <c r="B1181" s="31"/>
      <c r="F1181" s="32"/>
      <c r="I1181" s="32"/>
    </row>
    <row r="1182" spans="2:9" x14ac:dyDescent="0.25">
      <c r="B1182" s="31"/>
      <c r="F1182" s="32"/>
      <c r="I1182" s="32"/>
    </row>
    <row r="1183" spans="2:9" x14ac:dyDescent="0.25">
      <c r="B1183" s="31"/>
      <c r="F1183" s="32"/>
      <c r="I1183" s="32"/>
    </row>
    <row r="1184" spans="2:9" x14ac:dyDescent="0.25">
      <c r="B1184" s="31"/>
      <c r="F1184" s="32"/>
      <c r="I1184" s="32"/>
    </row>
    <row r="1185" spans="2:9" x14ac:dyDescent="0.25">
      <c r="B1185" s="31"/>
      <c r="F1185" s="32"/>
      <c r="I1185" s="32"/>
    </row>
    <row r="1186" spans="2:9" x14ac:dyDescent="0.25">
      <c r="B1186" s="31"/>
      <c r="F1186" s="32"/>
      <c r="I1186" s="32"/>
    </row>
    <row r="1187" spans="2:9" x14ac:dyDescent="0.25">
      <c r="B1187" s="31"/>
      <c r="F1187" s="32"/>
      <c r="I1187" s="32"/>
    </row>
    <row r="1188" spans="2:9" x14ac:dyDescent="0.25">
      <c r="B1188" s="31"/>
      <c r="F1188" s="32"/>
      <c r="I1188" s="32"/>
    </row>
    <row r="1189" spans="2:9" x14ac:dyDescent="0.25">
      <c r="B1189" s="31"/>
      <c r="F1189" s="32"/>
      <c r="I1189" s="32"/>
    </row>
    <row r="1190" spans="2:9" x14ac:dyDescent="0.25">
      <c r="B1190" s="31"/>
      <c r="F1190" s="32"/>
      <c r="I1190" s="32"/>
    </row>
    <row r="1191" spans="2:9" x14ac:dyDescent="0.25">
      <c r="B1191" s="31"/>
      <c r="F1191" s="32"/>
      <c r="I1191" s="32"/>
    </row>
    <row r="1192" spans="2:9" x14ac:dyDescent="0.25">
      <c r="B1192" s="31"/>
      <c r="F1192" s="32"/>
      <c r="I1192" s="32"/>
    </row>
    <row r="1193" spans="2:9" x14ac:dyDescent="0.25">
      <c r="B1193" s="31"/>
      <c r="F1193" s="32"/>
      <c r="I1193" s="32"/>
    </row>
    <row r="1194" spans="2:9" x14ac:dyDescent="0.25">
      <c r="B1194" s="31"/>
      <c r="F1194" s="32"/>
      <c r="I1194" s="32"/>
    </row>
    <row r="1195" spans="2:9" x14ac:dyDescent="0.25">
      <c r="B1195" s="31"/>
      <c r="F1195" s="32"/>
      <c r="I1195" s="32"/>
    </row>
    <row r="1196" spans="2:9" x14ac:dyDescent="0.25">
      <c r="B1196" s="31"/>
      <c r="F1196" s="32"/>
      <c r="I1196" s="32"/>
    </row>
    <row r="1197" spans="2:9" x14ac:dyDescent="0.25">
      <c r="B1197" s="31"/>
      <c r="F1197" s="32"/>
      <c r="I1197" s="32"/>
    </row>
    <row r="1198" spans="2:9" x14ac:dyDescent="0.25">
      <c r="B1198" s="31"/>
      <c r="F1198" s="32"/>
      <c r="I1198" s="32"/>
    </row>
    <row r="1199" spans="2:9" x14ac:dyDescent="0.25">
      <c r="B1199" s="31"/>
      <c r="F1199" s="32"/>
      <c r="I1199" s="32"/>
    </row>
    <row r="1200" spans="2:9" x14ac:dyDescent="0.25">
      <c r="B1200" s="31"/>
      <c r="F1200" s="32"/>
      <c r="I1200" s="32"/>
    </row>
    <row r="1201" spans="2:9" x14ac:dyDescent="0.25">
      <c r="B1201" s="31"/>
      <c r="F1201" s="32"/>
      <c r="I1201" s="32"/>
    </row>
    <row r="1202" spans="2:9" x14ac:dyDescent="0.25">
      <c r="B1202" s="31"/>
      <c r="F1202" s="32"/>
      <c r="I1202" s="32"/>
    </row>
    <row r="1203" spans="2:9" x14ac:dyDescent="0.25">
      <c r="B1203" s="31"/>
      <c r="F1203" s="32"/>
      <c r="I1203" s="32"/>
    </row>
    <row r="1204" spans="2:9" x14ac:dyDescent="0.25">
      <c r="B1204" s="31"/>
      <c r="F1204" s="32"/>
      <c r="I1204" s="32"/>
    </row>
    <row r="1205" spans="2:9" x14ac:dyDescent="0.25">
      <c r="B1205" s="31"/>
      <c r="F1205" s="32"/>
      <c r="I1205" s="32"/>
    </row>
    <row r="1206" spans="2:9" x14ac:dyDescent="0.25">
      <c r="B1206" s="31"/>
      <c r="F1206" s="32"/>
      <c r="I1206" s="32"/>
    </row>
    <row r="1207" spans="2:9" x14ac:dyDescent="0.25">
      <c r="B1207" s="31"/>
      <c r="F1207" s="32"/>
      <c r="I1207" s="32"/>
    </row>
    <row r="1208" spans="2:9" x14ac:dyDescent="0.25">
      <c r="B1208" s="31"/>
      <c r="F1208" s="32"/>
      <c r="I1208" s="32"/>
    </row>
    <row r="1209" spans="2:9" x14ac:dyDescent="0.25">
      <c r="B1209" s="31"/>
      <c r="F1209" s="32"/>
      <c r="I1209" s="32"/>
    </row>
    <row r="1210" spans="2:9" x14ac:dyDescent="0.25">
      <c r="B1210" s="31"/>
      <c r="F1210" s="32"/>
      <c r="I1210" s="32"/>
    </row>
    <row r="1211" spans="2:9" x14ac:dyDescent="0.25">
      <c r="B1211" s="31"/>
      <c r="F1211" s="32"/>
      <c r="I1211" s="32"/>
    </row>
    <row r="1212" spans="2:9" x14ac:dyDescent="0.25">
      <c r="B1212" s="31"/>
      <c r="F1212" s="32"/>
      <c r="I1212" s="32"/>
    </row>
    <row r="1213" spans="2:9" x14ac:dyDescent="0.25">
      <c r="B1213" s="31"/>
      <c r="F1213" s="32"/>
      <c r="I1213" s="32"/>
    </row>
    <row r="1214" spans="2:9" x14ac:dyDescent="0.25">
      <c r="B1214" s="31"/>
      <c r="F1214" s="32"/>
      <c r="I1214" s="32"/>
    </row>
    <row r="1215" spans="2:9" x14ac:dyDescent="0.25">
      <c r="B1215" s="31"/>
      <c r="F1215" s="32"/>
      <c r="I1215" s="32"/>
    </row>
    <row r="1216" spans="2:9" x14ac:dyDescent="0.25">
      <c r="B1216" s="31"/>
      <c r="F1216" s="32"/>
      <c r="I1216" s="32"/>
    </row>
    <row r="1217" spans="2:9" x14ac:dyDescent="0.25">
      <c r="B1217" s="31"/>
      <c r="F1217" s="32"/>
      <c r="I1217" s="32"/>
    </row>
    <row r="1218" spans="2:9" x14ac:dyDescent="0.25">
      <c r="B1218" s="31"/>
      <c r="F1218" s="32"/>
      <c r="I1218" s="32"/>
    </row>
    <row r="1219" spans="2:9" x14ac:dyDescent="0.25">
      <c r="B1219" s="31"/>
      <c r="F1219" s="32"/>
      <c r="I1219" s="32"/>
    </row>
    <row r="1220" spans="2:9" x14ac:dyDescent="0.25">
      <c r="B1220" s="31"/>
      <c r="F1220" s="32"/>
      <c r="I1220" s="32"/>
    </row>
    <row r="1221" spans="2:9" x14ac:dyDescent="0.25">
      <c r="B1221" s="31"/>
      <c r="F1221" s="32"/>
      <c r="I1221" s="32"/>
    </row>
    <row r="1222" spans="2:9" x14ac:dyDescent="0.25">
      <c r="B1222" s="31"/>
      <c r="F1222" s="32"/>
      <c r="I1222" s="32"/>
    </row>
    <row r="1223" spans="2:9" x14ac:dyDescent="0.25">
      <c r="B1223" s="31"/>
      <c r="F1223" s="32"/>
      <c r="I1223" s="32"/>
    </row>
    <row r="1224" spans="2:9" x14ac:dyDescent="0.25">
      <c r="B1224" s="31"/>
      <c r="F1224" s="32"/>
      <c r="I1224" s="32"/>
    </row>
    <row r="1225" spans="2:9" x14ac:dyDescent="0.25">
      <c r="B1225" s="31"/>
      <c r="F1225" s="32"/>
      <c r="I1225" s="32"/>
    </row>
    <row r="1226" spans="2:9" x14ac:dyDescent="0.25">
      <c r="B1226" s="31"/>
      <c r="F1226" s="32"/>
      <c r="I1226" s="32"/>
    </row>
    <row r="1227" spans="2:9" x14ac:dyDescent="0.25">
      <c r="B1227" s="31"/>
      <c r="F1227" s="32"/>
      <c r="I1227" s="32"/>
    </row>
    <row r="1228" spans="2:9" x14ac:dyDescent="0.25">
      <c r="B1228" s="31"/>
      <c r="F1228" s="32"/>
      <c r="I1228" s="32"/>
    </row>
    <row r="1229" spans="2:9" x14ac:dyDescent="0.25">
      <c r="B1229" s="31"/>
      <c r="F1229" s="32"/>
      <c r="I1229" s="32"/>
    </row>
    <row r="1230" spans="2:9" x14ac:dyDescent="0.25">
      <c r="B1230" s="31"/>
      <c r="F1230" s="32"/>
      <c r="I1230" s="32"/>
    </row>
    <row r="1231" spans="2:9" x14ac:dyDescent="0.25">
      <c r="B1231" s="31"/>
      <c r="F1231" s="32"/>
      <c r="I1231" s="32"/>
    </row>
    <row r="1232" spans="2:9" x14ac:dyDescent="0.25">
      <c r="B1232" s="31"/>
      <c r="F1232" s="32"/>
      <c r="I1232" s="32"/>
    </row>
    <row r="1233" spans="2:9" x14ac:dyDescent="0.25">
      <c r="B1233" s="31"/>
      <c r="F1233" s="32"/>
      <c r="I1233" s="32"/>
    </row>
    <row r="1234" spans="2:9" x14ac:dyDescent="0.25">
      <c r="B1234" s="31"/>
      <c r="F1234" s="32"/>
      <c r="I1234" s="32"/>
    </row>
    <row r="1235" spans="2:9" x14ac:dyDescent="0.25">
      <c r="B1235" s="31"/>
      <c r="F1235" s="32"/>
      <c r="I1235" s="32"/>
    </row>
    <row r="1236" spans="2:9" x14ac:dyDescent="0.25">
      <c r="B1236" s="31"/>
      <c r="F1236" s="32"/>
      <c r="I1236" s="32"/>
    </row>
    <row r="1237" spans="2:9" x14ac:dyDescent="0.25">
      <c r="B1237" s="31"/>
      <c r="F1237" s="32"/>
      <c r="I1237" s="32"/>
    </row>
    <row r="1238" spans="2:9" x14ac:dyDescent="0.25">
      <c r="B1238" s="31"/>
      <c r="F1238" s="32"/>
      <c r="I1238" s="32"/>
    </row>
    <row r="1239" spans="2:9" x14ac:dyDescent="0.25">
      <c r="B1239" s="31"/>
      <c r="F1239" s="32"/>
      <c r="I1239" s="32"/>
    </row>
    <row r="1240" spans="2:9" x14ac:dyDescent="0.25">
      <c r="B1240" s="31"/>
      <c r="F1240" s="32"/>
      <c r="I1240" s="32"/>
    </row>
    <row r="1241" spans="2:9" x14ac:dyDescent="0.25">
      <c r="B1241" s="31"/>
      <c r="F1241" s="32"/>
      <c r="I1241" s="32"/>
    </row>
    <row r="1242" spans="2:9" x14ac:dyDescent="0.25">
      <c r="B1242" s="31"/>
      <c r="F1242" s="32"/>
      <c r="I1242" s="32"/>
    </row>
    <row r="1243" spans="2:9" x14ac:dyDescent="0.25">
      <c r="B1243" s="31"/>
      <c r="F1243" s="32"/>
      <c r="I1243" s="32"/>
    </row>
    <row r="1244" spans="2:9" x14ac:dyDescent="0.25">
      <c r="B1244" s="31"/>
      <c r="F1244" s="32"/>
      <c r="I1244" s="32"/>
    </row>
    <row r="1245" spans="2:9" x14ac:dyDescent="0.25">
      <c r="B1245" s="31"/>
      <c r="F1245" s="32"/>
      <c r="I1245" s="32"/>
    </row>
    <row r="1246" spans="2:9" x14ac:dyDescent="0.25">
      <c r="B1246" s="31"/>
      <c r="F1246" s="32"/>
      <c r="I1246" s="32"/>
    </row>
    <row r="1247" spans="2:9" x14ac:dyDescent="0.25">
      <c r="B1247" s="31"/>
      <c r="F1247" s="32"/>
      <c r="I1247" s="32"/>
    </row>
    <row r="1248" spans="2:9" x14ac:dyDescent="0.25">
      <c r="B1248" s="31"/>
      <c r="F1248" s="32"/>
      <c r="I1248" s="32"/>
    </row>
    <row r="1249" spans="2:9" x14ac:dyDescent="0.25">
      <c r="B1249" s="31"/>
      <c r="F1249" s="32"/>
      <c r="I1249" s="32"/>
    </row>
    <row r="1250" spans="2:9" x14ac:dyDescent="0.25">
      <c r="B1250" s="31"/>
      <c r="F1250" s="32"/>
      <c r="I1250" s="32"/>
    </row>
    <row r="1251" spans="2:9" x14ac:dyDescent="0.25">
      <c r="B1251" s="31"/>
      <c r="F1251" s="32"/>
      <c r="I1251" s="32"/>
    </row>
    <row r="1252" spans="2:9" x14ac:dyDescent="0.25">
      <c r="B1252" s="31"/>
      <c r="F1252" s="32"/>
      <c r="I1252" s="32"/>
    </row>
    <row r="1253" spans="2:9" x14ac:dyDescent="0.25">
      <c r="B1253" s="31"/>
      <c r="F1253" s="32"/>
      <c r="I1253" s="32"/>
    </row>
    <row r="1254" spans="2:9" x14ac:dyDescent="0.25">
      <c r="B1254" s="31"/>
      <c r="F1254" s="32"/>
      <c r="I1254" s="32"/>
    </row>
    <row r="1255" spans="2:9" x14ac:dyDescent="0.25">
      <c r="B1255" s="31"/>
      <c r="F1255" s="32"/>
      <c r="I1255" s="32"/>
    </row>
    <row r="1256" spans="2:9" x14ac:dyDescent="0.25">
      <c r="B1256" s="31"/>
      <c r="F1256" s="32"/>
      <c r="I1256" s="32"/>
    </row>
    <row r="1257" spans="2:9" x14ac:dyDescent="0.25">
      <c r="B1257" s="31"/>
      <c r="F1257" s="32"/>
      <c r="I1257" s="32"/>
    </row>
    <row r="1258" spans="2:9" x14ac:dyDescent="0.25">
      <c r="B1258" s="31"/>
      <c r="F1258" s="32"/>
      <c r="I1258" s="32"/>
    </row>
    <row r="1259" spans="2:9" x14ac:dyDescent="0.25">
      <c r="B1259" s="31"/>
      <c r="F1259" s="32"/>
      <c r="I1259" s="32"/>
    </row>
    <row r="1260" spans="2:9" x14ac:dyDescent="0.25">
      <c r="B1260" s="31"/>
      <c r="F1260" s="32"/>
      <c r="I1260" s="32"/>
    </row>
    <row r="1261" spans="2:9" x14ac:dyDescent="0.25">
      <c r="B1261" s="31"/>
      <c r="F1261" s="32"/>
      <c r="I1261" s="32"/>
    </row>
    <row r="1262" spans="2:9" x14ac:dyDescent="0.25">
      <c r="B1262" s="31"/>
      <c r="F1262" s="32"/>
      <c r="I1262" s="32"/>
    </row>
    <row r="1263" spans="2:9" x14ac:dyDescent="0.25">
      <c r="B1263" s="31"/>
      <c r="F1263" s="32"/>
      <c r="I1263" s="32"/>
    </row>
    <row r="1264" spans="2:9" x14ac:dyDescent="0.25">
      <c r="B1264" s="31"/>
      <c r="F1264" s="32"/>
      <c r="I1264" s="32"/>
    </row>
    <row r="1265" spans="2:9" x14ac:dyDescent="0.25">
      <c r="B1265" s="31"/>
      <c r="F1265" s="32"/>
      <c r="I1265" s="32"/>
    </row>
    <row r="1266" spans="2:9" x14ac:dyDescent="0.25">
      <c r="B1266" s="31"/>
      <c r="F1266" s="32"/>
      <c r="I1266" s="32"/>
    </row>
    <row r="1267" spans="2:9" x14ac:dyDescent="0.25">
      <c r="B1267" s="31"/>
      <c r="F1267" s="32"/>
      <c r="I1267" s="32"/>
    </row>
    <row r="1268" spans="2:9" x14ac:dyDescent="0.25">
      <c r="B1268" s="31"/>
      <c r="F1268" s="32"/>
      <c r="I1268" s="32"/>
    </row>
    <row r="1269" spans="2:9" x14ac:dyDescent="0.25">
      <c r="B1269" s="31"/>
      <c r="F1269" s="32"/>
      <c r="I1269" s="32"/>
    </row>
    <row r="1270" spans="2:9" x14ac:dyDescent="0.25">
      <c r="B1270" s="31"/>
      <c r="F1270" s="32"/>
      <c r="I1270" s="32"/>
    </row>
    <row r="1271" spans="2:9" x14ac:dyDescent="0.25">
      <c r="B1271" s="31"/>
      <c r="F1271" s="32"/>
      <c r="I1271" s="32"/>
    </row>
    <row r="1272" spans="2:9" x14ac:dyDescent="0.25">
      <c r="B1272" s="31"/>
      <c r="F1272" s="32"/>
      <c r="I1272" s="32"/>
    </row>
    <row r="1273" spans="2:9" x14ac:dyDescent="0.25">
      <c r="B1273" s="31"/>
      <c r="F1273" s="32"/>
      <c r="I1273" s="32"/>
    </row>
    <row r="1274" spans="2:9" x14ac:dyDescent="0.25">
      <c r="B1274" s="31"/>
      <c r="F1274" s="32"/>
      <c r="I1274" s="32"/>
    </row>
    <row r="1275" spans="2:9" x14ac:dyDescent="0.25">
      <c r="B1275" s="31"/>
      <c r="F1275" s="32"/>
      <c r="I1275" s="32"/>
    </row>
    <row r="1276" spans="2:9" x14ac:dyDescent="0.25">
      <c r="B1276" s="31"/>
      <c r="F1276" s="32"/>
      <c r="I1276" s="32"/>
    </row>
    <row r="1277" spans="2:9" x14ac:dyDescent="0.25">
      <c r="B1277" s="31"/>
      <c r="F1277" s="32"/>
      <c r="I1277" s="32"/>
    </row>
    <row r="1278" spans="2:9" x14ac:dyDescent="0.25">
      <c r="B1278" s="31"/>
      <c r="F1278" s="32"/>
      <c r="I1278" s="32"/>
    </row>
    <row r="1279" spans="2:9" x14ac:dyDescent="0.25">
      <c r="B1279" s="31"/>
      <c r="F1279" s="32"/>
      <c r="I1279" s="32"/>
    </row>
    <row r="1280" spans="2:9" x14ac:dyDescent="0.25">
      <c r="B1280" s="31"/>
      <c r="F1280" s="32"/>
      <c r="I1280" s="32"/>
    </row>
    <row r="1281" spans="2:9" x14ac:dyDescent="0.25">
      <c r="B1281" s="31"/>
      <c r="F1281" s="32"/>
      <c r="I1281" s="32"/>
    </row>
    <row r="1282" spans="2:9" x14ac:dyDescent="0.25">
      <c r="B1282" s="31"/>
      <c r="F1282" s="32"/>
      <c r="I1282" s="32"/>
    </row>
    <row r="1283" spans="2:9" x14ac:dyDescent="0.25">
      <c r="B1283" s="31"/>
      <c r="F1283" s="32"/>
      <c r="I1283" s="32"/>
    </row>
    <row r="1284" spans="2:9" x14ac:dyDescent="0.25">
      <c r="B1284" s="31"/>
      <c r="F1284" s="32"/>
      <c r="I1284" s="32"/>
    </row>
    <row r="1285" spans="2:9" x14ac:dyDescent="0.25">
      <c r="B1285" s="31"/>
      <c r="F1285" s="32"/>
      <c r="I1285" s="32"/>
    </row>
    <row r="1286" spans="2:9" x14ac:dyDescent="0.25">
      <c r="B1286" s="31"/>
      <c r="F1286" s="32"/>
      <c r="I1286" s="32"/>
    </row>
    <row r="1287" spans="2:9" x14ac:dyDescent="0.25">
      <c r="B1287" s="31"/>
      <c r="F1287" s="32"/>
      <c r="I1287" s="32"/>
    </row>
    <row r="1288" spans="2:9" x14ac:dyDescent="0.25">
      <c r="B1288" s="31"/>
      <c r="F1288" s="32"/>
      <c r="I1288" s="32"/>
    </row>
    <row r="1289" spans="2:9" x14ac:dyDescent="0.25">
      <c r="B1289" s="31"/>
      <c r="F1289" s="32"/>
      <c r="I1289" s="32"/>
    </row>
    <row r="1290" spans="2:9" x14ac:dyDescent="0.25">
      <c r="B1290" s="31"/>
      <c r="F1290" s="32"/>
      <c r="I1290" s="32"/>
    </row>
    <row r="1291" spans="2:9" x14ac:dyDescent="0.25">
      <c r="B1291" s="31"/>
      <c r="F1291" s="32"/>
      <c r="I1291" s="32"/>
    </row>
    <row r="1292" spans="2:9" x14ac:dyDescent="0.25">
      <c r="B1292" s="31"/>
      <c r="F1292" s="32"/>
      <c r="I1292" s="32"/>
    </row>
    <row r="1293" spans="2:9" x14ac:dyDescent="0.25">
      <c r="B1293" s="31"/>
      <c r="F1293" s="32"/>
      <c r="I1293" s="32"/>
    </row>
    <row r="1294" spans="2:9" x14ac:dyDescent="0.25">
      <c r="B1294" s="31"/>
      <c r="F1294" s="32"/>
      <c r="I1294" s="32"/>
    </row>
    <row r="1295" spans="2:9" x14ac:dyDescent="0.25">
      <c r="B1295" s="31"/>
      <c r="F1295" s="32"/>
      <c r="I1295" s="32"/>
    </row>
    <row r="1296" spans="2:9" x14ac:dyDescent="0.25">
      <c r="B1296" s="31"/>
      <c r="F1296" s="32"/>
      <c r="I1296" s="32"/>
    </row>
    <row r="1297" spans="2:9" x14ac:dyDescent="0.25">
      <c r="B1297" s="31"/>
      <c r="F1297" s="32"/>
      <c r="I1297" s="32"/>
    </row>
    <row r="1298" spans="2:9" x14ac:dyDescent="0.25">
      <c r="B1298" s="31"/>
      <c r="F1298" s="32"/>
      <c r="I1298" s="32"/>
    </row>
    <row r="1299" spans="2:9" x14ac:dyDescent="0.25">
      <c r="B1299" s="31"/>
      <c r="F1299" s="32"/>
      <c r="I1299" s="32"/>
    </row>
    <row r="1300" spans="2:9" x14ac:dyDescent="0.25">
      <c r="B1300" s="31"/>
      <c r="F1300" s="32"/>
      <c r="I1300" s="32"/>
    </row>
    <row r="1301" spans="2:9" x14ac:dyDescent="0.25">
      <c r="B1301" s="31"/>
      <c r="F1301" s="32"/>
      <c r="I1301" s="32"/>
    </row>
    <row r="1302" spans="2:9" x14ac:dyDescent="0.25">
      <c r="B1302" s="31"/>
      <c r="F1302" s="32"/>
      <c r="I1302" s="32"/>
    </row>
    <row r="1303" spans="2:9" x14ac:dyDescent="0.25">
      <c r="B1303" s="31"/>
      <c r="F1303" s="32"/>
      <c r="I1303" s="32"/>
    </row>
    <row r="1304" spans="2:9" x14ac:dyDescent="0.25">
      <c r="B1304" s="31"/>
      <c r="F1304" s="32"/>
      <c r="I1304" s="32"/>
    </row>
    <row r="1305" spans="2:9" x14ac:dyDescent="0.25">
      <c r="B1305" s="31"/>
      <c r="F1305" s="32"/>
      <c r="I1305" s="32"/>
    </row>
    <row r="1306" spans="2:9" x14ac:dyDescent="0.25">
      <c r="B1306" s="31"/>
      <c r="F1306" s="32"/>
      <c r="I1306" s="32"/>
    </row>
    <row r="1307" spans="2:9" x14ac:dyDescent="0.25">
      <c r="B1307" s="31"/>
      <c r="F1307" s="32"/>
      <c r="I1307" s="32"/>
    </row>
    <row r="1308" spans="2:9" x14ac:dyDescent="0.25">
      <c r="B1308" s="31"/>
      <c r="F1308" s="32"/>
      <c r="I1308" s="32"/>
    </row>
    <row r="1309" spans="2:9" x14ac:dyDescent="0.25">
      <c r="B1309" s="31"/>
      <c r="F1309" s="32"/>
      <c r="I1309" s="32"/>
    </row>
    <row r="1310" spans="2:9" x14ac:dyDescent="0.25">
      <c r="B1310" s="31"/>
      <c r="F1310" s="32"/>
      <c r="I1310" s="32"/>
    </row>
    <row r="1311" spans="2:9" x14ac:dyDescent="0.25">
      <c r="B1311" s="31"/>
      <c r="F1311" s="32"/>
      <c r="I1311" s="32"/>
    </row>
    <row r="1312" spans="2:9" x14ac:dyDescent="0.25">
      <c r="B1312" s="31"/>
      <c r="F1312" s="32"/>
      <c r="I1312" s="32"/>
    </row>
    <row r="1313" spans="2:9" x14ac:dyDescent="0.25">
      <c r="B1313" s="31"/>
      <c r="F1313" s="32"/>
      <c r="I1313" s="32"/>
    </row>
    <row r="1314" spans="2:9" x14ac:dyDescent="0.25">
      <c r="B1314" s="31"/>
      <c r="F1314" s="32"/>
      <c r="I1314" s="32"/>
    </row>
    <row r="1315" spans="2:9" x14ac:dyDescent="0.25">
      <c r="B1315" s="31"/>
      <c r="F1315" s="32"/>
      <c r="I1315" s="32"/>
    </row>
    <row r="1316" spans="2:9" x14ac:dyDescent="0.25">
      <c r="B1316" s="31"/>
      <c r="F1316" s="32"/>
      <c r="I1316" s="32"/>
    </row>
    <row r="1317" spans="2:9" x14ac:dyDescent="0.25">
      <c r="B1317" s="31"/>
      <c r="F1317" s="32"/>
      <c r="I1317" s="32"/>
    </row>
    <row r="1318" spans="2:9" x14ac:dyDescent="0.25">
      <c r="B1318" s="31"/>
      <c r="F1318" s="32"/>
      <c r="I1318" s="32"/>
    </row>
    <row r="1319" spans="2:9" x14ac:dyDescent="0.25">
      <c r="B1319" s="31"/>
      <c r="F1319" s="32"/>
      <c r="I1319" s="32"/>
    </row>
    <row r="1320" spans="2:9" x14ac:dyDescent="0.25">
      <c r="B1320" s="31"/>
      <c r="F1320" s="32"/>
      <c r="I1320" s="32"/>
    </row>
    <row r="1321" spans="2:9" x14ac:dyDescent="0.25">
      <c r="B1321" s="31"/>
      <c r="F1321" s="32"/>
      <c r="I1321" s="32"/>
    </row>
    <row r="1322" spans="2:9" x14ac:dyDescent="0.25">
      <c r="B1322" s="31"/>
      <c r="F1322" s="32"/>
      <c r="I1322" s="32"/>
    </row>
    <row r="1323" spans="2:9" x14ac:dyDescent="0.25">
      <c r="B1323" s="31"/>
      <c r="F1323" s="32"/>
      <c r="I1323" s="32"/>
    </row>
    <row r="1324" spans="2:9" x14ac:dyDescent="0.25">
      <c r="B1324" s="31"/>
      <c r="F1324" s="32"/>
      <c r="I1324" s="32"/>
    </row>
    <row r="1325" spans="2:9" x14ac:dyDescent="0.25">
      <c r="B1325" s="31"/>
      <c r="F1325" s="32"/>
      <c r="I1325" s="32"/>
    </row>
    <row r="1326" spans="2:9" x14ac:dyDescent="0.25">
      <c r="B1326" s="31"/>
      <c r="F1326" s="32"/>
      <c r="I1326" s="32"/>
    </row>
    <row r="1327" spans="2:9" x14ac:dyDescent="0.25">
      <c r="B1327" s="31"/>
      <c r="F1327" s="32"/>
      <c r="I1327" s="32"/>
    </row>
    <row r="1328" spans="2:9" x14ac:dyDescent="0.25">
      <c r="B1328" s="31"/>
      <c r="F1328" s="32"/>
      <c r="I1328" s="32"/>
    </row>
    <row r="1329" spans="2:9" x14ac:dyDescent="0.25">
      <c r="B1329" s="31"/>
      <c r="F1329" s="32"/>
      <c r="I1329" s="32"/>
    </row>
    <row r="1330" spans="2:9" x14ac:dyDescent="0.25">
      <c r="B1330" s="31"/>
      <c r="F1330" s="32"/>
      <c r="I1330" s="32"/>
    </row>
    <row r="1331" spans="2:9" x14ac:dyDescent="0.25">
      <c r="B1331" s="31"/>
      <c r="F1331" s="32"/>
      <c r="I1331" s="32"/>
    </row>
    <row r="1332" spans="2:9" x14ac:dyDescent="0.25">
      <c r="B1332" s="31"/>
      <c r="F1332" s="32"/>
      <c r="I1332" s="32"/>
    </row>
    <row r="1333" spans="2:9" x14ac:dyDescent="0.25">
      <c r="B1333" s="31"/>
      <c r="F1333" s="32"/>
      <c r="I1333" s="32"/>
    </row>
    <row r="1334" spans="2:9" x14ac:dyDescent="0.25">
      <c r="B1334" s="31"/>
      <c r="F1334" s="32"/>
      <c r="I1334" s="32"/>
    </row>
    <row r="1335" spans="2:9" x14ac:dyDescent="0.25">
      <c r="B1335" s="31"/>
      <c r="F1335" s="32"/>
      <c r="I1335" s="32"/>
    </row>
    <row r="1336" spans="2:9" x14ac:dyDescent="0.25">
      <c r="B1336" s="31"/>
      <c r="F1336" s="32"/>
      <c r="I1336" s="32"/>
    </row>
    <row r="1337" spans="2:9" x14ac:dyDescent="0.25">
      <c r="B1337" s="31"/>
      <c r="F1337" s="32"/>
      <c r="I1337" s="32"/>
    </row>
    <row r="1338" spans="2:9" x14ac:dyDescent="0.25">
      <c r="B1338" s="31"/>
      <c r="F1338" s="32"/>
      <c r="I1338" s="32"/>
    </row>
    <row r="1339" spans="2:9" x14ac:dyDescent="0.25">
      <c r="B1339" s="31"/>
      <c r="F1339" s="32"/>
      <c r="I1339" s="32"/>
    </row>
    <row r="1340" spans="2:9" x14ac:dyDescent="0.25">
      <c r="B1340" s="31"/>
      <c r="F1340" s="32"/>
      <c r="I1340" s="32"/>
    </row>
    <row r="1341" spans="2:9" x14ac:dyDescent="0.25">
      <c r="B1341" s="31"/>
      <c r="F1341" s="32"/>
      <c r="I1341" s="32"/>
    </row>
    <row r="1342" spans="2:9" x14ac:dyDescent="0.25">
      <c r="B1342" s="31"/>
      <c r="F1342" s="32"/>
      <c r="I1342" s="32"/>
    </row>
    <row r="1343" spans="2:9" x14ac:dyDescent="0.25">
      <c r="B1343" s="31"/>
      <c r="F1343" s="32"/>
      <c r="I1343" s="32"/>
    </row>
    <row r="1344" spans="2:9" x14ac:dyDescent="0.25">
      <c r="B1344" s="31"/>
      <c r="F1344" s="32"/>
      <c r="I1344" s="32"/>
    </row>
    <row r="1345" spans="2:9" x14ac:dyDescent="0.25">
      <c r="B1345" s="31"/>
      <c r="F1345" s="32"/>
      <c r="I1345" s="32"/>
    </row>
    <row r="1346" spans="2:9" x14ac:dyDescent="0.25">
      <c r="B1346" s="31"/>
      <c r="F1346" s="32"/>
      <c r="I1346" s="32"/>
    </row>
    <row r="1347" spans="2:9" x14ac:dyDescent="0.25">
      <c r="B1347" s="31"/>
      <c r="F1347" s="32"/>
      <c r="I1347" s="32"/>
    </row>
    <row r="1348" spans="2:9" x14ac:dyDescent="0.25">
      <c r="B1348" s="31"/>
      <c r="F1348" s="32"/>
      <c r="I1348" s="32"/>
    </row>
    <row r="1349" spans="2:9" x14ac:dyDescent="0.25">
      <c r="B1349" s="31"/>
      <c r="F1349" s="32"/>
      <c r="I1349" s="32"/>
    </row>
    <row r="1350" spans="2:9" x14ac:dyDescent="0.25">
      <c r="B1350" s="31"/>
      <c r="F1350" s="32"/>
      <c r="I1350" s="32"/>
    </row>
    <row r="1351" spans="2:9" x14ac:dyDescent="0.25">
      <c r="B1351" s="31"/>
      <c r="F1351" s="32"/>
      <c r="I1351" s="32"/>
    </row>
    <row r="1352" spans="2:9" x14ac:dyDescent="0.25">
      <c r="B1352" s="31"/>
      <c r="F1352" s="32"/>
      <c r="I1352" s="32"/>
    </row>
    <row r="1353" spans="2:9" x14ac:dyDescent="0.25">
      <c r="B1353" s="31"/>
      <c r="F1353" s="32"/>
      <c r="I1353" s="32"/>
    </row>
    <row r="1354" spans="2:9" x14ac:dyDescent="0.25">
      <c r="B1354" s="31"/>
      <c r="F1354" s="32"/>
      <c r="I1354" s="32"/>
    </row>
    <row r="1355" spans="2:9" x14ac:dyDescent="0.25">
      <c r="B1355" s="31"/>
      <c r="F1355" s="32"/>
      <c r="I1355" s="32"/>
    </row>
    <row r="1356" spans="2:9" x14ac:dyDescent="0.25">
      <c r="B1356" s="31"/>
      <c r="F1356" s="32"/>
      <c r="I1356" s="32"/>
    </row>
    <row r="1357" spans="2:9" x14ac:dyDescent="0.25">
      <c r="B1357" s="31"/>
      <c r="F1357" s="32"/>
      <c r="I1357" s="32"/>
    </row>
    <row r="1358" spans="2:9" x14ac:dyDescent="0.25">
      <c r="B1358" s="31"/>
      <c r="F1358" s="32"/>
      <c r="I1358" s="32"/>
    </row>
    <row r="1359" spans="2:9" x14ac:dyDescent="0.25">
      <c r="B1359" s="31"/>
      <c r="F1359" s="32"/>
      <c r="I1359" s="32"/>
    </row>
    <row r="1360" spans="2:9" x14ac:dyDescent="0.25">
      <c r="B1360" s="31"/>
      <c r="F1360" s="32"/>
      <c r="I1360" s="32"/>
    </row>
    <row r="1361" spans="2:9" x14ac:dyDescent="0.25">
      <c r="B1361" s="31"/>
      <c r="F1361" s="32"/>
      <c r="I1361" s="32"/>
    </row>
    <row r="1362" spans="2:9" x14ac:dyDescent="0.25">
      <c r="B1362" s="31"/>
      <c r="F1362" s="32"/>
      <c r="I1362" s="32"/>
    </row>
    <row r="1363" spans="2:9" x14ac:dyDescent="0.25">
      <c r="B1363" s="31"/>
      <c r="F1363" s="32"/>
      <c r="I1363" s="32"/>
    </row>
    <row r="1364" spans="2:9" x14ac:dyDescent="0.25">
      <c r="B1364" s="31"/>
      <c r="F1364" s="32"/>
      <c r="I1364" s="32"/>
    </row>
    <row r="1365" spans="2:9" x14ac:dyDescent="0.25">
      <c r="B1365" s="31"/>
      <c r="F1365" s="32"/>
      <c r="I1365" s="32"/>
    </row>
    <row r="1366" spans="2:9" x14ac:dyDescent="0.25">
      <c r="B1366" s="31"/>
      <c r="F1366" s="32"/>
      <c r="I1366" s="32"/>
    </row>
    <row r="1367" spans="2:9" x14ac:dyDescent="0.25">
      <c r="B1367" s="31"/>
      <c r="F1367" s="32"/>
      <c r="I1367" s="32"/>
    </row>
    <row r="1368" spans="2:9" x14ac:dyDescent="0.25">
      <c r="B1368" s="31"/>
      <c r="F1368" s="32"/>
      <c r="I1368" s="32"/>
    </row>
    <row r="1369" spans="2:9" x14ac:dyDescent="0.25">
      <c r="B1369" s="31"/>
      <c r="F1369" s="32"/>
      <c r="I1369" s="32"/>
    </row>
    <row r="1370" spans="2:9" x14ac:dyDescent="0.25">
      <c r="B1370" s="31"/>
      <c r="F1370" s="32"/>
      <c r="I1370" s="32"/>
    </row>
    <row r="1371" spans="2:9" x14ac:dyDescent="0.25">
      <c r="B1371" s="31"/>
      <c r="F1371" s="32"/>
      <c r="I1371" s="32"/>
    </row>
    <row r="1372" spans="2:9" x14ac:dyDescent="0.25">
      <c r="B1372" s="31"/>
      <c r="F1372" s="32"/>
      <c r="I1372" s="32"/>
    </row>
    <row r="1373" spans="2:9" x14ac:dyDescent="0.25">
      <c r="B1373" s="31"/>
      <c r="F1373" s="32"/>
      <c r="I1373" s="32"/>
    </row>
    <row r="1374" spans="2:9" x14ac:dyDescent="0.25">
      <c r="B1374" s="31"/>
      <c r="F1374" s="32"/>
      <c r="I1374" s="32"/>
    </row>
    <row r="1375" spans="2:9" x14ac:dyDescent="0.25">
      <c r="B1375" s="31"/>
      <c r="F1375" s="32"/>
      <c r="I1375" s="32"/>
    </row>
    <row r="1376" spans="2:9" x14ac:dyDescent="0.25">
      <c r="B1376" s="31"/>
      <c r="F1376" s="32"/>
      <c r="I1376" s="32"/>
    </row>
    <row r="1377" spans="2:9" x14ac:dyDescent="0.25">
      <c r="B1377" s="31"/>
      <c r="F1377" s="32"/>
      <c r="I1377" s="32"/>
    </row>
    <row r="1378" spans="2:9" x14ac:dyDescent="0.25">
      <c r="B1378" s="31"/>
      <c r="F1378" s="32"/>
      <c r="I1378" s="32"/>
    </row>
    <row r="1379" spans="2:9" x14ac:dyDescent="0.25">
      <c r="B1379" s="31"/>
      <c r="F1379" s="32"/>
      <c r="I1379" s="32"/>
    </row>
    <row r="1380" spans="2:9" x14ac:dyDescent="0.25">
      <c r="B1380" s="31"/>
      <c r="F1380" s="32"/>
      <c r="I1380" s="32"/>
    </row>
    <row r="1381" spans="2:9" x14ac:dyDescent="0.25">
      <c r="B1381" s="31"/>
      <c r="F1381" s="32"/>
      <c r="I1381" s="32"/>
    </row>
    <row r="1382" spans="2:9" x14ac:dyDescent="0.25">
      <c r="B1382" s="31"/>
      <c r="F1382" s="32"/>
      <c r="I1382" s="32"/>
    </row>
    <row r="1383" spans="2:9" x14ac:dyDescent="0.25">
      <c r="B1383" s="31"/>
      <c r="F1383" s="32"/>
      <c r="I1383" s="32"/>
    </row>
    <row r="1384" spans="2:9" x14ac:dyDescent="0.25">
      <c r="B1384" s="31"/>
      <c r="F1384" s="32"/>
      <c r="I1384" s="32"/>
    </row>
    <row r="1385" spans="2:9" x14ac:dyDescent="0.25">
      <c r="B1385" s="31"/>
      <c r="F1385" s="32"/>
      <c r="I1385" s="32"/>
    </row>
    <row r="1386" spans="2:9" x14ac:dyDescent="0.25">
      <c r="B1386" s="31"/>
      <c r="F1386" s="32"/>
      <c r="I1386" s="32"/>
    </row>
    <row r="1387" spans="2:9" x14ac:dyDescent="0.25">
      <c r="B1387" s="31"/>
      <c r="F1387" s="32"/>
      <c r="I1387" s="32"/>
    </row>
    <row r="1388" spans="2:9" x14ac:dyDescent="0.25">
      <c r="B1388" s="31"/>
      <c r="F1388" s="32"/>
      <c r="I1388" s="32"/>
    </row>
    <row r="1389" spans="2:9" x14ac:dyDescent="0.25">
      <c r="B1389" s="31"/>
      <c r="F1389" s="32"/>
      <c r="I1389" s="32"/>
    </row>
    <row r="1390" spans="2:9" x14ac:dyDescent="0.25">
      <c r="B1390" s="31"/>
      <c r="F1390" s="32"/>
      <c r="I1390" s="32"/>
    </row>
    <row r="1391" spans="2:9" x14ac:dyDescent="0.25">
      <c r="B1391" s="31"/>
      <c r="F1391" s="32"/>
      <c r="I1391" s="32"/>
    </row>
    <row r="1392" spans="2:9" x14ac:dyDescent="0.25">
      <c r="B1392" s="31"/>
      <c r="F1392" s="32"/>
      <c r="I1392" s="32"/>
    </row>
    <row r="1393" spans="2:9" x14ac:dyDescent="0.25">
      <c r="B1393" s="31"/>
      <c r="F1393" s="32"/>
      <c r="I1393" s="32"/>
    </row>
    <row r="1394" spans="2:9" x14ac:dyDescent="0.25">
      <c r="B1394" s="31"/>
      <c r="F1394" s="32"/>
      <c r="I1394" s="32"/>
    </row>
    <row r="1395" spans="2:9" x14ac:dyDescent="0.25">
      <c r="B1395" s="31"/>
      <c r="F1395" s="32"/>
      <c r="I1395" s="32"/>
    </row>
    <row r="1396" spans="2:9" x14ac:dyDescent="0.25">
      <c r="B1396" s="31"/>
      <c r="F1396" s="32"/>
      <c r="I1396" s="32"/>
    </row>
    <row r="1397" spans="2:9" x14ac:dyDescent="0.25">
      <c r="B1397" s="31"/>
      <c r="F1397" s="32"/>
      <c r="I1397" s="32"/>
    </row>
    <row r="1398" spans="2:9" x14ac:dyDescent="0.25">
      <c r="B1398" s="31"/>
      <c r="F1398" s="32"/>
      <c r="I1398" s="32"/>
    </row>
    <row r="1399" spans="2:9" x14ac:dyDescent="0.25">
      <c r="B1399" s="31"/>
      <c r="F1399" s="32"/>
      <c r="I1399" s="32"/>
    </row>
    <row r="1400" spans="2:9" x14ac:dyDescent="0.25">
      <c r="B1400" s="31"/>
      <c r="F1400" s="32"/>
      <c r="I1400" s="32"/>
    </row>
    <row r="1401" spans="2:9" x14ac:dyDescent="0.25">
      <c r="B1401" s="31"/>
      <c r="F1401" s="32"/>
      <c r="I1401" s="32"/>
    </row>
    <row r="1402" spans="2:9" x14ac:dyDescent="0.25">
      <c r="B1402" s="31"/>
      <c r="F1402" s="32"/>
      <c r="I1402" s="32"/>
    </row>
    <row r="1403" spans="2:9" x14ac:dyDescent="0.25">
      <c r="B1403" s="31"/>
      <c r="F1403" s="32"/>
      <c r="I1403" s="32"/>
    </row>
    <row r="1404" spans="2:9" x14ac:dyDescent="0.25">
      <c r="B1404" s="31"/>
      <c r="F1404" s="32"/>
      <c r="I1404" s="32"/>
    </row>
    <row r="1405" spans="2:9" x14ac:dyDescent="0.25">
      <c r="B1405" s="31"/>
      <c r="F1405" s="32"/>
      <c r="I1405" s="32"/>
    </row>
    <row r="1406" spans="2:9" x14ac:dyDescent="0.25">
      <c r="B1406" s="31"/>
      <c r="F1406" s="32"/>
      <c r="I1406" s="32"/>
    </row>
    <row r="1407" spans="2:9" x14ac:dyDescent="0.25">
      <c r="B1407" s="31"/>
      <c r="F1407" s="32"/>
      <c r="I1407" s="32"/>
    </row>
    <row r="1408" spans="2:9" x14ac:dyDescent="0.25">
      <c r="B1408" s="31"/>
      <c r="F1408" s="32"/>
      <c r="I1408" s="32"/>
    </row>
    <row r="1409" spans="2:9" x14ac:dyDescent="0.25">
      <c r="B1409" s="31"/>
      <c r="F1409" s="32"/>
      <c r="I1409" s="32"/>
    </row>
    <row r="1410" spans="2:9" x14ac:dyDescent="0.25">
      <c r="B1410" s="31"/>
      <c r="F1410" s="32"/>
      <c r="I1410" s="32"/>
    </row>
    <row r="1411" spans="2:9" x14ac:dyDescent="0.25">
      <c r="B1411" s="31"/>
      <c r="F1411" s="32"/>
      <c r="I1411" s="32"/>
    </row>
    <row r="1412" spans="2:9" x14ac:dyDescent="0.25">
      <c r="B1412" s="31"/>
      <c r="F1412" s="32"/>
      <c r="I1412" s="32"/>
    </row>
    <row r="1413" spans="2:9" x14ac:dyDescent="0.25">
      <c r="B1413" s="31"/>
      <c r="F1413" s="32"/>
      <c r="I1413" s="32"/>
    </row>
    <row r="1414" spans="2:9" x14ac:dyDescent="0.25">
      <c r="B1414" s="31"/>
      <c r="F1414" s="32"/>
      <c r="I1414" s="32"/>
    </row>
    <row r="1415" spans="2:9" x14ac:dyDescent="0.25">
      <c r="B1415" s="31"/>
      <c r="F1415" s="32"/>
      <c r="I1415" s="32"/>
    </row>
    <row r="1416" spans="2:9" x14ac:dyDescent="0.25">
      <c r="B1416" s="31"/>
      <c r="F1416" s="32"/>
      <c r="I1416" s="32"/>
    </row>
    <row r="1417" spans="2:9" x14ac:dyDescent="0.25">
      <c r="B1417" s="31"/>
      <c r="F1417" s="32"/>
      <c r="I1417" s="32"/>
    </row>
    <row r="1418" spans="2:9" x14ac:dyDescent="0.25">
      <c r="B1418" s="31"/>
      <c r="F1418" s="32"/>
      <c r="I1418" s="32"/>
    </row>
    <row r="1419" spans="2:9" x14ac:dyDescent="0.25">
      <c r="B1419" s="31"/>
      <c r="F1419" s="32"/>
      <c r="I1419" s="32"/>
    </row>
    <row r="1420" spans="2:9" x14ac:dyDescent="0.25">
      <c r="B1420" s="31"/>
      <c r="F1420" s="32"/>
      <c r="I1420" s="32"/>
    </row>
    <row r="1421" spans="2:9" x14ac:dyDescent="0.25">
      <c r="B1421" s="31"/>
      <c r="F1421" s="32"/>
      <c r="I1421" s="32"/>
    </row>
    <row r="1422" spans="2:9" x14ac:dyDescent="0.25">
      <c r="B1422" s="31"/>
      <c r="F1422" s="32"/>
      <c r="I1422" s="32"/>
    </row>
    <row r="1423" spans="2:9" x14ac:dyDescent="0.25">
      <c r="B1423" s="31"/>
      <c r="F1423" s="32"/>
      <c r="I1423" s="32"/>
    </row>
    <row r="1424" spans="2:9" x14ac:dyDescent="0.25">
      <c r="B1424" s="31"/>
      <c r="F1424" s="32"/>
      <c r="I1424" s="32"/>
    </row>
    <row r="1425" spans="2:9" x14ac:dyDescent="0.25">
      <c r="B1425" s="31"/>
      <c r="F1425" s="32"/>
      <c r="I1425" s="32"/>
    </row>
    <row r="1426" spans="2:9" x14ac:dyDescent="0.25">
      <c r="B1426" s="31"/>
      <c r="F1426" s="32"/>
      <c r="I1426" s="32"/>
    </row>
    <row r="1427" spans="2:9" x14ac:dyDescent="0.25">
      <c r="B1427" s="31"/>
      <c r="F1427" s="32"/>
      <c r="I1427" s="32"/>
    </row>
    <row r="1428" spans="2:9" x14ac:dyDescent="0.25">
      <c r="B1428" s="31"/>
      <c r="F1428" s="32"/>
      <c r="I1428" s="32"/>
    </row>
    <row r="1429" spans="2:9" x14ac:dyDescent="0.25">
      <c r="B1429" s="31"/>
      <c r="F1429" s="32"/>
      <c r="I1429" s="32"/>
    </row>
    <row r="1430" spans="2:9" x14ac:dyDescent="0.25">
      <c r="B1430" s="31"/>
      <c r="F1430" s="32"/>
      <c r="I1430" s="32"/>
    </row>
    <row r="1431" spans="2:9" x14ac:dyDescent="0.25">
      <c r="B1431" s="31"/>
      <c r="F1431" s="32"/>
      <c r="I1431" s="32"/>
    </row>
    <row r="1432" spans="2:9" x14ac:dyDescent="0.25">
      <c r="B1432" s="31"/>
      <c r="F1432" s="32"/>
      <c r="I1432" s="32"/>
    </row>
    <row r="1433" spans="2:9" x14ac:dyDescent="0.25">
      <c r="B1433" s="31"/>
      <c r="F1433" s="32"/>
      <c r="I1433" s="32"/>
    </row>
    <row r="1434" spans="2:9" x14ac:dyDescent="0.25">
      <c r="B1434" s="31"/>
      <c r="F1434" s="32"/>
      <c r="I1434" s="32"/>
    </row>
    <row r="1435" spans="2:9" x14ac:dyDescent="0.25">
      <c r="B1435" s="31"/>
      <c r="F1435" s="32"/>
      <c r="I1435" s="32"/>
    </row>
    <row r="1436" spans="2:9" x14ac:dyDescent="0.25">
      <c r="B1436" s="31"/>
      <c r="F1436" s="32"/>
      <c r="I1436" s="32"/>
    </row>
    <row r="1437" spans="2:9" x14ac:dyDescent="0.25">
      <c r="B1437" s="31"/>
      <c r="F1437" s="32"/>
      <c r="I1437" s="32"/>
    </row>
    <row r="1438" spans="2:9" x14ac:dyDescent="0.25">
      <c r="B1438" s="31"/>
      <c r="F1438" s="32"/>
      <c r="I1438" s="32"/>
    </row>
    <row r="1439" spans="2:9" x14ac:dyDescent="0.25">
      <c r="B1439" s="31"/>
      <c r="F1439" s="32"/>
      <c r="I1439" s="32"/>
    </row>
    <row r="1440" spans="2:9" x14ac:dyDescent="0.25">
      <c r="B1440" s="31"/>
      <c r="F1440" s="32"/>
      <c r="I1440" s="32"/>
    </row>
    <row r="1441" spans="2:9" x14ac:dyDescent="0.25">
      <c r="B1441" s="31"/>
      <c r="F1441" s="32"/>
      <c r="I1441" s="32"/>
    </row>
    <row r="1442" spans="2:9" x14ac:dyDescent="0.25">
      <c r="B1442" s="31"/>
      <c r="F1442" s="32"/>
      <c r="I1442" s="32"/>
    </row>
    <row r="1443" spans="2:9" x14ac:dyDescent="0.25">
      <c r="B1443" s="31"/>
      <c r="F1443" s="32"/>
      <c r="I1443" s="32"/>
    </row>
    <row r="1444" spans="2:9" x14ac:dyDescent="0.25">
      <c r="B1444" s="31"/>
      <c r="F1444" s="32"/>
      <c r="I1444" s="32"/>
    </row>
    <row r="1445" spans="2:9" x14ac:dyDescent="0.25">
      <c r="B1445" s="31"/>
      <c r="F1445" s="32"/>
      <c r="I1445" s="32"/>
    </row>
    <row r="1446" spans="2:9" x14ac:dyDescent="0.25">
      <c r="B1446" s="31"/>
      <c r="F1446" s="32"/>
      <c r="I1446" s="32"/>
    </row>
    <row r="1447" spans="2:9" x14ac:dyDescent="0.25">
      <c r="B1447" s="31"/>
      <c r="F1447" s="32"/>
      <c r="I1447" s="32"/>
    </row>
    <row r="1448" spans="2:9" x14ac:dyDescent="0.25">
      <c r="B1448" s="31"/>
      <c r="F1448" s="32"/>
      <c r="I1448" s="32"/>
    </row>
    <row r="1449" spans="2:9" x14ac:dyDescent="0.25">
      <c r="B1449" s="31"/>
      <c r="F1449" s="32"/>
      <c r="I1449" s="32"/>
    </row>
    <row r="1450" spans="2:9" x14ac:dyDescent="0.25">
      <c r="B1450" s="31"/>
      <c r="F1450" s="32"/>
      <c r="I1450" s="32"/>
    </row>
    <row r="1451" spans="2:9" x14ac:dyDescent="0.25">
      <c r="B1451" s="31"/>
      <c r="F1451" s="32"/>
      <c r="I1451" s="32"/>
    </row>
    <row r="1452" spans="2:9" x14ac:dyDescent="0.25">
      <c r="B1452" s="31"/>
      <c r="F1452" s="32"/>
      <c r="I1452" s="32"/>
    </row>
    <row r="1453" spans="2:9" x14ac:dyDescent="0.25">
      <c r="B1453" s="31"/>
      <c r="F1453" s="32"/>
      <c r="I1453" s="32"/>
    </row>
    <row r="1454" spans="2:9" x14ac:dyDescent="0.25">
      <c r="B1454" s="31"/>
      <c r="F1454" s="32"/>
      <c r="I1454" s="32"/>
    </row>
    <row r="1455" spans="2:9" x14ac:dyDescent="0.25">
      <c r="B1455" s="31"/>
      <c r="F1455" s="32"/>
      <c r="I1455" s="32"/>
    </row>
    <row r="1456" spans="2:9" x14ac:dyDescent="0.25">
      <c r="B1456" s="31"/>
      <c r="F1456" s="32"/>
      <c r="I1456" s="32"/>
    </row>
    <row r="1457" spans="2:9" x14ac:dyDescent="0.25">
      <c r="B1457" s="31"/>
      <c r="F1457" s="32"/>
      <c r="I1457" s="32"/>
    </row>
    <row r="1458" spans="2:9" x14ac:dyDescent="0.25">
      <c r="B1458" s="31"/>
      <c r="F1458" s="32"/>
      <c r="I1458" s="32"/>
    </row>
    <row r="1459" spans="2:9" x14ac:dyDescent="0.25">
      <c r="B1459" s="31"/>
      <c r="F1459" s="32"/>
      <c r="I1459" s="32"/>
    </row>
    <row r="1460" spans="2:9" x14ac:dyDescent="0.25">
      <c r="B1460" s="31"/>
      <c r="F1460" s="32"/>
      <c r="I1460" s="32"/>
    </row>
    <row r="1461" spans="2:9" x14ac:dyDescent="0.25">
      <c r="B1461" s="31"/>
      <c r="F1461" s="32"/>
      <c r="I1461" s="32"/>
    </row>
    <row r="1462" spans="2:9" x14ac:dyDescent="0.25">
      <c r="B1462" s="31"/>
      <c r="F1462" s="32"/>
      <c r="I1462" s="32"/>
    </row>
    <row r="1463" spans="2:9" x14ac:dyDescent="0.25">
      <c r="B1463" s="31"/>
      <c r="F1463" s="32"/>
      <c r="I1463" s="32"/>
    </row>
    <row r="1464" spans="2:9" x14ac:dyDescent="0.25">
      <c r="B1464" s="31"/>
      <c r="F1464" s="32"/>
      <c r="I1464" s="32"/>
    </row>
    <row r="1465" spans="2:9" x14ac:dyDescent="0.25">
      <c r="B1465" s="31"/>
      <c r="F1465" s="32"/>
      <c r="I1465" s="32"/>
    </row>
    <row r="1466" spans="2:9" x14ac:dyDescent="0.25">
      <c r="B1466" s="31"/>
      <c r="F1466" s="32"/>
      <c r="I1466" s="32"/>
    </row>
    <row r="1467" spans="2:9" x14ac:dyDescent="0.25">
      <c r="B1467" s="31"/>
      <c r="F1467" s="32"/>
      <c r="I1467" s="32"/>
    </row>
    <row r="1468" spans="2:9" x14ac:dyDescent="0.25">
      <c r="B1468" s="31"/>
      <c r="F1468" s="32"/>
      <c r="I1468" s="32"/>
    </row>
    <row r="1469" spans="2:9" x14ac:dyDescent="0.25">
      <c r="B1469" s="31"/>
      <c r="F1469" s="32"/>
      <c r="I1469" s="32"/>
    </row>
    <row r="1470" spans="2:9" x14ac:dyDescent="0.25">
      <c r="B1470" s="31"/>
      <c r="F1470" s="32"/>
      <c r="I1470" s="32"/>
    </row>
    <row r="1471" spans="2:9" x14ac:dyDescent="0.25">
      <c r="B1471" s="31"/>
      <c r="F1471" s="32"/>
      <c r="I1471" s="32"/>
    </row>
    <row r="1472" spans="2:9" x14ac:dyDescent="0.25">
      <c r="B1472" s="31"/>
      <c r="F1472" s="32"/>
      <c r="I1472" s="32"/>
    </row>
    <row r="1473" spans="2:9" x14ac:dyDescent="0.25">
      <c r="B1473" s="31"/>
      <c r="F1473" s="32"/>
      <c r="I1473" s="32"/>
    </row>
    <row r="1474" spans="2:9" x14ac:dyDescent="0.25">
      <c r="B1474" s="31"/>
      <c r="F1474" s="32"/>
      <c r="I1474" s="32"/>
    </row>
    <row r="1475" spans="2:9" x14ac:dyDescent="0.25">
      <c r="B1475" s="31"/>
      <c r="F1475" s="32"/>
      <c r="I1475" s="32"/>
    </row>
    <row r="1476" spans="2:9" x14ac:dyDescent="0.25">
      <c r="B1476" s="31"/>
      <c r="F1476" s="32"/>
      <c r="I1476" s="32"/>
    </row>
    <row r="1477" spans="2:9" x14ac:dyDescent="0.25">
      <c r="B1477" s="31"/>
      <c r="F1477" s="32"/>
      <c r="I1477" s="32"/>
    </row>
    <row r="1478" spans="2:9" x14ac:dyDescent="0.25">
      <c r="B1478" s="31"/>
      <c r="F1478" s="32"/>
      <c r="I1478" s="32"/>
    </row>
    <row r="1479" spans="2:9" x14ac:dyDescent="0.25">
      <c r="B1479" s="31"/>
      <c r="F1479" s="32"/>
      <c r="I1479" s="32"/>
    </row>
    <row r="1480" spans="2:9" x14ac:dyDescent="0.25">
      <c r="B1480" s="31"/>
      <c r="F1480" s="32"/>
      <c r="I1480" s="32"/>
    </row>
    <row r="1481" spans="2:9" x14ac:dyDescent="0.25">
      <c r="B1481" s="31"/>
      <c r="F1481" s="32"/>
      <c r="I1481" s="32"/>
    </row>
    <row r="1482" spans="2:9" x14ac:dyDescent="0.25">
      <c r="B1482" s="31"/>
      <c r="F1482" s="32"/>
      <c r="I1482" s="32"/>
    </row>
    <row r="1483" spans="2:9" x14ac:dyDescent="0.25">
      <c r="B1483" s="31"/>
      <c r="F1483" s="32"/>
      <c r="I1483" s="32"/>
    </row>
    <row r="1484" spans="2:9" x14ac:dyDescent="0.25">
      <c r="B1484" s="31"/>
      <c r="F1484" s="32"/>
      <c r="I1484" s="32"/>
    </row>
    <row r="1485" spans="2:9" x14ac:dyDescent="0.25">
      <c r="B1485" s="31"/>
      <c r="F1485" s="32"/>
      <c r="I1485" s="32"/>
    </row>
    <row r="1486" spans="2:9" x14ac:dyDescent="0.25">
      <c r="B1486" s="31"/>
      <c r="F1486" s="32"/>
      <c r="I1486" s="32"/>
    </row>
    <row r="1487" spans="2:9" x14ac:dyDescent="0.25">
      <c r="B1487" s="31"/>
      <c r="F1487" s="32"/>
      <c r="I1487" s="32"/>
    </row>
    <row r="1488" spans="2:9" x14ac:dyDescent="0.25">
      <c r="B1488" s="31"/>
      <c r="F1488" s="32"/>
      <c r="I1488" s="32"/>
    </row>
    <row r="1489" spans="2:9" x14ac:dyDescent="0.25">
      <c r="B1489" s="31"/>
      <c r="F1489" s="32"/>
      <c r="I1489" s="32"/>
    </row>
    <row r="1490" spans="2:9" x14ac:dyDescent="0.25">
      <c r="B1490" s="31"/>
      <c r="F1490" s="32"/>
      <c r="I1490" s="32"/>
    </row>
    <row r="1491" spans="2:9" x14ac:dyDescent="0.25">
      <c r="B1491" s="31"/>
      <c r="F1491" s="32"/>
      <c r="I1491" s="32"/>
    </row>
    <row r="1492" spans="2:9" x14ac:dyDescent="0.25">
      <c r="B1492" s="31"/>
      <c r="F1492" s="32"/>
      <c r="I1492" s="32"/>
    </row>
    <row r="1493" spans="2:9" x14ac:dyDescent="0.25">
      <c r="B1493" s="31"/>
      <c r="F1493" s="32"/>
      <c r="I1493" s="32"/>
    </row>
    <row r="1494" spans="2:9" x14ac:dyDescent="0.25">
      <c r="B1494" s="31"/>
      <c r="F1494" s="32"/>
      <c r="I1494" s="32"/>
    </row>
    <row r="1495" spans="2:9" x14ac:dyDescent="0.25">
      <c r="B1495" s="31"/>
      <c r="F1495" s="32"/>
      <c r="I1495" s="32"/>
    </row>
    <row r="1496" spans="2:9" x14ac:dyDescent="0.25">
      <c r="B1496" s="31"/>
      <c r="F1496" s="32"/>
      <c r="I1496" s="32"/>
    </row>
    <row r="1497" spans="2:9" x14ac:dyDescent="0.25">
      <c r="B1497" s="31"/>
      <c r="F1497" s="32"/>
      <c r="I1497" s="32"/>
    </row>
    <row r="1498" spans="2:9" x14ac:dyDescent="0.25">
      <c r="B1498" s="31"/>
      <c r="F1498" s="32"/>
      <c r="I1498" s="32"/>
    </row>
    <row r="1499" spans="2:9" x14ac:dyDescent="0.25">
      <c r="B1499" s="31"/>
      <c r="F1499" s="32"/>
      <c r="I1499" s="32"/>
    </row>
    <row r="1500" spans="2:9" x14ac:dyDescent="0.25">
      <c r="B1500" s="31"/>
      <c r="F1500" s="32"/>
      <c r="I1500" s="32"/>
    </row>
    <row r="1501" spans="2:9" x14ac:dyDescent="0.25">
      <c r="B1501" s="31"/>
      <c r="F1501" s="32"/>
      <c r="I1501" s="32"/>
    </row>
    <row r="1502" spans="2:9" x14ac:dyDescent="0.25">
      <c r="B1502" s="31"/>
      <c r="F1502" s="32"/>
      <c r="I1502" s="32"/>
    </row>
    <row r="1503" spans="2:9" x14ac:dyDescent="0.25">
      <c r="B1503" s="31"/>
      <c r="F1503" s="32"/>
      <c r="I1503" s="32"/>
    </row>
    <row r="1504" spans="2:9" x14ac:dyDescent="0.25">
      <c r="B1504" s="31"/>
      <c r="F1504" s="32"/>
      <c r="I1504" s="32"/>
    </row>
    <row r="1505" spans="2:9" x14ac:dyDescent="0.25">
      <c r="B1505" s="31"/>
      <c r="F1505" s="32"/>
      <c r="I1505" s="32"/>
    </row>
    <row r="1506" spans="2:9" x14ac:dyDescent="0.25">
      <c r="B1506" s="31"/>
      <c r="F1506" s="32"/>
      <c r="I1506" s="32"/>
    </row>
    <row r="1507" spans="2:9" x14ac:dyDescent="0.25">
      <c r="B1507" s="31"/>
      <c r="F1507" s="32"/>
      <c r="I1507" s="32"/>
    </row>
    <row r="1508" spans="2:9" x14ac:dyDescent="0.25">
      <c r="B1508" s="31"/>
      <c r="F1508" s="32"/>
      <c r="I1508" s="32"/>
    </row>
    <row r="1509" spans="2:9" x14ac:dyDescent="0.25">
      <c r="B1509" s="31"/>
      <c r="F1509" s="32"/>
      <c r="I1509" s="32"/>
    </row>
    <row r="1510" spans="2:9" x14ac:dyDescent="0.25">
      <c r="B1510" s="31"/>
      <c r="F1510" s="32"/>
      <c r="I1510" s="32"/>
    </row>
    <row r="1511" spans="2:9" x14ac:dyDescent="0.25">
      <c r="B1511" s="31"/>
      <c r="F1511" s="32"/>
      <c r="I1511" s="32"/>
    </row>
    <row r="1512" spans="2:9" x14ac:dyDescent="0.25">
      <c r="B1512" s="31"/>
      <c r="F1512" s="32"/>
      <c r="I1512" s="32"/>
    </row>
    <row r="1513" spans="2:9" x14ac:dyDescent="0.25">
      <c r="B1513" s="31"/>
      <c r="F1513" s="32"/>
      <c r="I1513" s="32"/>
    </row>
    <row r="1514" spans="2:9" x14ac:dyDescent="0.25">
      <c r="B1514" s="31"/>
      <c r="F1514" s="32"/>
      <c r="I1514" s="32"/>
    </row>
    <row r="1515" spans="2:9" x14ac:dyDescent="0.25">
      <c r="B1515" s="31"/>
      <c r="F1515" s="32"/>
      <c r="I1515" s="32"/>
    </row>
    <row r="1516" spans="2:9" x14ac:dyDescent="0.25">
      <c r="B1516" s="31"/>
      <c r="F1516" s="32"/>
      <c r="I1516" s="32"/>
    </row>
    <row r="1517" spans="2:9" x14ac:dyDescent="0.25">
      <c r="B1517" s="31"/>
      <c r="F1517" s="32"/>
      <c r="I1517" s="32"/>
    </row>
    <row r="1518" spans="2:9" x14ac:dyDescent="0.25">
      <c r="B1518" s="31"/>
      <c r="F1518" s="32"/>
      <c r="I1518" s="32"/>
    </row>
    <row r="1519" spans="2:9" x14ac:dyDescent="0.25">
      <c r="B1519" s="31"/>
      <c r="F1519" s="32"/>
      <c r="I1519" s="32"/>
    </row>
    <row r="1520" spans="2:9" x14ac:dyDescent="0.25">
      <c r="B1520" s="31"/>
      <c r="F1520" s="32"/>
      <c r="I1520" s="32"/>
    </row>
    <row r="1521" spans="2:9" x14ac:dyDescent="0.25">
      <c r="B1521" s="31"/>
      <c r="F1521" s="32"/>
      <c r="I1521" s="32"/>
    </row>
    <row r="1522" spans="2:9" x14ac:dyDescent="0.25">
      <c r="B1522" s="31"/>
      <c r="F1522" s="32"/>
      <c r="I1522" s="32"/>
    </row>
    <row r="1523" spans="2:9" x14ac:dyDescent="0.25">
      <c r="B1523" s="31"/>
      <c r="F1523" s="32"/>
      <c r="I1523" s="32"/>
    </row>
    <row r="1524" spans="2:9" x14ac:dyDescent="0.25">
      <c r="B1524" s="31"/>
      <c r="F1524" s="32"/>
      <c r="I1524" s="32"/>
    </row>
    <row r="1525" spans="2:9" x14ac:dyDescent="0.25">
      <c r="B1525" s="31"/>
      <c r="F1525" s="32"/>
      <c r="I1525" s="32"/>
    </row>
    <row r="1526" spans="2:9" x14ac:dyDescent="0.25">
      <c r="B1526" s="31"/>
      <c r="F1526" s="32"/>
      <c r="I1526" s="32"/>
    </row>
    <row r="1527" spans="2:9" x14ac:dyDescent="0.25">
      <c r="B1527" s="31"/>
      <c r="F1527" s="32"/>
      <c r="I1527" s="32"/>
    </row>
    <row r="1528" spans="2:9" x14ac:dyDescent="0.25">
      <c r="B1528" s="31"/>
      <c r="F1528" s="32"/>
      <c r="I1528" s="32"/>
    </row>
    <row r="1529" spans="2:9" x14ac:dyDescent="0.25">
      <c r="B1529" s="31"/>
      <c r="F1529" s="32"/>
      <c r="I1529" s="32"/>
    </row>
    <row r="1530" spans="2:9" x14ac:dyDescent="0.25">
      <c r="B1530" s="31"/>
      <c r="F1530" s="32"/>
      <c r="I1530" s="32"/>
    </row>
    <row r="1531" spans="2:9" x14ac:dyDescent="0.25">
      <c r="B1531" s="31"/>
      <c r="F1531" s="32"/>
      <c r="I1531" s="32"/>
    </row>
    <row r="1532" spans="2:9" x14ac:dyDescent="0.25">
      <c r="B1532" s="31"/>
      <c r="F1532" s="32"/>
      <c r="I1532" s="32"/>
    </row>
    <row r="1533" spans="2:9" x14ac:dyDescent="0.25">
      <c r="B1533" s="31"/>
      <c r="F1533" s="32"/>
      <c r="I1533" s="32"/>
    </row>
    <row r="1534" spans="2:9" x14ac:dyDescent="0.25">
      <c r="B1534" s="31"/>
      <c r="F1534" s="32"/>
      <c r="I1534" s="32"/>
    </row>
    <row r="1535" spans="2:9" x14ac:dyDescent="0.25">
      <c r="B1535" s="31"/>
      <c r="F1535" s="32"/>
      <c r="I1535" s="32"/>
    </row>
    <row r="1536" spans="2:9" x14ac:dyDescent="0.25">
      <c r="B1536" s="31"/>
      <c r="F1536" s="32"/>
      <c r="I1536" s="32"/>
    </row>
    <row r="1537" spans="2:9" x14ac:dyDescent="0.25">
      <c r="B1537" s="31"/>
      <c r="F1537" s="32"/>
      <c r="I1537" s="32"/>
    </row>
    <row r="1538" spans="2:9" x14ac:dyDescent="0.25">
      <c r="B1538" s="31"/>
      <c r="F1538" s="32"/>
      <c r="I1538" s="32"/>
    </row>
    <row r="1539" spans="2:9" x14ac:dyDescent="0.25">
      <c r="B1539" s="31"/>
      <c r="F1539" s="32"/>
      <c r="I1539" s="32"/>
    </row>
    <row r="1540" spans="2:9" x14ac:dyDescent="0.25">
      <c r="B1540" s="31"/>
      <c r="F1540" s="32"/>
      <c r="I1540" s="32"/>
    </row>
    <row r="1541" spans="2:9" x14ac:dyDescent="0.25">
      <c r="B1541" s="31"/>
      <c r="F1541" s="32"/>
      <c r="I1541" s="32"/>
    </row>
    <row r="1542" spans="2:9" x14ac:dyDescent="0.25">
      <c r="B1542" s="31"/>
      <c r="F1542" s="32"/>
      <c r="I1542" s="32"/>
    </row>
    <row r="1543" spans="2:9" x14ac:dyDescent="0.25">
      <c r="B1543" s="31"/>
      <c r="F1543" s="32"/>
      <c r="I1543" s="32"/>
    </row>
    <row r="1544" spans="2:9" x14ac:dyDescent="0.25">
      <c r="B1544" s="31"/>
      <c r="F1544" s="32"/>
      <c r="I1544" s="32"/>
    </row>
    <row r="1545" spans="2:9" x14ac:dyDescent="0.25">
      <c r="B1545" s="31"/>
      <c r="F1545" s="32"/>
      <c r="I1545" s="32"/>
    </row>
    <row r="1546" spans="2:9" x14ac:dyDescent="0.25">
      <c r="B1546" s="31"/>
      <c r="F1546" s="32"/>
      <c r="I1546" s="32"/>
    </row>
    <row r="1547" spans="2:9" x14ac:dyDescent="0.25">
      <c r="B1547" s="31"/>
      <c r="F1547" s="32"/>
      <c r="I1547" s="32"/>
    </row>
    <row r="1548" spans="2:9" x14ac:dyDescent="0.25">
      <c r="B1548" s="31"/>
      <c r="F1548" s="32"/>
      <c r="I1548" s="32"/>
    </row>
    <row r="1549" spans="2:9" x14ac:dyDescent="0.25">
      <c r="B1549" s="31"/>
      <c r="F1549" s="32"/>
      <c r="I1549" s="32"/>
    </row>
    <row r="1550" spans="2:9" x14ac:dyDescent="0.25">
      <c r="B1550" s="31"/>
      <c r="F1550" s="32"/>
      <c r="I1550" s="32"/>
    </row>
    <row r="1551" spans="2:9" x14ac:dyDescent="0.25">
      <c r="B1551" s="31"/>
      <c r="F1551" s="32"/>
      <c r="I1551" s="32"/>
    </row>
    <row r="1552" spans="2:9" x14ac:dyDescent="0.25">
      <c r="B1552" s="31"/>
      <c r="F1552" s="32"/>
      <c r="I1552" s="32"/>
    </row>
    <row r="1553" spans="2:9" x14ac:dyDescent="0.25">
      <c r="B1553" s="31"/>
      <c r="F1553" s="32"/>
      <c r="I1553" s="32"/>
    </row>
    <row r="1554" spans="2:9" x14ac:dyDescent="0.25">
      <c r="B1554" s="31"/>
      <c r="F1554" s="32"/>
      <c r="I1554" s="32"/>
    </row>
    <row r="1555" spans="2:9" x14ac:dyDescent="0.25">
      <c r="B1555" s="31"/>
      <c r="F1555" s="32"/>
      <c r="I1555" s="32"/>
    </row>
    <row r="1556" spans="2:9" x14ac:dyDescent="0.25">
      <c r="B1556" s="31"/>
      <c r="F1556" s="32"/>
      <c r="I1556" s="32"/>
    </row>
    <row r="1557" spans="2:9" x14ac:dyDescent="0.25">
      <c r="B1557" s="31"/>
      <c r="F1557" s="32"/>
      <c r="I1557" s="32"/>
    </row>
    <row r="1558" spans="2:9" x14ac:dyDescent="0.25">
      <c r="B1558" s="31"/>
      <c r="F1558" s="32"/>
      <c r="I1558" s="32"/>
    </row>
    <row r="1559" spans="2:9" x14ac:dyDescent="0.25">
      <c r="B1559" s="31"/>
      <c r="F1559" s="32"/>
      <c r="I1559" s="32"/>
    </row>
    <row r="1560" spans="2:9" x14ac:dyDescent="0.25">
      <c r="B1560" s="31"/>
      <c r="F1560" s="32"/>
      <c r="I1560" s="32"/>
    </row>
    <row r="1561" spans="2:9" x14ac:dyDescent="0.25">
      <c r="B1561" s="31"/>
      <c r="F1561" s="32"/>
      <c r="I1561" s="32"/>
    </row>
    <row r="1562" spans="2:9" x14ac:dyDescent="0.25">
      <c r="B1562" s="31"/>
      <c r="F1562" s="32"/>
      <c r="I1562" s="32"/>
    </row>
    <row r="1563" spans="2:9" x14ac:dyDescent="0.25">
      <c r="B1563" s="31"/>
      <c r="F1563" s="32"/>
      <c r="I1563" s="32"/>
    </row>
    <row r="1564" spans="2:9" x14ac:dyDescent="0.25">
      <c r="B1564" s="31"/>
      <c r="F1564" s="32"/>
      <c r="I1564" s="32"/>
    </row>
    <row r="1565" spans="2:9" x14ac:dyDescent="0.25">
      <c r="B1565" s="31"/>
      <c r="F1565" s="32"/>
      <c r="I1565" s="32"/>
    </row>
    <row r="1566" spans="2:9" x14ac:dyDescent="0.25">
      <c r="B1566" s="31"/>
      <c r="F1566" s="32"/>
      <c r="I1566" s="32"/>
    </row>
    <row r="1567" spans="2:9" x14ac:dyDescent="0.25">
      <c r="B1567" s="31"/>
      <c r="F1567" s="32"/>
      <c r="I1567" s="32"/>
    </row>
    <row r="1568" spans="2:9" x14ac:dyDescent="0.25">
      <c r="B1568" s="31"/>
      <c r="F1568" s="32"/>
      <c r="I1568" s="32"/>
    </row>
    <row r="1569" spans="2:9" x14ac:dyDescent="0.25">
      <c r="B1569" s="31"/>
      <c r="F1569" s="32"/>
      <c r="I1569" s="32"/>
    </row>
    <row r="1570" spans="2:9" x14ac:dyDescent="0.25">
      <c r="B1570" s="31"/>
      <c r="F1570" s="32"/>
      <c r="I1570" s="32"/>
    </row>
    <row r="1571" spans="2:9" x14ac:dyDescent="0.25">
      <c r="B1571" s="31"/>
      <c r="F1571" s="32"/>
      <c r="I1571" s="32"/>
    </row>
    <row r="1572" spans="2:9" x14ac:dyDescent="0.25">
      <c r="B1572" s="31"/>
      <c r="F1572" s="32"/>
      <c r="I1572" s="32"/>
    </row>
    <row r="1573" spans="2:9" x14ac:dyDescent="0.25">
      <c r="B1573" s="31"/>
      <c r="F1573" s="32"/>
      <c r="I1573" s="32"/>
    </row>
    <row r="1574" spans="2:9" x14ac:dyDescent="0.25">
      <c r="B1574" s="31"/>
      <c r="F1574" s="32"/>
      <c r="I1574" s="32"/>
    </row>
    <row r="1575" spans="2:9" x14ac:dyDescent="0.25">
      <c r="B1575" s="31"/>
      <c r="F1575" s="32"/>
      <c r="I1575" s="32"/>
    </row>
    <row r="1576" spans="2:9" x14ac:dyDescent="0.25">
      <c r="B1576" s="31"/>
      <c r="F1576" s="32"/>
      <c r="I1576" s="32"/>
    </row>
    <row r="1577" spans="2:9" x14ac:dyDescent="0.25">
      <c r="B1577" s="31"/>
      <c r="F1577" s="32"/>
      <c r="I1577" s="32"/>
    </row>
    <row r="1578" spans="2:9" x14ac:dyDescent="0.25">
      <c r="B1578" s="31"/>
      <c r="F1578" s="32"/>
      <c r="I1578" s="32"/>
    </row>
    <row r="1579" spans="2:9" x14ac:dyDescent="0.25">
      <c r="B1579" s="31"/>
      <c r="F1579" s="32"/>
      <c r="I1579" s="32"/>
    </row>
    <row r="1580" spans="2:9" x14ac:dyDescent="0.25">
      <c r="B1580" s="31"/>
      <c r="F1580" s="32"/>
      <c r="I1580" s="32"/>
    </row>
    <row r="1581" spans="2:9" x14ac:dyDescent="0.25">
      <c r="B1581" s="31"/>
      <c r="F1581" s="32"/>
      <c r="I1581" s="32"/>
    </row>
    <row r="1582" spans="2:9" x14ac:dyDescent="0.25">
      <c r="B1582" s="31"/>
      <c r="F1582" s="32"/>
      <c r="I1582" s="32"/>
    </row>
    <row r="1583" spans="2:9" x14ac:dyDescent="0.25">
      <c r="B1583" s="31"/>
      <c r="F1583" s="32"/>
      <c r="I1583" s="32"/>
    </row>
    <row r="1584" spans="2:9" x14ac:dyDescent="0.25">
      <c r="B1584" s="31"/>
      <c r="F1584" s="32"/>
      <c r="I1584" s="32"/>
    </row>
    <row r="1585" spans="2:9" x14ac:dyDescent="0.25">
      <c r="B1585" s="31"/>
      <c r="F1585" s="32"/>
      <c r="I1585" s="32"/>
    </row>
    <row r="1586" spans="2:9" x14ac:dyDescent="0.25">
      <c r="B1586" s="31"/>
      <c r="F1586" s="32"/>
      <c r="I1586" s="32"/>
    </row>
    <row r="1587" spans="2:9" x14ac:dyDescent="0.25">
      <c r="B1587" s="31"/>
      <c r="F1587" s="32"/>
      <c r="I1587" s="32"/>
    </row>
    <row r="1588" spans="2:9" x14ac:dyDescent="0.25">
      <c r="B1588" s="31"/>
      <c r="F1588" s="32"/>
      <c r="I1588" s="32"/>
    </row>
    <row r="1589" spans="2:9" x14ac:dyDescent="0.25">
      <c r="B1589" s="31"/>
      <c r="F1589" s="32"/>
      <c r="I1589" s="32"/>
    </row>
    <row r="1590" spans="2:9" x14ac:dyDescent="0.25">
      <c r="B1590" s="31"/>
      <c r="F1590" s="32"/>
      <c r="I1590" s="32"/>
    </row>
    <row r="1591" spans="2:9" x14ac:dyDescent="0.25">
      <c r="B1591" s="31"/>
      <c r="F1591" s="32"/>
      <c r="I1591" s="32"/>
    </row>
    <row r="1592" spans="2:9" x14ac:dyDescent="0.25">
      <c r="B1592" s="31"/>
      <c r="F1592" s="32"/>
      <c r="I1592" s="32"/>
    </row>
    <row r="1593" spans="2:9" x14ac:dyDescent="0.25">
      <c r="B1593" s="31"/>
      <c r="F1593" s="32"/>
      <c r="I1593" s="32"/>
    </row>
    <row r="1594" spans="2:9" x14ac:dyDescent="0.25">
      <c r="B1594" s="31"/>
      <c r="F1594" s="32"/>
      <c r="I1594" s="32"/>
    </row>
    <row r="1595" spans="2:9" x14ac:dyDescent="0.25">
      <c r="B1595" s="31"/>
      <c r="F1595" s="32"/>
      <c r="I1595" s="32"/>
    </row>
    <row r="1596" spans="2:9" x14ac:dyDescent="0.25">
      <c r="B1596" s="31"/>
      <c r="F1596" s="32"/>
      <c r="I1596" s="32"/>
    </row>
    <row r="1597" spans="2:9" x14ac:dyDescent="0.25">
      <c r="B1597" s="31"/>
      <c r="F1597" s="32"/>
      <c r="I1597" s="32"/>
    </row>
    <row r="1598" spans="2:9" x14ac:dyDescent="0.25">
      <c r="B1598" s="31"/>
      <c r="F1598" s="32"/>
      <c r="I1598" s="32"/>
    </row>
    <row r="1599" spans="2:9" x14ac:dyDescent="0.25">
      <c r="B1599" s="31"/>
      <c r="F1599" s="32"/>
      <c r="I1599" s="32"/>
    </row>
    <row r="1600" spans="2:9" x14ac:dyDescent="0.25">
      <c r="B1600" s="31"/>
      <c r="F1600" s="32"/>
      <c r="I1600" s="32"/>
    </row>
    <row r="1601" spans="2:9" x14ac:dyDescent="0.25">
      <c r="B1601" s="31"/>
      <c r="F1601" s="32"/>
      <c r="I1601" s="32"/>
    </row>
    <row r="1602" spans="2:9" x14ac:dyDescent="0.25">
      <c r="B1602" s="31"/>
      <c r="F1602" s="32"/>
      <c r="I1602" s="32"/>
    </row>
    <row r="1603" spans="2:9" x14ac:dyDescent="0.25">
      <c r="B1603" s="31"/>
      <c r="F1603" s="32"/>
      <c r="I1603" s="32"/>
    </row>
    <row r="1604" spans="2:9" x14ac:dyDescent="0.25">
      <c r="B1604" s="31"/>
      <c r="F1604" s="32"/>
      <c r="I1604" s="32"/>
    </row>
    <row r="1605" spans="2:9" x14ac:dyDescent="0.25">
      <c r="B1605" s="31"/>
      <c r="F1605" s="32"/>
      <c r="I1605" s="32"/>
    </row>
    <row r="1606" spans="2:9" x14ac:dyDescent="0.25">
      <c r="B1606" s="31"/>
      <c r="F1606" s="32"/>
      <c r="I1606" s="32"/>
    </row>
    <row r="1607" spans="2:9" x14ac:dyDescent="0.25">
      <c r="B1607" s="31"/>
      <c r="F1607" s="32"/>
      <c r="I1607" s="32"/>
    </row>
    <row r="1608" spans="2:9" x14ac:dyDescent="0.25">
      <c r="B1608" s="31"/>
      <c r="F1608" s="32"/>
      <c r="I1608" s="32"/>
    </row>
    <row r="1609" spans="2:9" x14ac:dyDescent="0.25">
      <c r="B1609" s="31"/>
      <c r="F1609" s="32"/>
      <c r="I1609" s="32"/>
    </row>
    <row r="1610" spans="2:9" x14ac:dyDescent="0.25">
      <c r="B1610" s="31"/>
      <c r="F1610" s="32"/>
      <c r="I1610" s="32"/>
    </row>
    <row r="1611" spans="2:9" x14ac:dyDescent="0.25">
      <c r="B1611" s="31"/>
      <c r="F1611" s="32"/>
      <c r="I1611" s="32"/>
    </row>
    <row r="1612" spans="2:9" x14ac:dyDescent="0.25">
      <c r="B1612" s="31"/>
      <c r="F1612" s="32"/>
      <c r="I1612" s="32"/>
    </row>
    <row r="1613" spans="2:9" x14ac:dyDescent="0.25">
      <c r="B1613" s="31"/>
      <c r="F1613" s="32"/>
      <c r="I1613" s="32"/>
    </row>
    <row r="1614" spans="2:9" x14ac:dyDescent="0.25">
      <c r="B1614" s="31"/>
      <c r="F1614" s="32"/>
      <c r="I1614" s="32"/>
    </row>
    <row r="1615" spans="2:9" x14ac:dyDescent="0.25">
      <c r="B1615" s="31"/>
      <c r="F1615" s="32"/>
      <c r="I1615" s="32"/>
    </row>
    <row r="1616" spans="2:9" x14ac:dyDescent="0.25">
      <c r="B1616" s="31"/>
      <c r="F1616" s="32"/>
      <c r="I1616" s="32"/>
    </row>
    <row r="1617" spans="2:9" x14ac:dyDescent="0.25">
      <c r="B1617" s="31"/>
      <c r="F1617" s="32"/>
      <c r="I1617" s="32"/>
    </row>
    <row r="1618" spans="2:9" x14ac:dyDescent="0.25">
      <c r="B1618" s="31"/>
      <c r="F1618" s="32"/>
      <c r="I1618" s="32"/>
    </row>
    <row r="1619" spans="2:9" x14ac:dyDescent="0.25">
      <c r="B1619" s="31"/>
      <c r="F1619" s="32"/>
      <c r="I1619" s="32"/>
    </row>
    <row r="1620" spans="2:9" x14ac:dyDescent="0.25">
      <c r="B1620" s="31"/>
      <c r="F1620" s="32"/>
      <c r="I1620" s="32"/>
    </row>
    <row r="1621" spans="2:9" x14ac:dyDescent="0.25">
      <c r="B1621" s="31"/>
      <c r="F1621" s="32"/>
      <c r="I1621" s="32"/>
    </row>
    <row r="1622" spans="2:9" x14ac:dyDescent="0.25">
      <c r="B1622" s="31"/>
      <c r="F1622" s="32"/>
      <c r="I1622" s="32"/>
    </row>
    <row r="1623" spans="2:9" x14ac:dyDescent="0.25">
      <c r="B1623" s="31"/>
      <c r="F1623" s="32"/>
      <c r="I1623" s="32"/>
    </row>
    <row r="1624" spans="2:9" x14ac:dyDescent="0.25">
      <c r="B1624" s="31"/>
      <c r="F1624" s="32"/>
      <c r="I1624" s="32"/>
    </row>
    <row r="1625" spans="2:9" x14ac:dyDescent="0.25">
      <c r="B1625" s="31"/>
      <c r="F1625" s="32"/>
      <c r="I1625" s="32"/>
    </row>
    <row r="1626" spans="2:9" x14ac:dyDescent="0.25">
      <c r="B1626" s="31"/>
      <c r="F1626" s="32"/>
      <c r="I1626" s="32"/>
    </row>
    <row r="1627" spans="2:9" x14ac:dyDescent="0.25">
      <c r="B1627" s="31"/>
      <c r="F1627" s="32"/>
      <c r="I1627" s="32"/>
    </row>
    <row r="1628" spans="2:9" x14ac:dyDescent="0.25">
      <c r="B1628" s="31"/>
      <c r="F1628" s="32"/>
      <c r="I1628" s="32"/>
    </row>
    <row r="1629" spans="2:9" x14ac:dyDescent="0.25">
      <c r="B1629" s="31"/>
      <c r="F1629" s="32"/>
      <c r="I1629" s="32"/>
    </row>
    <row r="1630" spans="2:9" x14ac:dyDescent="0.25">
      <c r="B1630" s="31"/>
      <c r="F1630" s="32"/>
      <c r="I1630" s="32"/>
    </row>
    <row r="1631" spans="2:9" x14ac:dyDescent="0.25">
      <c r="B1631" s="31"/>
      <c r="F1631" s="32"/>
      <c r="I1631" s="32"/>
    </row>
    <row r="1632" spans="2:9" x14ac:dyDescent="0.25">
      <c r="B1632" s="31"/>
      <c r="F1632" s="32"/>
      <c r="I1632" s="32"/>
    </row>
    <row r="1633" spans="2:9" x14ac:dyDescent="0.25">
      <c r="B1633" s="31"/>
      <c r="F1633" s="32"/>
      <c r="I1633" s="32"/>
    </row>
    <row r="1634" spans="2:9" x14ac:dyDescent="0.25">
      <c r="B1634" s="31"/>
      <c r="F1634" s="32"/>
      <c r="I1634" s="32"/>
    </row>
    <row r="1635" spans="2:9" x14ac:dyDescent="0.25">
      <c r="B1635" s="31"/>
      <c r="F1635" s="32"/>
      <c r="I1635" s="32"/>
    </row>
    <row r="1636" spans="2:9" x14ac:dyDescent="0.25">
      <c r="B1636" s="31"/>
      <c r="F1636" s="32"/>
      <c r="I1636" s="32"/>
    </row>
    <row r="1637" spans="2:9" x14ac:dyDescent="0.25">
      <c r="B1637" s="31"/>
      <c r="F1637" s="32"/>
      <c r="I1637" s="32"/>
    </row>
    <row r="1638" spans="2:9" x14ac:dyDescent="0.25">
      <c r="B1638" s="31"/>
      <c r="F1638" s="32"/>
      <c r="I1638" s="32"/>
    </row>
    <row r="1639" spans="2:9" x14ac:dyDescent="0.25">
      <c r="B1639" s="31"/>
      <c r="F1639" s="32"/>
      <c r="I1639" s="32"/>
    </row>
    <row r="1640" spans="2:9" x14ac:dyDescent="0.25">
      <c r="B1640" s="31"/>
      <c r="F1640" s="32"/>
      <c r="I1640" s="32"/>
    </row>
    <row r="1641" spans="2:9" x14ac:dyDescent="0.25">
      <c r="B1641" s="31"/>
      <c r="F1641" s="32"/>
      <c r="I1641" s="32"/>
    </row>
    <row r="1642" spans="2:9" x14ac:dyDescent="0.25">
      <c r="B1642" s="31"/>
      <c r="F1642" s="32"/>
      <c r="I1642" s="32"/>
    </row>
    <row r="1643" spans="2:9" x14ac:dyDescent="0.25">
      <c r="B1643" s="31"/>
      <c r="F1643" s="32"/>
      <c r="I1643" s="32"/>
    </row>
    <row r="1644" spans="2:9" x14ac:dyDescent="0.25">
      <c r="B1644" s="31"/>
      <c r="F1644" s="32"/>
      <c r="I1644" s="32"/>
    </row>
    <row r="1645" spans="2:9" x14ac:dyDescent="0.25">
      <c r="B1645" s="31"/>
      <c r="F1645" s="32"/>
      <c r="I1645" s="32"/>
    </row>
    <row r="1646" spans="2:9" x14ac:dyDescent="0.25">
      <c r="B1646" s="31"/>
      <c r="F1646" s="32"/>
      <c r="I1646" s="32"/>
    </row>
    <row r="1647" spans="2:9" x14ac:dyDescent="0.25">
      <c r="B1647" s="31"/>
      <c r="F1647" s="32"/>
      <c r="I1647" s="32"/>
    </row>
    <row r="1648" spans="2:9" x14ac:dyDescent="0.25">
      <c r="B1648" s="31"/>
      <c r="F1648" s="32"/>
      <c r="I1648" s="32"/>
    </row>
    <row r="1649" spans="2:9" x14ac:dyDescent="0.25">
      <c r="B1649" s="31"/>
      <c r="F1649" s="32"/>
      <c r="I1649" s="32"/>
    </row>
    <row r="1650" spans="2:9" x14ac:dyDescent="0.25">
      <c r="B1650" s="31"/>
      <c r="F1650" s="32"/>
      <c r="I1650" s="32"/>
    </row>
    <row r="1651" spans="2:9" x14ac:dyDescent="0.25">
      <c r="B1651" s="31"/>
      <c r="F1651" s="32"/>
      <c r="I1651" s="32"/>
    </row>
    <row r="1652" spans="2:9" x14ac:dyDescent="0.25">
      <c r="B1652" s="31"/>
      <c r="F1652" s="32"/>
      <c r="I1652" s="32"/>
    </row>
    <row r="1653" spans="2:9" x14ac:dyDescent="0.25">
      <c r="B1653" s="31"/>
      <c r="F1653" s="32"/>
      <c r="I1653" s="32"/>
    </row>
    <row r="1654" spans="2:9" x14ac:dyDescent="0.25">
      <c r="B1654" s="31"/>
      <c r="F1654" s="32"/>
      <c r="I1654" s="32"/>
    </row>
    <row r="1655" spans="2:9" x14ac:dyDescent="0.25">
      <c r="B1655" s="31"/>
      <c r="F1655" s="32"/>
      <c r="I1655" s="32"/>
    </row>
    <row r="1656" spans="2:9" x14ac:dyDescent="0.25">
      <c r="B1656" s="31"/>
      <c r="F1656" s="32"/>
      <c r="I1656" s="32"/>
    </row>
    <row r="1657" spans="2:9" x14ac:dyDescent="0.25">
      <c r="B1657" s="31"/>
      <c r="F1657" s="32"/>
      <c r="I1657" s="32"/>
    </row>
    <row r="1658" spans="2:9" x14ac:dyDescent="0.25">
      <c r="B1658" s="31"/>
      <c r="F1658" s="32"/>
      <c r="I1658" s="32"/>
    </row>
    <row r="1659" spans="2:9" x14ac:dyDescent="0.25">
      <c r="B1659" s="31"/>
      <c r="F1659" s="32"/>
      <c r="I1659" s="32"/>
    </row>
    <row r="1660" spans="2:9" x14ac:dyDescent="0.25">
      <c r="B1660" s="31"/>
      <c r="F1660" s="32"/>
      <c r="I1660" s="32"/>
    </row>
    <row r="1661" spans="2:9" x14ac:dyDescent="0.25">
      <c r="B1661" s="31"/>
      <c r="F1661" s="32"/>
      <c r="I1661" s="32"/>
    </row>
    <row r="1662" spans="2:9" x14ac:dyDescent="0.25">
      <c r="B1662" s="31"/>
      <c r="F1662" s="32"/>
      <c r="I1662" s="32"/>
    </row>
    <row r="1663" spans="2:9" x14ac:dyDescent="0.25">
      <c r="B1663" s="31"/>
      <c r="F1663" s="32"/>
      <c r="I1663" s="32"/>
    </row>
    <row r="1664" spans="2:9" x14ac:dyDescent="0.25">
      <c r="B1664" s="31"/>
      <c r="F1664" s="32"/>
      <c r="I1664" s="32"/>
    </row>
    <row r="1665" spans="2:9" x14ac:dyDescent="0.25">
      <c r="B1665" s="31"/>
      <c r="F1665" s="32"/>
      <c r="I1665" s="32"/>
    </row>
    <row r="1666" spans="2:9" x14ac:dyDescent="0.25">
      <c r="B1666" s="31"/>
      <c r="F1666" s="32"/>
      <c r="I1666" s="32"/>
    </row>
    <row r="1667" spans="2:9" x14ac:dyDescent="0.25">
      <c r="B1667" s="31"/>
      <c r="F1667" s="32"/>
      <c r="I1667" s="32"/>
    </row>
    <row r="1668" spans="2:9" x14ac:dyDescent="0.25">
      <c r="B1668" s="31"/>
      <c r="F1668" s="32"/>
      <c r="I1668" s="32"/>
    </row>
    <row r="1669" spans="2:9" x14ac:dyDescent="0.25">
      <c r="B1669" s="31"/>
      <c r="F1669" s="32"/>
      <c r="I1669" s="32"/>
    </row>
    <row r="1670" spans="2:9" x14ac:dyDescent="0.25">
      <c r="B1670" s="31"/>
      <c r="F1670" s="32"/>
      <c r="I1670" s="32"/>
    </row>
    <row r="1671" spans="2:9" x14ac:dyDescent="0.25">
      <c r="B1671" s="31"/>
      <c r="F1671" s="32"/>
      <c r="I1671" s="32"/>
    </row>
    <row r="1672" spans="2:9" x14ac:dyDescent="0.25">
      <c r="B1672" s="31"/>
      <c r="F1672" s="32"/>
      <c r="I1672" s="32"/>
    </row>
    <row r="1673" spans="2:9" x14ac:dyDescent="0.25">
      <c r="B1673" s="31"/>
      <c r="F1673" s="32"/>
      <c r="I1673" s="32"/>
    </row>
    <row r="1674" spans="2:9" x14ac:dyDescent="0.25">
      <c r="B1674" s="31"/>
      <c r="F1674" s="32"/>
      <c r="I1674" s="32"/>
    </row>
    <row r="1675" spans="2:9" x14ac:dyDescent="0.25">
      <c r="B1675" s="31"/>
      <c r="F1675" s="32"/>
      <c r="I1675" s="32"/>
    </row>
    <row r="1676" spans="2:9" x14ac:dyDescent="0.25">
      <c r="B1676" s="31"/>
      <c r="F1676" s="32"/>
      <c r="I1676" s="32"/>
    </row>
    <row r="1677" spans="2:9" x14ac:dyDescent="0.25">
      <c r="B1677" s="31"/>
      <c r="F1677" s="32"/>
      <c r="I1677" s="32"/>
    </row>
    <row r="1678" spans="2:9" x14ac:dyDescent="0.25">
      <c r="B1678" s="31"/>
      <c r="F1678" s="32"/>
      <c r="I1678" s="32"/>
    </row>
    <row r="1679" spans="2:9" x14ac:dyDescent="0.25">
      <c r="B1679" s="31"/>
      <c r="F1679" s="32"/>
      <c r="I1679" s="32"/>
    </row>
    <row r="1680" spans="2:9" x14ac:dyDescent="0.25">
      <c r="B1680" s="31"/>
      <c r="F1680" s="32"/>
      <c r="I1680" s="32"/>
    </row>
    <row r="1681" spans="2:9" x14ac:dyDescent="0.25">
      <c r="B1681" s="31"/>
      <c r="F1681" s="32"/>
      <c r="I1681" s="32"/>
    </row>
    <row r="1682" spans="2:9" x14ac:dyDescent="0.25">
      <c r="B1682" s="31"/>
      <c r="F1682" s="32"/>
      <c r="I1682" s="32"/>
    </row>
    <row r="1683" spans="2:9" x14ac:dyDescent="0.25">
      <c r="B1683" s="31"/>
      <c r="F1683" s="32"/>
      <c r="I1683" s="32"/>
    </row>
    <row r="1684" spans="2:9" x14ac:dyDescent="0.25">
      <c r="B1684" s="31"/>
      <c r="F1684" s="32"/>
      <c r="I1684" s="32"/>
    </row>
    <row r="1685" spans="2:9" x14ac:dyDescent="0.25">
      <c r="B1685" s="31"/>
      <c r="F1685" s="32"/>
      <c r="I1685" s="32"/>
    </row>
    <row r="1686" spans="2:9" x14ac:dyDescent="0.25">
      <c r="B1686" s="31"/>
      <c r="F1686" s="32"/>
      <c r="I1686" s="32"/>
    </row>
    <row r="1687" spans="2:9" x14ac:dyDescent="0.25">
      <c r="B1687" s="31"/>
      <c r="F1687" s="32"/>
      <c r="I1687" s="32"/>
    </row>
    <row r="1688" spans="2:9" x14ac:dyDescent="0.25">
      <c r="B1688" s="31"/>
      <c r="F1688" s="32"/>
      <c r="I1688" s="32"/>
    </row>
    <row r="1689" spans="2:9" x14ac:dyDescent="0.25">
      <c r="B1689" s="31"/>
      <c r="F1689" s="32"/>
      <c r="I1689" s="32"/>
    </row>
    <row r="1690" spans="2:9" x14ac:dyDescent="0.25">
      <c r="B1690" s="31"/>
      <c r="F1690" s="32"/>
      <c r="I1690" s="32"/>
    </row>
    <row r="1691" spans="2:9" x14ac:dyDescent="0.25">
      <c r="B1691" s="31"/>
      <c r="F1691" s="32"/>
      <c r="I1691" s="32"/>
    </row>
    <row r="1692" spans="2:9" x14ac:dyDescent="0.25">
      <c r="B1692" s="31"/>
      <c r="F1692" s="32"/>
      <c r="I1692" s="32"/>
    </row>
    <row r="1693" spans="2:9" x14ac:dyDescent="0.25">
      <c r="B1693" s="31"/>
      <c r="F1693" s="32"/>
      <c r="I1693" s="32"/>
    </row>
    <row r="1694" spans="2:9" x14ac:dyDescent="0.25">
      <c r="B1694" s="31"/>
      <c r="F1694" s="32"/>
      <c r="I1694" s="32"/>
    </row>
    <row r="1695" spans="2:9" x14ac:dyDescent="0.25">
      <c r="B1695" s="31"/>
      <c r="F1695" s="32"/>
      <c r="I1695" s="32"/>
    </row>
    <row r="1696" spans="2:9" x14ac:dyDescent="0.25">
      <c r="B1696" s="31"/>
      <c r="F1696" s="32"/>
      <c r="I1696" s="32"/>
    </row>
    <row r="1697" spans="2:9" x14ac:dyDescent="0.25">
      <c r="B1697" s="31"/>
      <c r="F1697" s="32"/>
      <c r="I1697" s="32"/>
    </row>
    <row r="1698" spans="2:9" x14ac:dyDescent="0.25">
      <c r="B1698" s="31"/>
      <c r="F1698" s="32"/>
      <c r="I1698" s="32"/>
    </row>
    <row r="1699" spans="2:9" x14ac:dyDescent="0.25">
      <c r="B1699" s="31"/>
      <c r="F1699" s="32"/>
      <c r="I1699" s="32"/>
    </row>
    <row r="1700" spans="2:9" x14ac:dyDescent="0.25">
      <c r="B1700" s="31"/>
      <c r="F1700" s="32"/>
      <c r="I1700" s="32"/>
    </row>
    <row r="1701" spans="2:9" x14ac:dyDescent="0.25">
      <c r="B1701" s="31"/>
      <c r="F1701" s="32"/>
      <c r="I1701" s="32"/>
    </row>
    <row r="1702" spans="2:9" x14ac:dyDescent="0.25">
      <c r="B1702" s="31"/>
      <c r="F1702" s="32"/>
      <c r="I1702" s="32"/>
    </row>
    <row r="1703" spans="2:9" x14ac:dyDescent="0.25">
      <c r="B1703" s="31"/>
      <c r="F1703" s="32"/>
      <c r="I1703" s="32"/>
    </row>
    <row r="1704" spans="2:9" x14ac:dyDescent="0.25">
      <c r="B1704" s="31"/>
      <c r="F1704" s="32"/>
      <c r="I1704" s="32"/>
    </row>
    <row r="1705" spans="2:9" x14ac:dyDescent="0.25">
      <c r="B1705" s="31"/>
      <c r="F1705" s="32"/>
      <c r="I1705" s="32"/>
    </row>
    <row r="1706" spans="2:9" x14ac:dyDescent="0.25">
      <c r="B1706" s="31"/>
      <c r="F1706" s="32"/>
      <c r="I1706" s="32"/>
    </row>
    <row r="1707" spans="2:9" x14ac:dyDescent="0.25">
      <c r="B1707" s="31"/>
      <c r="F1707" s="32"/>
      <c r="I1707" s="32"/>
    </row>
    <row r="1708" spans="2:9" x14ac:dyDescent="0.25">
      <c r="B1708" s="31"/>
      <c r="F1708" s="32"/>
      <c r="I1708" s="32"/>
    </row>
    <row r="1709" spans="2:9" x14ac:dyDescent="0.25">
      <c r="B1709" s="31"/>
      <c r="F1709" s="32"/>
      <c r="I1709" s="32"/>
    </row>
    <row r="1710" spans="2:9" x14ac:dyDescent="0.25">
      <c r="B1710" s="31"/>
      <c r="F1710" s="32"/>
      <c r="I1710" s="32"/>
    </row>
    <row r="1711" spans="2:9" x14ac:dyDescent="0.25">
      <c r="B1711" s="31"/>
      <c r="F1711" s="32"/>
      <c r="I1711" s="32"/>
    </row>
    <row r="1712" spans="2:9" x14ac:dyDescent="0.25">
      <c r="B1712" s="31"/>
      <c r="F1712" s="32"/>
      <c r="I1712" s="32"/>
    </row>
    <row r="1713" spans="2:9" x14ac:dyDescent="0.25">
      <c r="B1713" s="31"/>
      <c r="F1713" s="32"/>
      <c r="I1713" s="32"/>
    </row>
    <row r="1714" spans="2:9" x14ac:dyDescent="0.25">
      <c r="B1714" s="31"/>
      <c r="F1714" s="32"/>
      <c r="I1714" s="32"/>
    </row>
    <row r="1715" spans="2:9" x14ac:dyDescent="0.25">
      <c r="B1715" s="31"/>
      <c r="F1715" s="32"/>
      <c r="I1715" s="32"/>
    </row>
    <row r="1716" spans="2:9" x14ac:dyDescent="0.25">
      <c r="B1716" s="31"/>
      <c r="F1716" s="32"/>
      <c r="I1716" s="32"/>
    </row>
    <row r="1717" spans="2:9" x14ac:dyDescent="0.25">
      <c r="B1717" s="31"/>
      <c r="F1717" s="32"/>
      <c r="I1717" s="32"/>
    </row>
    <row r="1718" spans="2:9" x14ac:dyDescent="0.25">
      <c r="B1718" s="31"/>
      <c r="F1718" s="32"/>
      <c r="I1718" s="32"/>
    </row>
    <row r="1719" spans="2:9" x14ac:dyDescent="0.25">
      <c r="B1719" s="31"/>
      <c r="F1719" s="32"/>
      <c r="I1719" s="32"/>
    </row>
    <row r="1720" spans="2:9" x14ac:dyDescent="0.25">
      <c r="B1720" s="31"/>
      <c r="F1720" s="32"/>
      <c r="I1720" s="32"/>
    </row>
    <row r="1721" spans="2:9" x14ac:dyDescent="0.25">
      <c r="B1721" s="31"/>
      <c r="F1721" s="32"/>
      <c r="I1721" s="32"/>
    </row>
    <row r="1722" spans="2:9" x14ac:dyDescent="0.25">
      <c r="B1722" s="31"/>
      <c r="F1722" s="32"/>
      <c r="I1722" s="32"/>
    </row>
    <row r="1723" spans="2:9" x14ac:dyDescent="0.25">
      <c r="B1723" s="31"/>
      <c r="F1723" s="32"/>
      <c r="I1723" s="32"/>
    </row>
    <row r="1724" spans="2:9" x14ac:dyDescent="0.25">
      <c r="B1724" s="31"/>
      <c r="F1724" s="32"/>
      <c r="I1724" s="32"/>
    </row>
    <row r="1725" spans="2:9" x14ac:dyDescent="0.25">
      <c r="B1725" s="31"/>
      <c r="F1725" s="32"/>
      <c r="I1725" s="32"/>
    </row>
    <row r="1726" spans="2:9" x14ac:dyDescent="0.25">
      <c r="B1726" s="31"/>
      <c r="F1726" s="32"/>
      <c r="I1726" s="32"/>
    </row>
    <row r="1727" spans="2:9" x14ac:dyDescent="0.25">
      <c r="B1727" s="31"/>
      <c r="F1727" s="32"/>
      <c r="I1727" s="32"/>
    </row>
    <row r="1728" spans="2:9" x14ac:dyDescent="0.25">
      <c r="B1728" s="31"/>
      <c r="F1728" s="32"/>
      <c r="I1728" s="32"/>
    </row>
    <row r="1729" spans="2:9" x14ac:dyDescent="0.25">
      <c r="B1729" s="31"/>
      <c r="F1729" s="32"/>
      <c r="I1729" s="32"/>
    </row>
    <row r="1730" spans="2:9" x14ac:dyDescent="0.25">
      <c r="B1730" s="31"/>
      <c r="F1730" s="32"/>
      <c r="I1730" s="32"/>
    </row>
    <row r="1731" spans="2:9" x14ac:dyDescent="0.25">
      <c r="B1731" s="31"/>
      <c r="F1731" s="32"/>
      <c r="I1731" s="32"/>
    </row>
    <row r="1732" spans="2:9" x14ac:dyDescent="0.25">
      <c r="B1732" s="31"/>
      <c r="F1732" s="32"/>
      <c r="I1732" s="32"/>
    </row>
    <row r="1733" spans="2:9" x14ac:dyDescent="0.25">
      <c r="B1733" s="31"/>
      <c r="F1733" s="32"/>
      <c r="I1733" s="32"/>
    </row>
    <row r="1734" spans="2:9" x14ac:dyDescent="0.25">
      <c r="B1734" s="31"/>
      <c r="F1734" s="32"/>
      <c r="I1734" s="32"/>
    </row>
    <row r="1735" spans="2:9" x14ac:dyDescent="0.25">
      <c r="B1735" s="31"/>
      <c r="F1735" s="32"/>
      <c r="I1735" s="32"/>
    </row>
    <row r="1736" spans="2:9" x14ac:dyDescent="0.25">
      <c r="B1736" s="31"/>
      <c r="F1736" s="32"/>
      <c r="I1736" s="32"/>
    </row>
    <row r="1737" spans="2:9" x14ac:dyDescent="0.25">
      <c r="B1737" s="31"/>
      <c r="F1737" s="32"/>
      <c r="I1737" s="32"/>
    </row>
    <row r="1738" spans="2:9" x14ac:dyDescent="0.25">
      <c r="B1738" s="31"/>
      <c r="F1738" s="32"/>
      <c r="I1738" s="32"/>
    </row>
    <row r="1739" spans="2:9" x14ac:dyDescent="0.25">
      <c r="B1739" s="31"/>
      <c r="F1739" s="32"/>
      <c r="I1739" s="32"/>
    </row>
    <row r="1740" spans="2:9" x14ac:dyDescent="0.25">
      <c r="B1740" s="31"/>
      <c r="F1740" s="32"/>
      <c r="I1740" s="32"/>
    </row>
    <row r="1741" spans="2:9" x14ac:dyDescent="0.25">
      <c r="B1741" s="31"/>
      <c r="F1741" s="32"/>
      <c r="I1741" s="32"/>
    </row>
    <row r="1742" spans="2:9" x14ac:dyDescent="0.25">
      <c r="B1742" s="31"/>
      <c r="F1742" s="32"/>
      <c r="I1742" s="32"/>
    </row>
    <row r="1743" spans="2:9" x14ac:dyDescent="0.25">
      <c r="B1743" s="31"/>
      <c r="F1743" s="32"/>
      <c r="I1743" s="32"/>
    </row>
    <row r="1744" spans="2:9" x14ac:dyDescent="0.25">
      <c r="B1744" s="31"/>
      <c r="F1744" s="32"/>
      <c r="I1744" s="32"/>
    </row>
    <row r="1745" spans="2:9" x14ac:dyDescent="0.25">
      <c r="B1745" s="31"/>
      <c r="F1745" s="32"/>
      <c r="I1745" s="32"/>
    </row>
    <row r="1746" spans="2:9" x14ac:dyDescent="0.25">
      <c r="B1746" s="31"/>
      <c r="F1746" s="32"/>
      <c r="I1746" s="32"/>
    </row>
    <row r="1747" spans="2:9" x14ac:dyDescent="0.25">
      <c r="B1747" s="31"/>
      <c r="F1747" s="32"/>
      <c r="I1747" s="32"/>
    </row>
    <row r="1748" spans="2:9" x14ac:dyDescent="0.25">
      <c r="B1748" s="31"/>
      <c r="F1748" s="32"/>
      <c r="I1748" s="32"/>
    </row>
    <row r="1749" spans="2:9" x14ac:dyDescent="0.25">
      <c r="B1749" s="31"/>
      <c r="F1749" s="32"/>
      <c r="I1749" s="32"/>
    </row>
    <row r="1750" spans="2:9" x14ac:dyDescent="0.25">
      <c r="B1750" s="31"/>
      <c r="F1750" s="32"/>
      <c r="I1750" s="32"/>
    </row>
    <row r="1751" spans="2:9" x14ac:dyDescent="0.25">
      <c r="B1751" s="31"/>
      <c r="F1751" s="32"/>
      <c r="I1751" s="32"/>
    </row>
    <row r="1752" spans="2:9" x14ac:dyDescent="0.25">
      <c r="B1752" s="31"/>
      <c r="F1752" s="32"/>
      <c r="I1752" s="32"/>
    </row>
    <row r="1753" spans="2:9" x14ac:dyDescent="0.25">
      <c r="B1753" s="31"/>
      <c r="F1753" s="32"/>
      <c r="I1753" s="32"/>
    </row>
    <row r="1754" spans="2:9" x14ac:dyDescent="0.25">
      <c r="B1754" s="31"/>
      <c r="F1754" s="32"/>
      <c r="I1754" s="32"/>
    </row>
    <row r="1755" spans="2:9" x14ac:dyDescent="0.25">
      <c r="B1755" s="31"/>
      <c r="F1755" s="32"/>
      <c r="I1755" s="32"/>
    </row>
    <row r="1756" spans="2:9" x14ac:dyDescent="0.25">
      <c r="B1756" s="31"/>
      <c r="F1756" s="32"/>
      <c r="I1756" s="32"/>
    </row>
    <row r="1757" spans="2:9" x14ac:dyDescent="0.25">
      <c r="B1757" s="31"/>
      <c r="F1757" s="32"/>
      <c r="I1757" s="32"/>
    </row>
    <row r="1758" spans="2:9" x14ac:dyDescent="0.25">
      <c r="B1758" s="31"/>
      <c r="F1758" s="32"/>
      <c r="I1758" s="32"/>
    </row>
    <row r="1759" spans="2:9" x14ac:dyDescent="0.25">
      <c r="B1759" s="31"/>
      <c r="F1759" s="32"/>
      <c r="I1759" s="32"/>
    </row>
    <row r="1760" spans="2:9" x14ac:dyDescent="0.25">
      <c r="B1760" s="31"/>
      <c r="F1760" s="32"/>
      <c r="I1760" s="32"/>
    </row>
    <row r="1761" spans="2:9" x14ac:dyDescent="0.25">
      <c r="B1761" s="31"/>
      <c r="F1761" s="32"/>
      <c r="I1761" s="32"/>
    </row>
    <row r="1762" spans="2:9" x14ac:dyDescent="0.25">
      <c r="B1762" s="31"/>
      <c r="F1762" s="32"/>
      <c r="I1762" s="32"/>
    </row>
    <row r="1763" spans="2:9" x14ac:dyDescent="0.25">
      <c r="B1763" s="31"/>
      <c r="F1763" s="32"/>
      <c r="I1763" s="32"/>
    </row>
    <row r="1764" spans="2:9" x14ac:dyDescent="0.25">
      <c r="B1764" s="31"/>
      <c r="F1764" s="32"/>
      <c r="I1764" s="32"/>
    </row>
    <row r="1765" spans="2:9" x14ac:dyDescent="0.25">
      <c r="B1765" s="31"/>
      <c r="F1765" s="32"/>
      <c r="I1765" s="32"/>
    </row>
    <row r="1766" spans="2:9" x14ac:dyDescent="0.25">
      <c r="B1766" s="31"/>
      <c r="F1766" s="32"/>
      <c r="I1766" s="32"/>
    </row>
    <row r="1767" spans="2:9" x14ac:dyDescent="0.25">
      <c r="B1767" s="31"/>
      <c r="F1767" s="32"/>
      <c r="I1767" s="32"/>
    </row>
    <row r="1768" spans="2:9" x14ac:dyDescent="0.25">
      <c r="B1768" s="31"/>
      <c r="F1768" s="32"/>
      <c r="I1768" s="32"/>
    </row>
    <row r="1769" spans="2:9" x14ac:dyDescent="0.25">
      <c r="B1769" s="31"/>
      <c r="F1769" s="32"/>
      <c r="I1769" s="32"/>
    </row>
    <row r="1770" spans="2:9" x14ac:dyDescent="0.25">
      <c r="B1770" s="31"/>
      <c r="F1770" s="32"/>
      <c r="I1770" s="32"/>
    </row>
    <row r="1771" spans="2:9" x14ac:dyDescent="0.25">
      <c r="B1771" s="31"/>
      <c r="F1771" s="32"/>
      <c r="I1771" s="32"/>
    </row>
    <row r="1772" spans="2:9" x14ac:dyDescent="0.25">
      <c r="B1772" s="31"/>
      <c r="F1772" s="32"/>
      <c r="I1772" s="32"/>
    </row>
    <row r="1773" spans="2:9" x14ac:dyDescent="0.25">
      <c r="B1773" s="31"/>
      <c r="F1773" s="32"/>
      <c r="I1773" s="32"/>
    </row>
    <row r="1774" spans="2:9" x14ac:dyDescent="0.25">
      <c r="B1774" s="31"/>
      <c r="F1774" s="32"/>
      <c r="I1774" s="32"/>
    </row>
    <row r="1775" spans="2:9" x14ac:dyDescent="0.25">
      <c r="B1775" s="31"/>
      <c r="F1775" s="32"/>
      <c r="I1775" s="32"/>
    </row>
    <row r="1776" spans="2:9" x14ac:dyDescent="0.25">
      <c r="B1776" s="31"/>
      <c r="F1776" s="32"/>
      <c r="I1776" s="32"/>
    </row>
    <row r="1777" spans="2:9" x14ac:dyDescent="0.25">
      <c r="B1777" s="31"/>
      <c r="F1777" s="32"/>
      <c r="I1777" s="32"/>
    </row>
    <row r="1778" spans="2:9" x14ac:dyDescent="0.25">
      <c r="B1778" s="31"/>
      <c r="F1778" s="32"/>
      <c r="I1778" s="32"/>
    </row>
    <row r="1779" spans="2:9" x14ac:dyDescent="0.25">
      <c r="B1779" s="31"/>
      <c r="F1779" s="32"/>
      <c r="I1779" s="32"/>
    </row>
    <row r="1780" spans="2:9" x14ac:dyDescent="0.25">
      <c r="B1780" s="31"/>
      <c r="F1780" s="32"/>
      <c r="I1780" s="32"/>
    </row>
    <row r="1781" spans="2:9" x14ac:dyDescent="0.25">
      <c r="B1781" s="31"/>
      <c r="F1781" s="32"/>
      <c r="I1781" s="32"/>
    </row>
    <row r="1782" spans="2:9" x14ac:dyDescent="0.25">
      <c r="B1782" s="31"/>
      <c r="F1782" s="32"/>
      <c r="I1782" s="32"/>
    </row>
    <row r="1783" spans="2:9" x14ac:dyDescent="0.25">
      <c r="B1783" s="31"/>
      <c r="F1783" s="32"/>
      <c r="I1783" s="32"/>
    </row>
    <row r="1784" spans="2:9" x14ac:dyDescent="0.25">
      <c r="B1784" s="31"/>
      <c r="F1784" s="32"/>
      <c r="I1784" s="32"/>
    </row>
    <row r="1785" spans="2:9" x14ac:dyDescent="0.25">
      <c r="B1785" s="31"/>
      <c r="F1785" s="32"/>
      <c r="I1785" s="32"/>
    </row>
    <row r="1786" spans="2:9" x14ac:dyDescent="0.25">
      <c r="B1786" s="31"/>
      <c r="F1786" s="32"/>
      <c r="I1786" s="32"/>
    </row>
    <row r="1787" spans="2:9" x14ac:dyDescent="0.25">
      <c r="B1787" s="31"/>
      <c r="F1787" s="32"/>
      <c r="I1787" s="32"/>
    </row>
    <row r="1788" spans="2:9" x14ac:dyDescent="0.25">
      <c r="B1788" s="31"/>
      <c r="F1788" s="32"/>
      <c r="I1788" s="32"/>
    </row>
    <row r="1789" spans="2:9" x14ac:dyDescent="0.25">
      <c r="B1789" s="31"/>
      <c r="F1789" s="32"/>
      <c r="I1789" s="32"/>
    </row>
    <row r="1790" spans="2:9" x14ac:dyDescent="0.25">
      <c r="B1790" s="31"/>
      <c r="F1790" s="32"/>
      <c r="I1790" s="32"/>
    </row>
    <row r="1791" spans="2:9" x14ac:dyDescent="0.25">
      <c r="B1791" s="31"/>
      <c r="F1791" s="32"/>
      <c r="I1791" s="32"/>
    </row>
    <row r="1792" spans="2:9" x14ac:dyDescent="0.25">
      <c r="B1792" s="31"/>
      <c r="F1792" s="32"/>
      <c r="I1792" s="32"/>
    </row>
    <row r="1793" spans="2:9" x14ac:dyDescent="0.25">
      <c r="B1793" s="31"/>
      <c r="F1793" s="32"/>
      <c r="I1793" s="32"/>
    </row>
    <row r="1794" spans="2:9" x14ac:dyDescent="0.25">
      <c r="B1794" s="31"/>
      <c r="F1794" s="32"/>
      <c r="I1794" s="32"/>
    </row>
    <row r="1795" spans="2:9" x14ac:dyDescent="0.25">
      <c r="B1795" s="31"/>
      <c r="F1795" s="32"/>
      <c r="I1795" s="32"/>
    </row>
    <row r="1796" spans="2:9" x14ac:dyDescent="0.25">
      <c r="B1796" s="31"/>
      <c r="F1796" s="32"/>
      <c r="I1796" s="32"/>
    </row>
    <row r="1797" spans="2:9" x14ac:dyDescent="0.25">
      <c r="B1797" s="31"/>
      <c r="F1797" s="32"/>
      <c r="I1797" s="32"/>
    </row>
    <row r="1798" spans="2:9" x14ac:dyDescent="0.25">
      <c r="B1798" s="31"/>
      <c r="F1798" s="32"/>
      <c r="I1798" s="32"/>
    </row>
    <row r="1799" spans="2:9" x14ac:dyDescent="0.25">
      <c r="B1799" s="31"/>
      <c r="F1799" s="32"/>
      <c r="I1799" s="32"/>
    </row>
    <row r="1800" spans="2:9" x14ac:dyDescent="0.25">
      <c r="B1800" s="31"/>
      <c r="F1800" s="32"/>
      <c r="I1800" s="32"/>
    </row>
    <row r="1801" spans="2:9" x14ac:dyDescent="0.25">
      <c r="B1801" s="31"/>
      <c r="F1801" s="32"/>
      <c r="I1801" s="32"/>
    </row>
    <row r="1802" spans="2:9" x14ac:dyDescent="0.25">
      <c r="B1802" s="31"/>
      <c r="F1802" s="32"/>
      <c r="I1802" s="32"/>
    </row>
    <row r="1803" spans="2:9" x14ac:dyDescent="0.25">
      <c r="B1803" s="31"/>
      <c r="F1803" s="32"/>
      <c r="I1803" s="32"/>
    </row>
    <row r="1804" spans="2:9" x14ac:dyDescent="0.25">
      <c r="B1804" s="31"/>
      <c r="F1804" s="32"/>
      <c r="I1804" s="32"/>
    </row>
    <row r="1805" spans="2:9" x14ac:dyDescent="0.25">
      <c r="B1805" s="31"/>
      <c r="F1805" s="32"/>
      <c r="I1805" s="32"/>
    </row>
    <row r="1806" spans="2:9" x14ac:dyDescent="0.25">
      <c r="B1806" s="31"/>
      <c r="F1806" s="32"/>
      <c r="I1806" s="32"/>
    </row>
    <row r="1807" spans="2:9" x14ac:dyDescent="0.25">
      <c r="B1807" s="31"/>
      <c r="F1807" s="32"/>
      <c r="I1807" s="32"/>
    </row>
    <row r="1808" spans="2:9" x14ac:dyDescent="0.25">
      <c r="B1808" s="31"/>
      <c r="F1808" s="32"/>
      <c r="I1808" s="32"/>
    </row>
    <row r="1809" spans="2:9" x14ac:dyDescent="0.25">
      <c r="B1809" s="31"/>
      <c r="F1809" s="32"/>
      <c r="I1809" s="32"/>
    </row>
    <row r="1810" spans="2:9" x14ac:dyDescent="0.25">
      <c r="B1810" s="31"/>
      <c r="F1810" s="32"/>
      <c r="I1810" s="32"/>
    </row>
    <row r="1811" spans="2:9" x14ac:dyDescent="0.25">
      <c r="B1811" s="31"/>
      <c r="F1811" s="32"/>
      <c r="I1811" s="32"/>
    </row>
    <row r="1812" spans="2:9" x14ac:dyDescent="0.25">
      <c r="B1812" s="31"/>
      <c r="F1812" s="32"/>
      <c r="I1812" s="32"/>
    </row>
    <row r="1813" spans="2:9" x14ac:dyDescent="0.25">
      <c r="B1813" s="31"/>
      <c r="F1813" s="32"/>
      <c r="I1813" s="32"/>
    </row>
    <row r="1814" spans="2:9" x14ac:dyDescent="0.25">
      <c r="B1814" s="31"/>
      <c r="F1814" s="32"/>
      <c r="I1814" s="32"/>
    </row>
    <row r="1815" spans="2:9" x14ac:dyDescent="0.25">
      <c r="B1815" s="31"/>
      <c r="F1815" s="32"/>
      <c r="I1815" s="32"/>
    </row>
    <row r="1816" spans="2:9" x14ac:dyDescent="0.25">
      <c r="B1816" s="31"/>
      <c r="F1816" s="32"/>
      <c r="I1816" s="32"/>
    </row>
    <row r="1817" spans="2:9" x14ac:dyDescent="0.25">
      <c r="B1817" s="31"/>
      <c r="F1817" s="32"/>
      <c r="I1817" s="32"/>
    </row>
    <row r="1818" spans="2:9" x14ac:dyDescent="0.25">
      <c r="B1818" s="31"/>
      <c r="F1818" s="32"/>
      <c r="I1818" s="32"/>
    </row>
    <row r="1819" spans="2:9" x14ac:dyDescent="0.25">
      <c r="B1819" s="31"/>
      <c r="F1819" s="32"/>
      <c r="I1819" s="32"/>
    </row>
    <row r="1820" spans="2:9" x14ac:dyDescent="0.25">
      <c r="B1820" s="31"/>
      <c r="F1820" s="32"/>
      <c r="I1820" s="32"/>
    </row>
    <row r="1821" spans="2:9" x14ac:dyDescent="0.25">
      <c r="B1821" s="31"/>
      <c r="F1821" s="32"/>
      <c r="I1821" s="32"/>
    </row>
    <row r="1822" spans="2:9" x14ac:dyDescent="0.25">
      <c r="B1822" s="31"/>
      <c r="F1822" s="32"/>
      <c r="I1822" s="32"/>
    </row>
    <row r="1823" spans="2:9" x14ac:dyDescent="0.25">
      <c r="B1823" s="31"/>
      <c r="F1823" s="32"/>
      <c r="I1823" s="32"/>
    </row>
    <row r="1824" spans="2:9" x14ac:dyDescent="0.25">
      <c r="B1824" s="31"/>
      <c r="F1824" s="32"/>
      <c r="I1824" s="32"/>
    </row>
    <row r="1825" spans="2:9" x14ac:dyDescent="0.25">
      <c r="B1825" s="31"/>
      <c r="F1825" s="32"/>
      <c r="I1825" s="32"/>
    </row>
    <row r="1826" spans="2:9" x14ac:dyDescent="0.25">
      <c r="B1826" s="31"/>
      <c r="F1826" s="32"/>
      <c r="I1826" s="32"/>
    </row>
    <row r="1827" spans="2:9" x14ac:dyDescent="0.25">
      <c r="B1827" s="31"/>
      <c r="F1827" s="32"/>
      <c r="I1827" s="32"/>
    </row>
    <row r="1828" spans="2:9" x14ac:dyDescent="0.25">
      <c r="B1828" s="31"/>
      <c r="F1828" s="32"/>
      <c r="I1828" s="32"/>
    </row>
    <row r="1829" spans="2:9" x14ac:dyDescent="0.25">
      <c r="B1829" s="31"/>
      <c r="F1829" s="32"/>
      <c r="I1829" s="32"/>
    </row>
    <row r="1830" spans="2:9" x14ac:dyDescent="0.25">
      <c r="B1830" s="31"/>
      <c r="F1830" s="32"/>
      <c r="I1830" s="32"/>
    </row>
    <row r="1831" spans="2:9" x14ac:dyDescent="0.25">
      <c r="B1831" s="31"/>
      <c r="F1831" s="32"/>
      <c r="I1831" s="32"/>
    </row>
    <row r="1832" spans="2:9" x14ac:dyDescent="0.25">
      <c r="B1832" s="31"/>
      <c r="F1832" s="32"/>
      <c r="I1832" s="32"/>
    </row>
    <row r="1833" spans="2:9" x14ac:dyDescent="0.25">
      <c r="B1833" s="31"/>
      <c r="F1833" s="32"/>
      <c r="I1833" s="32"/>
    </row>
    <row r="1834" spans="2:9" x14ac:dyDescent="0.25">
      <c r="B1834" s="31"/>
      <c r="F1834" s="32"/>
      <c r="I1834" s="32"/>
    </row>
    <row r="1835" spans="2:9" x14ac:dyDescent="0.25">
      <c r="B1835" s="31"/>
      <c r="F1835" s="32"/>
      <c r="I1835" s="32"/>
    </row>
    <row r="1836" spans="2:9" x14ac:dyDescent="0.25">
      <c r="B1836" s="31"/>
      <c r="F1836" s="32"/>
      <c r="I1836" s="32"/>
    </row>
    <row r="1837" spans="2:9" x14ac:dyDescent="0.25">
      <c r="B1837" s="31"/>
      <c r="F1837" s="32"/>
      <c r="I1837" s="32"/>
    </row>
    <row r="1838" spans="2:9" x14ac:dyDescent="0.25">
      <c r="B1838" s="31"/>
      <c r="F1838" s="32"/>
      <c r="I1838" s="32"/>
    </row>
    <row r="1839" spans="2:9" x14ac:dyDescent="0.25">
      <c r="B1839" s="31"/>
      <c r="F1839" s="32"/>
      <c r="I1839" s="32"/>
    </row>
    <row r="1840" spans="2:9" x14ac:dyDescent="0.25">
      <c r="B1840" s="31"/>
      <c r="F1840" s="32"/>
      <c r="I1840" s="32"/>
    </row>
    <row r="1841" spans="2:9" x14ac:dyDescent="0.25">
      <c r="B1841" s="31"/>
      <c r="F1841" s="32"/>
      <c r="I1841" s="32"/>
    </row>
    <row r="1842" spans="2:9" x14ac:dyDescent="0.25">
      <c r="B1842" s="31"/>
      <c r="F1842" s="32"/>
      <c r="I1842" s="32"/>
    </row>
    <row r="1843" spans="2:9" x14ac:dyDescent="0.25">
      <c r="B1843" s="31"/>
      <c r="F1843" s="32"/>
      <c r="I1843" s="32"/>
    </row>
    <row r="1844" spans="2:9" x14ac:dyDescent="0.25">
      <c r="B1844" s="31"/>
      <c r="F1844" s="32"/>
      <c r="I1844" s="32"/>
    </row>
    <row r="1845" spans="2:9" x14ac:dyDescent="0.25">
      <c r="B1845" s="31"/>
      <c r="F1845" s="32"/>
      <c r="I1845" s="32"/>
    </row>
    <row r="1846" spans="2:9" x14ac:dyDescent="0.25">
      <c r="B1846" s="31"/>
      <c r="F1846" s="32"/>
      <c r="I1846" s="32"/>
    </row>
    <row r="1847" spans="2:9" x14ac:dyDescent="0.25">
      <c r="B1847" s="31"/>
      <c r="F1847" s="32"/>
      <c r="I1847" s="32"/>
    </row>
    <row r="1848" spans="2:9" x14ac:dyDescent="0.25">
      <c r="B1848" s="31"/>
      <c r="F1848" s="32"/>
      <c r="I1848" s="32"/>
    </row>
    <row r="1849" spans="2:9" x14ac:dyDescent="0.25">
      <c r="B1849" s="31"/>
      <c r="F1849" s="32"/>
      <c r="I1849" s="32"/>
    </row>
    <row r="1850" spans="2:9" x14ac:dyDescent="0.25">
      <c r="B1850" s="31"/>
      <c r="F1850" s="32"/>
      <c r="I1850" s="32"/>
    </row>
    <row r="1851" spans="2:9" x14ac:dyDescent="0.25">
      <c r="B1851" s="31"/>
      <c r="F1851" s="32"/>
      <c r="I1851" s="32"/>
    </row>
    <row r="1852" spans="2:9" x14ac:dyDescent="0.25">
      <c r="B1852" s="31"/>
      <c r="F1852" s="32"/>
      <c r="I1852" s="32"/>
    </row>
    <row r="1853" spans="2:9" x14ac:dyDescent="0.25">
      <c r="B1853" s="31"/>
      <c r="F1853" s="32"/>
      <c r="I1853" s="32"/>
    </row>
    <row r="1854" spans="2:9" x14ac:dyDescent="0.25">
      <c r="B1854" s="31"/>
      <c r="F1854" s="32"/>
      <c r="I1854" s="32"/>
    </row>
    <row r="1855" spans="2:9" x14ac:dyDescent="0.25">
      <c r="B1855" s="31"/>
      <c r="F1855" s="32"/>
      <c r="I1855" s="32"/>
    </row>
    <row r="1856" spans="2:9" x14ac:dyDescent="0.25">
      <c r="B1856" s="31"/>
      <c r="F1856" s="32"/>
      <c r="I1856" s="32"/>
    </row>
    <row r="1857" spans="2:9" x14ac:dyDescent="0.25">
      <c r="B1857" s="31"/>
      <c r="F1857" s="32"/>
      <c r="I1857" s="32"/>
    </row>
    <row r="1858" spans="2:9" x14ac:dyDescent="0.25">
      <c r="B1858" s="31"/>
      <c r="F1858" s="32"/>
      <c r="I1858" s="32"/>
    </row>
    <row r="1859" spans="2:9" x14ac:dyDescent="0.25">
      <c r="B1859" s="31"/>
      <c r="F1859" s="32"/>
      <c r="I1859" s="32"/>
    </row>
    <row r="1860" spans="2:9" x14ac:dyDescent="0.25">
      <c r="B1860" s="31"/>
      <c r="F1860" s="32"/>
      <c r="I1860" s="32"/>
    </row>
    <row r="1861" spans="2:9" x14ac:dyDescent="0.25">
      <c r="B1861" s="31"/>
      <c r="F1861" s="32"/>
      <c r="I1861" s="32"/>
    </row>
    <row r="1862" spans="2:9" x14ac:dyDescent="0.25">
      <c r="B1862" s="31"/>
      <c r="F1862" s="32"/>
      <c r="I1862" s="32"/>
    </row>
    <row r="1863" spans="2:9" x14ac:dyDescent="0.25">
      <c r="B1863" s="31"/>
      <c r="F1863" s="32"/>
      <c r="I1863" s="32"/>
    </row>
    <row r="1864" spans="2:9" x14ac:dyDescent="0.25">
      <c r="B1864" s="31"/>
      <c r="F1864" s="32"/>
      <c r="I1864" s="32"/>
    </row>
    <row r="1865" spans="2:9" x14ac:dyDescent="0.25">
      <c r="B1865" s="31"/>
      <c r="F1865" s="32"/>
      <c r="I1865" s="32"/>
    </row>
    <row r="1866" spans="2:9" x14ac:dyDescent="0.25">
      <c r="B1866" s="31"/>
      <c r="F1866" s="32"/>
      <c r="I1866" s="32"/>
    </row>
    <row r="1867" spans="2:9" x14ac:dyDescent="0.25">
      <c r="B1867" s="31"/>
      <c r="F1867" s="32"/>
      <c r="I1867" s="32"/>
    </row>
    <row r="1868" spans="2:9" x14ac:dyDescent="0.25">
      <c r="B1868" s="31"/>
      <c r="F1868" s="32"/>
      <c r="I1868" s="32"/>
    </row>
    <row r="1869" spans="2:9" x14ac:dyDescent="0.25">
      <c r="B1869" s="31"/>
      <c r="F1869" s="32"/>
      <c r="I1869" s="32"/>
    </row>
    <row r="1870" spans="2:9" x14ac:dyDescent="0.25">
      <c r="B1870" s="31"/>
      <c r="F1870" s="32"/>
      <c r="I1870" s="32"/>
    </row>
    <row r="1871" spans="2:9" x14ac:dyDescent="0.25">
      <c r="B1871" s="31"/>
      <c r="F1871" s="32"/>
      <c r="I1871" s="32"/>
    </row>
    <row r="1872" spans="2:9" x14ac:dyDescent="0.25">
      <c r="B1872" s="31"/>
      <c r="F1872" s="32"/>
      <c r="I1872" s="32"/>
    </row>
    <row r="1873" spans="2:9" x14ac:dyDescent="0.25">
      <c r="B1873" s="31"/>
      <c r="F1873" s="32"/>
      <c r="I1873" s="32"/>
    </row>
    <row r="1874" spans="2:9" x14ac:dyDescent="0.25">
      <c r="B1874" s="31"/>
      <c r="F1874" s="32"/>
      <c r="I1874" s="32"/>
    </row>
    <row r="1875" spans="2:9" x14ac:dyDescent="0.25">
      <c r="B1875" s="31"/>
      <c r="F1875" s="32"/>
      <c r="I1875" s="32"/>
    </row>
    <row r="1876" spans="2:9" x14ac:dyDescent="0.25">
      <c r="B1876" s="31"/>
      <c r="F1876" s="32"/>
      <c r="I1876" s="32"/>
    </row>
    <row r="1877" spans="2:9" x14ac:dyDescent="0.25">
      <c r="B1877" s="31"/>
      <c r="F1877" s="32"/>
      <c r="I1877" s="32"/>
    </row>
    <row r="1878" spans="2:9" x14ac:dyDescent="0.25">
      <c r="B1878" s="31"/>
      <c r="F1878" s="32"/>
      <c r="I1878" s="32"/>
    </row>
    <row r="1879" spans="2:9" x14ac:dyDescent="0.25">
      <c r="B1879" s="31"/>
      <c r="F1879" s="32"/>
      <c r="I1879" s="32"/>
    </row>
    <row r="1880" spans="2:9" x14ac:dyDescent="0.25">
      <c r="B1880" s="31"/>
      <c r="F1880" s="32"/>
      <c r="I1880" s="32"/>
    </row>
    <row r="1881" spans="2:9" x14ac:dyDescent="0.25">
      <c r="B1881" s="31"/>
      <c r="F1881" s="32"/>
      <c r="I1881" s="32"/>
    </row>
    <row r="1882" spans="2:9" x14ac:dyDescent="0.25">
      <c r="B1882" s="31"/>
      <c r="F1882" s="32"/>
      <c r="I1882" s="32"/>
    </row>
    <row r="1883" spans="2:9" x14ac:dyDescent="0.25">
      <c r="B1883" s="31"/>
      <c r="F1883" s="32"/>
      <c r="I1883" s="32"/>
    </row>
    <row r="1884" spans="2:9" x14ac:dyDescent="0.25">
      <c r="B1884" s="31"/>
      <c r="F1884" s="32"/>
      <c r="I1884" s="32"/>
    </row>
    <row r="1885" spans="2:9" x14ac:dyDescent="0.25">
      <c r="B1885" s="31"/>
      <c r="F1885" s="32"/>
      <c r="I1885" s="32"/>
    </row>
    <row r="1886" spans="2:9" x14ac:dyDescent="0.25">
      <c r="B1886" s="31"/>
      <c r="F1886" s="32"/>
      <c r="I1886" s="32"/>
    </row>
    <row r="1887" spans="2:9" x14ac:dyDescent="0.25">
      <c r="B1887" s="31"/>
      <c r="F1887" s="32"/>
      <c r="I1887" s="32"/>
    </row>
    <row r="1888" spans="2:9" x14ac:dyDescent="0.25">
      <c r="B1888" s="31"/>
      <c r="F1888" s="32"/>
      <c r="I1888" s="32"/>
    </row>
    <row r="1889" spans="2:9" x14ac:dyDescent="0.25">
      <c r="B1889" s="31"/>
      <c r="F1889" s="32"/>
      <c r="I1889" s="32"/>
    </row>
    <row r="1890" spans="2:9" x14ac:dyDescent="0.25">
      <c r="B1890" s="31"/>
      <c r="F1890" s="32"/>
      <c r="I1890" s="32"/>
    </row>
    <row r="1891" spans="2:9" x14ac:dyDescent="0.25">
      <c r="B1891" s="31"/>
      <c r="F1891" s="32"/>
      <c r="I1891" s="32"/>
    </row>
    <row r="1892" spans="2:9" x14ac:dyDescent="0.25">
      <c r="B1892" s="31"/>
      <c r="F1892" s="32"/>
      <c r="I1892" s="32"/>
    </row>
    <row r="1893" spans="2:9" x14ac:dyDescent="0.25">
      <c r="B1893" s="31"/>
      <c r="F1893" s="32"/>
      <c r="I1893" s="32"/>
    </row>
    <row r="1894" spans="2:9" x14ac:dyDescent="0.25">
      <c r="B1894" s="31"/>
      <c r="F1894" s="32"/>
      <c r="I1894" s="32"/>
    </row>
    <row r="1895" spans="2:9" x14ac:dyDescent="0.25">
      <c r="B1895" s="31"/>
      <c r="F1895" s="32"/>
      <c r="I1895" s="32"/>
    </row>
    <row r="1896" spans="2:9" x14ac:dyDescent="0.25">
      <c r="B1896" s="31"/>
      <c r="F1896" s="32"/>
      <c r="I1896" s="32"/>
    </row>
    <row r="1897" spans="2:9" x14ac:dyDescent="0.25">
      <c r="B1897" s="31"/>
      <c r="F1897" s="32"/>
      <c r="I1897" s="32"/>
    </row>
    <row r="1898" spans="2:9" x14ac:dyDescent="0.25">
      <c r="B1898" s="31"/>
      <c r="F1898" s="32"/>
      <c r="I1898" s="32"/>
    </row>
    <row r="1899" spans="2:9" x14ac:dyDescent="0.25">
      <c r="B1899" s="31"/>
      <c r="F1899" s="32"/>
      <c r="I1899" s="32"/>
    </row>
    <row r="1900" spans="2:9" x14ac:dyDescent="0.25">
      <c r="B1900" s="31"/>
      <c r="F1900" s="32"/>
      <c r="I1900" s="32"/>
    </row>
    <row r="1901" spans="2:9" x14ac:dyDescent="0.25">
      <c r="B1901" s="31"/>
      <c r="F1901" s="32"/>
      <c r="I1901" s="32"/>
    </row>
    <row r="1902" spans="2:9" x14ac:dyDescent="0.25">
      <c r="B1902" s="31"/>
      <c r="F1902" s="32"/>
      <c r="I1902" s="32"/>
    </row>
    <row r="1903" spans="2:9" x14ac:dyDescent="0.25">
      <c r="B1903" s="31"/>
      <c r="F1903" s="32"/>
      <c r="I1903" s="32"/>
    </row>
    <row r="1904" spans="2:9" x14ac:dyDescent="0.25">
      <c r="B1904" s="31"/>
      <c r="F1904" s="32"/>
      <c r="I1904" s="32"/>
    </row>
    <row r="1905" spans="2:9" x14ac:dyDescent="0.25">
      <c r="B1905" s="31"/>
      <c r="F1905" s="32"/>
      <c r="I1905" s="32"/>
    </row>
    <row r="1906" spans="2:9" x14ac:dyDescent="0.25">
      <c r="B1906" s="31"/>
      <c r="F1906" s="32"/>
      <c r="I1906" s="32"/>
    </row>
    <row r="1907" spans="2:9" x14ac:dyDescent="0.25">
      <c r="B1907" s="31"/>
      <c r="F1907" s="32"/>
      <c r="I1907" s="32"/>
    </row>
    <row r="1908" spans="2:9" x14ac:dyDescent="0.25">
      <c r="B1908" s="31"/>
      <c r="F1908" s="32"/>
      <c r="I1908" s="32"/>
    </row>
    <row r="1909" spans="2:9" x14ac:dyDescent="0.25">
      <c r="B1909" s="31"/>
      <c r="F1909" s="32"/>
      <c r="I1909" s="32"/>
    </row>
    <row r="1910" spans="2:9" x14ac:dyDescent="0.25">
      <c r="B1910" s="31"/>
      <c r="F1910" s="32"/>
      <c r="I1910" s="32"/>
    </row>
    <row r="1911" spans="2:9" x14ac:dyDescent="0.25">
      <c r="B1911" s="31"/>
      <c r="F1911" s="32"/>
      <c r="I1911" s="32"/>
    </row>
    <row r="1912" spans="2:9" x14ac:dyDescent="0.25">
      <c r="B1912" s="31"/>
      <c r="F1912" s="32"/>
      <c r="I1912" s="32"/>
    </row>
    <row r="1913" spans="2:9" x14ac:dyDescent="0.25">
      <c r="B1913" s="31"/>
      <c r="F1913" s="32"/>
      <c r="I1913" s="32"/>
    </row>
    <row r="1914" spans="2:9" x14ac:dyDescent="0.25">
      <c r="B1914" s="31"/>
      <c r="F1914" s="32"/>
      <c r="I1914" s="32"/>
    </row>
    <row r="1915" spans="2:9" x14ac:dyDescent="0.25">
      <c r="B1915" s="31"/>
      <c r="F1915" s="32"/>
      <c r="I1915" s="32"/>
    </row>
    <row r="1916" spans="2:9" x14ac:dyDescent="0.25">
      <c r="B1916" s="31"/>
      <c r="F1916" s="32"/>
      <c r="I1916" s="32"/>
    </row>
    <row r="1917" spans="2:9" x14ac:dyDescent="0.25">
      <c r="B1917" s="31"/>
      <c r="F1917" s="32"/>
      <c r="I1917" s="32"/>
    </row>
    <row r="1918" spans="2:9" x14ac:dyDescent="0.25">
      <c r="B1918" s="31"/>
      <c r="F1918" s="32"/>
      <c r="I1918" s="32"/>
    </row>
    <row r="1919" spans="2:9" x14ac:dyDescent="0.25">
      <c r="B1919" s="31"/>
      <c r="F1919" s="32"/>
      <c r="I1919" s="32"/>
    </row>
    <row r="1920" spans="2:9" x14ac:dyDescent="0.25">
      <c r="B1920" s="31"/>
      <c r="F1920" s="32"/>
      <c r="I1920" s="32"/>
    </row>
    <row r="1921" spans="2:9" x14ac:dyDescent="0.25">
      <c r="B1921" s="31"/>
      <c r="F1921" s="32"/>
      <c r="I1921" s="32"/>
    </row>
    <row r="1922" spans="2:9" x14ac:dyDescent="0.25">
      <c r="B1922" s="31"/>
      <c r="F1922" s="32"/>
      <c r="I1922" s="32"/>
    </row>
    <row r="1923" spans="2:9" x14ac:dyDescent="0.25">
      <c r="B1923" s="31"/>
      <c r="F1923" s="32"/>
      <c r="I1923" s="32"/>
    </row>
    <row r="1924" spans="2:9" x14ac:dyDescent="0.25">
      <c r="B1924" s="31"/>
      <c r="F1924" s="32"/>
      <c r="I1924" s="32"/>
    </row>
    <row r="1925" spans="2:9" x14ac:dyDescent="0.25">
      <c r="B1925" s="31"/>
      <c r="F1925" s="32"/>
      <c r="I1925" s="32"/>
    </row>
    <row r="1926" spans="2:9" x14ac:dyDescent="0.25">
      <c r="B1926" s="31"/>
      <c r="F1926" s="32"/>
      <c r="I1926" s="32"/>
    </row>
    <row r="1927" spans="2:9" x14ac:dyDescent="0.25">
      <c r="B1927" s="31"/>
      <c r="F1927" s="32"/>
      <c r="I1927" s="32"/>
    </row>
    <row r="1928" spans="2:9" x14ac:dyDescent="0.25">
      <c r="B1928" s="31"/>
      <c r="F1928" s="32"/>
      <c r="I1928" s="32"/>
    </row>
    <row r="1929" spans="2:9" x14ac:dyDescent="0.25">
      <c r="B1929" s="31"/>
      <c r="F1929" s="32"/>
      <c r="I1929" s="32"/>
    </row>
    <row r="1930" spans="2:9" x14ac:dyDescent="0.25">
      <c r="B1930" s="31"/>
      <c r="F1930" s="32"/>
      <c r="I1930" s="32"/>
    </row>
    <row r="1931" spans="2:9" x14ac:dyDescent="0.25">
      <c r="B1931" s="31"/>
      <c r="F1931" s="32"/>
      <c r="I1931" s="32"/>
    </row>
    <row r="1932" spans="2:9" x14ac:dyDescent="0.25">
      <c r="B1932" s="31"/>
      <c r="F1932" s="32"/>
      <c r="I1932" s="32"/>
    </row>
    <row r="1933" spans="2:9" x14ac:dyDescent="0.25">
      <c r="B1933" s="31"/>
      <c r="F1933" s="32"/>
      <c r="I1933" s="32"/>
    </row>
    <row r="1934" spans="2:9" x14ac:dyDescent="0.25">
      <c r="B1934" s="31"/>
      <c r="F1934" s="32"/>
      <c r="I1934" s="32"/>
    </row>
    <row r="1935" spans="2:9" x14ac:dyDescent="0.25">
      <c r="B1935" s="31"/>
      <c r="F1935" s="32"/>
      <c r="I1935" s="32"/>
    </row>
    <row r="1936" spans="2:9" x14ac:dyDescent="0.25">
      <c r="B1936" s="31"/>
      <c r="F1936" s="32"/>
      <c r="I1936" s="32"/>
    </row>
    <row r="1937" spans="2:9" x14ac:dyDescent="0.25">
      <c r="B1937" s="31"/>
      <c r="F1937" s="32"/>
      <c r="I1937" s="32"/>
    </row>
    <row r="1938" spans="2:9" x14ac:dyDescent="0.25">
      <c r="B1938" s="31"/>
      <c r="F1938" s="32"/>
      <c r="I1938" s="32"/>
    </row>
    <row r="1939" spans="2:9" x14ac:dyDescent="0.25">
      <c r="B1939" s="31"/>
      <c r="F1939" s="32"/>
      <c r="I1939" s="32"/>
    </row>
    <row r="1940" spans="2:9" x14ac:dyDescent="0.25">
      <c r="B1940" s="31"/>
      <c r="F1940" s="32"/>
      <c r="I1940" s="32"/>
    </row>
    <row r="1941" spans="2:9" x14ac:dyDescent="0.25">
      <c r="B1941" s="31"/>
      <c r="F1941" s="32"/>
      <c r="I1941" s="32"/>
    </row>
    <row r="1942" spans="2:9" x14ac:dyDescent="0.25">
      <c r="B1942" s="31"/>
      <c r="F1942" s="32"/>
      <c r="I1942" s="32"/>
    </row>
    <row r="1943" spans="2:9" x14ac:dyDescent="0.25">
      <c r="B1943" s="31"/>
      <c r="F1943" s="32"/>
      <c r="I1943" s="32"/>
    </row>
    <row r="1944" spans="2:9" x14ac:dyDescent="0.25">
      <c r="B1944" s="31"/>
      <c r="F1944" s="32"/>
      <c r="I1944" s="32"/>
    </row>
    <row r="1945" spans="2:9" x14ac:dyDescent="0.25">
      <c r="B1945" s="31"/>
      <c r="F1945" s="32"/>
      <c r="I1945" s="32"/>
    </row>
    <row r="1946" spans="2:9" x14ac:dyDescent="0.25">
      <c r="B1946" s="31"/>
      <c r="F1946" s="32"/>
      <c r="I1946" s="32"/>
    </row>
    <row r="1947" spans="2:9" x14ac:dyDescent="0.25">
      <c r="B1947" s="31"/>
      <c r="F1947" s="32"/>
      <c r="I1947" s="32"/>
    </row>
    <row r="1948" spans="2:9" x14ac:dyDescent="0.25">
      <c r="B1948" s="31"/>
      <c r="F1948" s="32"/>
      <c r="I1948" s="32"/>
    </row>
    <row r="1949" spans="2:9" x14ac:dyDescent="0.25">
      <c r="B1949" s="31"/>
      <c r="F1949" s="32"/>
      <c r="I1949" s="32"/>
    </row>
    <row r="1950" spans="2:9" x14ac:dyDescent="0.25">
      <c r="B1950" s="31"/>
      <c r="F1950" s="32"/>
      <c r="I1950" s="32"/>
    </row>
    <row r="1951" spans="2:9" x14ac:dyDescent="0.25">
      <c r="B1951" s="31"/>
      <c r="F1951" s="32"/>
      <c r="I1951" s="32"/>
    </row>
    <row r="1952" spans="2:9" x14ac:dyDescent="0.25">
      <c r="B1952" s="31"/>
      <c r="F1952" s="32"/>
      <c r="I1952" s="32"/>
    </row>
    <row r="1953" spans="2:9" x14ac:dyDescent="0.25">
      <c r="B1953" s="31"/>
      <c r="F1953" s="32"/>
      <c r="I1953" s="32"/>
    </row>
    <row r="1954" spans="2:9" x14ac:dyDescent="0.25">
      <c r="B1954" s="31"/>
      <c r="F1954" s="32"/>
      <c r="I1954" s="32"/>
    </row>
    <row r="1955" spans="2:9" x14ac:dyDescent="0.25">
      <c r="B1955" s="31"/>
      <c r="F1955" s="32"/>
      <c r="I1955" s="32"/>
    </row>
    <row r="1956" spans="2:9" x14ac:dyDescent="0.25">
      <c r="B1956" s="31"/>
      <c r="F1956" s="32"/>
      <c r="I1956" s="32"/>
    </row>
    <row r="1957" spans="2:9" x14ac:dyDescent="0.25">
      <c r="B1957" s="31"/>
      <c r="F1957" s="32"/>
      <c r="I1957" s="32"/>
    </row>
    <row r="1958" spans="2:9" x14ac:dyDescent="0.25">
      <c r="B1958" s="31"/>
      <c r="F1958" s="32"/>
      <c r="I1958" s="32"/>
    </row>
    <row r="1959" spans="2:9" x14ac:dyDescent="0.25">
      <c r="B1959" s="31"/>
      <c r="F1959" s="32"/>
      <c r="I1959" s="32"/>
    </row>
    <row r="1960" spans="2:9" x14ac:dyDescent="0.25">
      <c r="B1960" s="31"/>
      <c r="F1960" s="32"/>
      <c r="I1960" s="32"/>
    </row>
    <row r="1961" spans="2:9" x14ac:dyDescent="0.25">
      <c r="B1961" s="31"/>
      <c r="F1961" s="32"/>
      <c r="I1961" s="32"/>
    </row>
    <row r="1962" spans="2:9" x14ac:dyDescent="0.25">
      <c r="B1962" s="31"/>
      <c r="F1962" s="32"/>
      <c r="I1962" s="32"/>
    </row>
    <row r="1963" spans="2:9" x14ac:dyDescent="0.25">
      <c r="B1963" s="31"/>
      <c r="F1963" s="32"/>
      <c r="I1963" s="32"/>
    </row>
    <row r="1964" spans="2:9" x14ac:dyDescent="0.25">
      <c r="B1964" s="31"/>
      <c r="F1964" s="32"/>
      <c r="I1964" s="32"/>
    </row>
    <row r="1965" spans="2:9" x14ac:dyDescent="0.25">
      <c r="B1965" s="31"/>
      <c r="F1965" s="32"/>
      <c r="I1965" s="32"/>
    </row>
    <row r="1966" spans="2:9" x14ac:dyDescent="0.25">
      <c r="B1966" s="31"/>
      <c r="F1966" s="32"/>
      <c r="I1966" s="32"/>
    </row>
    <row r="1967" spans="2:9" x14ac:dyDescent="0.25">
      <c r="B1967" s="31"/>
      <c r="F1967" s="32"/>
      <c r="I1967" s="32"/>
    </row>
    <row r="1968" spans="2:9" x14ac:dyDescent="0.25">
      <c r="B1968" s="31"/>
      <c r="F1968" s="32"/>
      <c r="I1968" s="32"/>
    </row>
    <row r="1969" spans="2:9" x14ac:dyDescent="0.25">
      <c r="B1969" s="31"/>
      <c r="F1969" s="32"/>
      <c r="I1969" s="32"/>
    </row>
    <row r="1970" spans="2:9" x14ac:dyDescent="0.25">
      <c r="B1970" s="31"/>
      <c r="F1970" s="32"/>
      <c r="I1970" s="32"/>
    </row>
    <row r="1971" spans="2:9" x14ac:dyDescent="0.25">
      <c r="B1971" s="31"/>
      <c r="F1971" s="32"/>
      <c r="I1971" s="32"/>
    </row>
    <row r="1972" spans="2:9" x14ac:dyDescent="0.25">
      <c r="B1972" s="31"/>
      <c r="F1972" s="32"/>
      <c r="I1972" s="32"/>
    </row>
    <row r="1973" spans="2:9" x14ac:dyDescent="0.25">
      <c r="B1973" s="31"/>
      <c r="F1973" s="32"/>
      <c r="I1973" s="32"/>
    </row>
    <row r="1974" spans="2:9" x14ac:dyDescent="0.25">
      <c r="B1974" s="31"/>
      <c r="F1974" s="32"/>
      <c r="I1974" s="32"/>
    </row>
    <row r="1975" spans="2:9" x14ac:dyDescent="0.25">
      <c r="B1975" s="31"/>
      <c r="F1975" s="32"/>
      <c r="I1975" s="32"/>
    </row>
    <row r="1976" spans="2:9" x14ac:dyDescent="0.25">
      <c r="B1976" s="31"/>
      <c r="F1976" s="32"/>
      <c r="I1976" s="32"/>
    </row>
    <row r="1977" spans="2:9" x14ac:dyDescent="0.25">
      <c r="B1977" s="31"/>
      <c r="F1977" s="32"/>
      <c r="I1977" s="32"/>
    </row>
    <row r="1978" spans="2:9" x14ac:dyDescent="0.25">
      <c r="B1978" s="31"/>
      <c r="F1978" s="32"/>
      <c r="I1978" s="32"/>
    </row>
    <row r="1979" spans="2:9" x14ac:dyDescent="0.25">
      <c r="B1979" s="31"/>
      <c r="F1979" s="32"/>
      <c r="I1979" s="32"/>
    </row>
    <row r="1980" spans="2:9" x14ac:dyDescent="0.25">
      <c r="B1980" s="31"/>
      <c r="F1980" s="32"/>
      <c r="I1980" s="32"/>
    </row>
    <row r="1981" spans="2:9" x14ac:dyDescent="0.25">
      <c r="B1981" s="31"/>
      <c r="F1981" s="32"/>
      <c r="I1981" s="32"/>
    </row>
    <row r="1982" spans="2:9" x14ac:dyDescent="0.25">
      <c r="B1982" s="31"/>
      <c r="F1982" s="32"/>
      <c r="I1982" s="32"/>
    </row>
    <row r="1983" spans="2:9" x14ac:dyDescent="0.25">
      <c r="B1983" s="31"/>
      <c r="F1983" s="32"/>
      <c r="I1983" s="32"/>
    </row>
    <row r="1984" spans="2:9" x14ac:dyDescent="0.25">
      <c r="B1984" s="31"/>
      <c r="F1984" s="32"/>
      <c r="I1984" s="32"/>
    </row>
    <row r="1985" spans="2:9" x14ac:dyDescent="0.25">
      <c r="B1985" s="31"/>
      <c r="F1985" s="32"/>
      <c r="I1985" s="32"/>
    </row>
    <row r="1986" spans="2:9" x14ac:dyDescent="0.25">
      <c r="B1986" s="31"/>
      <c r="F1986" s="32"/>
      <c r="I1986" s="32"/>
    </row>
    <row r="1987" spans="2:9" x14ac:dyDescent="0.25">
      <c r="B1987" s="31"/>
      <c r="F1987" s="32"/>
      <c r="I1987" s="32"/>
    </row>
    <row r="1988" spans="2:9" x14ac:dyDescent="0.25">
      <c r="B1988" s="31"/>
      <c r="F1988" s="32"/>
      <c r="I1988" s="32"/>
    </row>
    <row r="1989" spans="2:9" x14ac:dyDescent="0.25">
      <c r="B1989" s="31"/>
      <c r="F1989" s="32"/>
      <c r="I1989" s="32"/>
    </row>
    <row r="1990" spans="2:9" x14ac:dyDescent="0.25">
      <c r="B1990" s="31"/>
      <c r="F1990" s="32"/>
      <c r="I1990" s="32"/>
    </row>
    <row r="1991" spans="2:9" x14ac:dyDescent="0.25">
      <c r="B1991" s="31"/>
      <c r="F1991" s="32"/>
      <c r="I1991" s="32"/>
    </row>
    <row r="1992" spans="2:9" x14ac:dyDescent="0.25">
      <c r="B1992" s="31"/>
      <c r="F1992" s="32"/>
      <c r="I1992" s="32"/>
    </row>
    <row r="1993" spans="2:9" x14ac:dyDescent="0.25">
      <c r="B1993" s="31"/>
      <c r="F1993" s="32"/>
      <c r="I1993" s="32"/>
    </row>
    <row r="1994" spans="2:9" x14ac:dyDescent="0.25">
      <c r="B1994" s="31"/>
      <c r="F1994" s="32"/>
      <c r="I1994" s="32"/>
    </row>
    <row r="1995" spans="2:9" x14ac:dyDescent="0.25">
      <c r="B1995" s="31"/>
      <c r="F1995" s="32"/>
      <c r="I1995" s="32"/>
    </row>
    <row r="1996" spans="2:9" x14ac:dyDescent="0.25">
      <c r="B1996" s="31"/>
      <c r="F1996" s="32"/>
      <c r="I1996" s="32"/>
    </row>
    <row r="1997" spans="2:9" x14ac:dyDescent="0.25">
      <c r="B1997" s="31"/>
      <c r="F1997" s="32"/>
      <c r="I1997" s="32"/>
    </row>
    <row r="1998" spans="2:9" x14ac:dyDescent="0.25">
      <c r="B1998" s="31"/>
      <c r="F1998" s="32"/>
      <c r="I1998" s="32"/>
    </row>
    <row r="1999" spans="2:9" x14ac:dyDescent="0.25">
      <c r="B1999" s="31"/>
      <c r="F1999" s="32"/>
      <c r="I1999" s="32"/>
    </row>
    <row r="2000" spans="2:9" x14ac:dyDescent="0.25">
      <c r="B2000" s="31"/>
      <c r="F2000" s="32"/>
      <c r="I2000" s="32"/>
    </row>
    <row r="2001" spans="2:9" x14ac:dyDescent="0.25">
      <c r="B2001" s="31"/>
      <c r="F2001" s="32"/>
      <c r="I2001" s="32"/>
    </row>
    <row r="2002" spans="2:9" x14ac:dyDescent="0.25">
      <c r="B2002" s="31"/>
      <c r="F2002" s="32"/>
      <c r="I2002" s="32"/>
    </row>
    <row r="2003" spans="2:9" x14ac:dyDescent="0.25">
      <c r="B2003" s="31"/>
      <c r="F2003" s="32"/>
      <c r="I2003" s="32"/>
    </row>
    <row r="2004" spans="2:9" x14ac:dyDescent="0.25">
      <c r="B2004" s="31"/>
      <c r="F2004" s="32"/>
      <c r="I2004" s="32"/>
    </row>
    <row r="2005" spans="2:9" x14ac:dyDescent="0.25">
      <c r="B2005" s="31"/>
      <c r="F2005" s="32"/>
      <c r="I2005" s="32"/>
    </row>
    <row r="2006" spans="2:9" x14ac:dyDescent="0.25">
      <c r="B2006" s="31"/>
      <c r="F2006" s="32"/>
      <c r="I2006" s="32"/>
    </row>
    <row r="2007" spans="2:9" x14ac:dyDescent="0.25">
      <c r="B2007" s="31"/>
      <c r="F2007" s="32"/>
      <c r="I2007" s="32"/>
    </row>
    <row r="2008" spans="2:9" x14ac:dyDescent="0.25">
      <c r="B2008" s="31"/>
      <c r="F2008" s="32"/>
      <c r="I2008" s="32"/>
    </row>
    <row r="2009" spans="2:9" x14ac:dyDescent="0.25">
      <c r="B2009" s="31"/>
      <c r="F2009" s="32"/>
      <c r="I2009" s="32"/>
    </row>
    <row r="2010" spans="2:9" x14ac:dyDescent="0.25">
      <c r="B2010" s="31"/>
      <c r="F2010" s="32"/>
      <c r="I2010" s="32"/>
    </row>
    <row r="2011" spans="2:9" x14ac:dyDescent="0.25">
      <c r="B2011" s="31"/>
      <c r="F2011" s="32"/>
      <c r="I2011" s="32"/>
    </row>
    <row r="2012" spans="2:9" x14ac:dyDescent="0.25">
      <c r="B2012" s="31"/>
      <c r="F2012" s="32"/>
      <c r="I2012" s="32"/>
    </row>
    <row r="2013" spans="2:9" x14ac:dyDescent="0.25">
      <c r="B2013" s="31"/>
      <c r="F2013" s="32"/>
      <c r="I2013" s="32"/>
    </row>
    <row r="2014" spans="2:9" x14ac:dyDescent="0.25">
      <c r="B2014" s="31"/>
      <c r="F2014" s="32"/>
      <c r="I2014" s="32"/>
    </row>
    <row r="2015" spans="2:9" x14ac:dyDescent="0.25">
      <c r="B2015" s="31"/>
      <c r="F2015" s="32"/>
      <c r="I2015" s="32"/>
    </row>
    <row r="2016" spans="2:9" x14ac:dyDescent="0.25">
      <c r="B2016" s="31"/>
      <c r="F2016" s="32"/>
      <c r="I2016" s="32"/>
    </row>
    <row r="2017" spans="2:9" x14ac:dyDescent="0.25">
      <c r="B2017" s="31"/>
      <c r="F2017" s="32"/>
      <c r="I2017" s="32"/>
    </row>
    <row r="2018" spans="2:9" x14ac:dyDescent="0.25">
      <c r="B2018" s="31"/>
      <c r="F2018" s="32"/>
      <c r="I2018" s="32"/>
    </row>
    <row r="2019" spans="2:9" x14ac:dyDescent="0.25">
      <c r="B2019" s="31"/>
      <c r="F2019" s="32"/>
      <c r="I2019" s="32"/>
    </row>
    <row r="2020" spans="2:9" x14ac:dyDescent="0.25">
      <c r="B2020" s="31"/>
      <c r="F2020" s="32"/>
      <c r="I2020" s="32"/>
    </row>
    <row r="2021" spans="2:9" x14ac:dyDescent="0.25">
      <c r="B2021" s="31"/>
      <c r="F2021" s="32"/>
      <c r="I2021" s="32"/>
    </row>
    <row r="2022" spans="2:9" x14ac:dyDescent="0.25">
      <c r="B2022" s="31"/>
      <c r="F2022" s="32"/>
      <c r="I2022" s="32"/>
    </row>
    <row r="2023" spans="2:9" x14ac:dyDescent="0.25">
      <c r="B2023" s="31"/>
      <c r="F2023" s="32"/>
      <c r="I2023" s="32"/>
    </row>
    <row r="2024" spans="2:9" x14ac:dyDescent="0.25">
      <c r="B2024" s="31"/>
      <c r="F2024" s="32"/>
      <c r="I2024" s="32"/>
    </row>
    <row r="2025" spans="2:9" x14ac:dyDescent="0.25">
      <c r="B2025" s="31"/>
      <c r="F2025" s="32"/>
      <c r="I2025" s="32"/>
    </row>
    <row r="2026" spans="2:9" x14ac:dyDescent="0.25">
      <c r="B2026" s="31"/>
      <c r="F2026" s="32"/>
      <c r="I2026" s="32"/>
    </row>
    <row r="2027" spans="2:9" x14ac:dyDescent="0.25">
      <c r="B2027" s="31"/>
      <c r="F2027" s="32"/>
      <c r="I2027" s="32"/>
    </row>
    <row r="2028" spans="2:9" x14ac:dyDescent="0.25">
      <c r="B2028" s="31"/>
      <c r="F2028" s="32"/>
      <c r="I2028" s="32"/>
    </row>
    <row r="2029" spans="2:9" x14ac:dyDescent="0.25">
      <c r="B2029" s="31"/>
      <c r="F2029" s="32"/>
      <c r="I2029" s="32"/>
    </row>
    <row r="2030" spans="2:9" x14ac:dyDescent="0.25">
      <c r="B2030" s="31"/>
      <c r="F2030" s="32"/>
      <c r="I2030" s="32"/>
    </row>
    <row r="2031" spans="2:9" x14ac:dyDescent="0.25">
      <c r="B2031" s="31"/>
      <c r="F2031" s="32"/>
      <c r="I2031" s="32"/>
    </row>
    <row r="2032" spans="2:9" x14ac:dyDescent="0.25">
      <c r="B2032" s="31"/>
      <c r="F2032" s="32"/>
      <c r="I2032" s="32"/>
    </row>
    <row r="2033" spans="2:9" x14ac:dyDescent="0.25">
      <c r="B2033" s="31"/>
      <c r="F2033" s="32"/>
      <c r="I2033" s="32"/>
    </row>
    <row r="2034" spans="2:9" x14ac:dyDescent="0.25">
      <c r="B2034" s="31"/>
      <c r="F2034" s="32"/>
      <c r="I2034" s="32"/>
    </row>
    <row r="2035" spans="2:9" x14ac:dyDescent="0.25">
      <c r="B2035" s="31"/>
      <c r="F2035" s="32"/>
      <c r="I2035" s="32"/>
    </row>
    <row r="2036" spans="2:9" x14ac:dyDescent="0.25">
      <c r="B2036" s="31"/>
      <c r="F2036" s="32"/>
      <c r="I2036" s="32"/>
    </row>
    <row r="2037" spans="2:9" x14ac:dyDescent="0.25">
      <c r="B2037" s="31"/>
      <c r="F2037" s="32"/>
      <c r="I2037" s="32"/>
    </row>
    <row r="2038" spans="2:9" x14ac:dyDescent="0.25">
      <c r="B2038" s="31"/>
      <c r="F2038" s="32"/>
      <c r="I2038" s="32"/>
    </row>
    <row r="2039" spans="2:9" x14ac:dyDescent="0.25">
      <c r="B2039" s="31"/>
      <c r="F2039" s="32"/>
      <c r="I2039" s="32"/>
    </row>
    <row r="2040" spans="2:9" x14ac:dyDescent="0.25">
      <c r="B2040" s="31"/>
      <c r="F2040" s="32"/>
      <c r="I2040" s="32"/>
    </row>
    <row r="2041" spans="2:9" x14ac:dyDescent="0.25">
      <c r="B2041" s="31"/>
      <c r="F2041" s="32"/>
      <c r="I2041" s="32"/>
    </row>
    <row r="2042" spans="2:9" x14ac:dyDescent="0.25">
      <c r="B2042" s="31"/>
      <c r="F2042" s="32"/>
      <c r="I2042" s="32"/>
    </row>
    <row r="2043" spans="2:9" x14ac:dyDescent="0.25">
      <c r="B2043" s="31"/>
      <c r="F2043" s="32"/>
      <c r="I2043" s="32"/>
    </row>
    <row r="2044" spans="2:9" x14ac:dyDescent="0.25">
      <c r="B2044" s="31"/>
      <c r="F2044" s="32"/>
      <c r="I2044" s="32"/>
    </row>
    <row r="2045" spans="2:9" x14ac:dyDescent="0.25">
      <c r="B2045" s="31"/>
      <c r="F2045" s="32"/>
      <c r="I2045" s="32"/>
    </row>
    <row r="2046" spans="2:9" x14ac:dyDescent="0.25">
      <c r="B2046" s="31"/>
      <c r="F2046" s="32"/>
      <c r="I2046" s="32"/>
    </row>
    <row r="2047" spans="2:9" x14ac:dyDescent="0.25">
      <c r="B2047" s="31"/>
      <c r="F2047" s="32"/>
      <c r="I2047" s="32"/>
    </row>
    <row r="2048" spans="2:9" x14ac:dyDescent="0.25">
      <c r="B2048" s="31"/>
      <c r="F2048" s="32"/>
      <c r="I2048" s="32"/>
    </row>
    <row r="2049" spans="2:9" x14ac:dyDescent="0.25">
      <c r="B2049" s="31"/>
      <c r="F2049" s="32"/>
      <c r="I2049" s="32"/>
    </row>
    <row r="2050" spans="2:9" x14ac:dyDescent="0.25">
      <c r="B2050" s="31"/>
      <c r="F2050" s="32"/>
      <c r="I2050" s="32"/>
    </row>
    <row r="2051" spans="2:9" x14ac:dyDescent="0.25">
      <c r="B2051" s="31"/>
      <c r="F2051" s="32"/>
      <c r="I2051" s="32"/>
    </row>
    <row r="2052" spans="2:9" x14ac:dyDescent="0.25">
      <c r="B2052" s="31"/>
      <c r="F2052" s="32"/>
      <c r="I2052" s="32"/>
    </row>
    <row r="2053" spans="2:9" x14ac:dyDescent="0.25">
      <c r="B2053" s="31"/>
      <c r="F2053" s="32"/>
      <c r="I2053" s="32"/>
    </row>
    <row r="2054" spans="2:9" x14ac:dyDescent="0.25">
      <c r="B2054" s="31"/>
      <c r="F2054" s="32"/>
      <c r="I2054" s="32"/>
    </row>
    <row r="2055" spans="2:9" x14ac:dyDescent="0.25">
      <c r="B2055" s="31"/>
      <c r="F2055" s="32"/>
      <c r="I2055" s="32"/>
    </row>
    <row r="2056" spans="2:9" x14ac:dyDescent="0.25">
      <c r="B2056" s="31"/>
      <c r="F2056" s="32"/>
      <c r="I2056" s="32"/>
    </row>
    <row r="2057" spans="2:9" x14ac:dyDescent="0.25">
      <c r="B2057" s="31"/>
      <c r="F2057" s="32"/>
      <c r="I2057" s="32"/>
    </row>
    <row r="2058" spans="2:9" x14ac:dyDescent="0.25">
      <c r="B2058" s="31"/>
      <c r="F2058" s="32"/>
      <c r="I2058" s="32"/>
    </row>
    <row r="2059" spans="2:9" x14ac:dyDescent="0.25">
      <c r="B2059" s="31"/>
      <c r="F2059" s="32"/>
      <c r="I2059" s="32"/>
    </row>
    <row r="2060" spans="2:9" x14ac:dyDescent="0.25">
      <c r="B2060" s="31"/>
      <c r="F2060" s="32"/>
      <c r="I2060" s="32"/>
    </row>
    <row r="2061" spans="2:9" x14ac:dyDescent="0.25">
      <c r="B2061" s="31"/>
      <c r="F2061" s="32"/>
      <c r="I2061" s="32"/>
    </row>
    <row r="2062" spans="2:9" x14ac:dyDescent="0.25">
      <c r="B2062" s="31"/>
      <c r="F2062" s="32"/>
      <c r="I2062" s="32"/>
    </row>
    <row r="2063" spans="2:9" x14ac:dyDescent="0.25">
      <c r="B2063" s="31"/>
      <c r="F2063" s="32"/>
      <c r="I2063" s="32"/>
    </row>
    <row r="2064" spans="2:9" x14ac:dyDescent="0.25">
      <c r="B2064" s="31"/>
      <c r="F2064" s="32"/>
      <c r="I2064" s="32"/>
    </row>
    <row r="2065" spans="2:9" x14ac:dyDescent="0.25">
      <c r="B2065" s="31"/>
      <c r="F2065" s="32"/>
      <c r="I2065" s="32"/>
    </row>
    <row r="2066" spans="2:9" x14ac:dyDescent="0.25">
      <c r="B2066" s="31"/>
      <c r="F2066" s="32"/>
      <c r="I2066" s="32"/>
    </row>
    <row r="2067" spans="2:9" x14ac:dyDescent="0.25">
      <c r="B2067" s="31"/>
      <c r="F2067" s="32"/>
      <c r="I2067" s="32"/>
    </row>
    <row r="2068" spans="2:9" x14ac:dyDescent="0.25">
      <c r="B2068" s="31"/>
      <c r="F2068" s="32"/>
      <c r="I2068" s="32"/>
    </row>
    <row r="2069" spans="2:9" x14ac:dyDescent="0.25">
      <c r="B2069" s="31"/>
      <c r="F2069" s="32"/>
      <c r="I2069" s="32"/>
    </row>
    <row r="2070" spans="2:9" x14ac:dyDescent="0.25">
      <c r="B2070" s="31"/>
      <c r="F2070" s="32"/>
      <c r="I2070" s="32"/>
    </row>
    <row r="2071" spans="2:9" x14ac:dyDescent="0.25">
      <c r="B2071" s="31"/>
      <c r="F2071" s="32"/>
      <c r="I2071" s="32"/>
    </row>
    <row r="2072" spans="2:9" x14ac:dyDescent="0.25">
      <c r="B2072" s="31"/>
      <c r="F2072" s="32"/>
      <c r="I2072" s="32"/>
    </row>
    <row r="2073" spans="2:9" x14ac:dyDescent="0.25">
      <c r="B2073" s="31"/>
      <c r="F2073" s="32"/>
      <c r="I2073" s="32"/>
    </row>
    <row r="2074" spans="2:9" x14ac:dyDescent="0.25">
      <c r="B2074" s="31"/>
      <c r="F2074" s="32"/>
      <c r="I2074" s="32"/>
    </row>
    <row r="2075" spans="2:9" x14ac:dyDescent="0.25">
      <c r="B2075" s="31"/>
      <c r="F2075" s="32"/>
      <c r="I2075" s="32"/>
    </row>
    <row r="2076" spans="2:9" x14ac:dyDescent="0.25">
      <c r="B2076" s="31"/>
      <c r="F2076" s="32"/>
      <c r="I2076" s="32"/>
    </row>
    <row r="2077" spans="2:9" x14ac:dyDescent="0.25">
      <c r="B2077" s="31"/>
      <c r="F2077" s="32"/>
      <c r="I2077" s="32"/>
    </row>
    <row r="2078" spans="2:9" x14ac:dyDescent="0.25">
      <c r="B2078" s="31"/>
      <c r="F2078" s="32"/>
      <c r="I2078" s="32"/>
    </row>
    <row r="2079" spans="2:9" x14ac:dyDescent="0.25">
      <c r="B2079" s="31"/>
      <c r="F2079" s="32"/>
      <c r="I2079" s="32"/>
    </row>
    <row r="2080" spans="2:9" x14ac:dyDescent="0.25">
      <c r="B2080" s="31"/>
      <c r="F2080" s="32"/>
      <c r="I2080" s="32"/>
    </row>
    <row r="2081" spans="2:9" x14ac:dyDescent="0.25">
      <c r="B2081" s="31"/>
      <c r="F2081" s="32"/>
      <c r="I2081" s="32"/>
    </row>
    <row r="2082" spans="2:9" x14ac:dyDescent="0.25">
      <c r="B2082" s="31"/>
      <c r="F2082" s="32"/>
      <c r="I2082" s="32"/>
    </row>
    <row r="2083" spans="2:9" x14ac:dyDescent="0.25">
      <c r="B2083" s="31"/>
      <c r="F2083" s="32"/>
      <c r="I2083" s="32"/>
    </row>
    <row r="2084" spans="2:9" x14ac:dyDescent="0.25">
      <c r="B2084" s="31"/>
      <c r="F2084" s="32"/>
      <c r="I2084" s="32"/>
    </row>
    <row r="2085" spans="2:9" x14ac:dyDescent="0.25">
      <c r="B2085" s="31"/>
      <c r="F2085" s="32"/>
      <c r="I2085" s="32"/>
    </row>
    <row r="2086" spans="2:9" x14ac:dyDescent="0.25">
      <c r="B2086" s="31"/>
      <c r="F2086" s="32"/>
      <c r="I2086" s="32"/>
    </row>
    <row r="2087" spans="2:9" x14ac:dyDescent="0.25">
      <c r="B2087" s="31"/>
      <c r="F2087" s="32"/>
      <c r="I2087" s="32"/>
    </row>
    <row r="2088" spans="2:9" x14ac:dyDescent="0.25">
      <c r="B2088" s="31"/>
      <c r="F2088" s="32"/>
      <c r="I2088" s="32"/>
    </row>
    <row r="2089" spans="2:9" x14ac:dyDescent="0.25">
      <c r="B2089" s="31"/>
      <c r="F2089" s="32"/>
      <c r="I2089" s="32"/>
    </row>
    <row r="2090" spans="2:9" x14ac:dyDescent="0.25">
      <c r="B2090" s="31"/>
      <c r="F2090" s="32"/>
      <c r="I2090" s="32"/>
    </row>
    <row r="2091" spans="2:9" x14ac:dyDescent="0.25">
      <c r="B2091" s="31"/>
      <c r="F2091" s="32"/>
      <c r="I2091" s="32"/>
    </row>
    <row r="2092" spans="2:9" x14ac:dyDescent="0.25">
      <c r="B2092" s="31"/>
      <c r="F2092" s="32"/>
      <c r="I2092" s="32"/>
    </row>
    <row r="2093" spans="2:9" x14ac:dyDescent="0.25">
      <c r="B2093" s="31"/>
      <c r="F2093" s="32"/>
      <c r="I2093" s="32"/>
    </row>
    <row r="2094" spans="2:9" x14ac:dyDescent="0.25">
      <c r="B2094" s="31"/>
      <c r="F2094" s="32"/>
      <c r="I2094" s="32"/>
    </row>
    <row r="2095" spans="2:9" x14ac:dyDescent="0.25">
      <c r="B2095" s="31"/>
      <c r="F2095" s="32"/>
      <c r="I2095" s="32"/>
    </row>
    <row r="2096" spans="2:9" x14ac:dyDescent="0.25">
      <c r="B2096" s="31"/>
      <c r="F2096" s="32"/>
      <c r="I2096" s="32"/>
    </row>
    <row r="2097" spans="2:9" x14ac:dyDescent="0.25">
      <c r="B2097" s="31"/>
      <c r="F2097" s="32"/>
      <c r="I2097" s="32"/>
    </row>
    <row r="2098" spans="2:9" x14ac:dyDescent="0.25">
      <c r="B2098" s="31"/>
      <c r="F2098" s="32"/>
      <c r="I2098" s="32"/>
    </row>
    <row r="2099" spans="2:9" x14ac:dyDescent="0.25">
      <c r="B2099" s="31"/>
      <c r="F2099" s="32"/>
      <c r="I2099" s="32"/>
    </row>
    <row r="2100" spans="2:9" x14ac:dyDescent="0.25">
      <c r="B2100" s="31"/>
      <c r="F2100" s="32"/>
      <c r="I2100" s="32"/>
    </row>
    <row r="2101" spans="2:9" x14ac:dyDescent="0.25">
      <c r="B2101" s="31"/>
      <c r="F2101" s="32"/>
      <c r="I2101" s="32"/>
    </row>
    <row r="2102" spans="2:9" x14ac:dyDescent="0.25">
      <c r="B2102" s="31"/>
      <c r="F2102" s="32"/>
      <c r="I2102" s="32"/>
    </row>
    <row r="2103" spans="2:9" x14ac:dyDescent="0.25">
      <c r="B2103" s="31"/>
      <c r="F2103" s="32"/>
      <c r="I2103" s="32"/>
    </row>
    <row r="2104" spans="2:9" x14ac:dyDescent="0.25">
      <c r="B2104" s="31"/>
      <c r="F2104" s="32"/>
      <c r="I2104" s="32"/>
    </row>
    <row r="2105" spans="2:9" x14ac:dyDescent="0.25">
      <c r="B2105" s="31"/>
      <c r="F2105" s="32"/>
      <c r="I2105" s="32"/>
    </row>
    <row r="2106" spans="2:9" x14ac:dyDescent="0.25">
      <c r="B2106" s="31"/>
      <c r="F2106" s="32"/>
      <c r="I2106" s="32"/>
    </row>
    <row r="2107" spans="2:9" x14ac:dyDescent="0.25">
      <c r="B2107" s="31"/>
      <c r="F2107" s="32"/>
      <c r="I2107" s="32"/>
    </row>
    <row r="2108" spans="2:9" x14ac:dyDescent="0.25">
      <c r="B2108" s="31"/>
      <c r="F2108" s="32"/>
      <c r="I2108" s="32"/>
    </row>
    <row r="2109" spans="2:9" x14ac:dyDescent="0.25">
      <c r="B2109" s="31"/>
      <c r="F2109" s="32"/>
      <c r="I2109" s="32"/>
    </row>
    <row r="2110" spans="2:9" x14ac:dyDescent="0.25">
      <c r="B2110" s="31"/>
      <c r="F2110" s="32"/>
      <c r="I2110" s="32"/>
    </row>
    <row r="2111" spans="2:9" x14ac:dyDescent="0.25">
      <c r="B2111" s="31"/>
      <c r="F2111" s="32"/>
      <c r="I2111" s="32"/>
    </row>
    <row r="2112" spans="2:9" x14ac:dyDescent="0.25">
      <c r="B2112" s="31"/>
      <c r="F2112" s="32"/>
      <c r="I2112" s="32"/>
    </row>
    <row r="2113" spans="2:9" x14ac:dyDescent="0.25">
      <c r="B2113" s="31"/>
      <c r="F2113" s="32"/>
      <c r="I2113" s="32"/>
    </row>
    <row r="2114" spans="2:9" x14ac:dyDescent="0.25">
      <c r="B2114" s="31"/>
      <c r="F2114" s="32"/>
      <c r="I2114" s="32"/>
    </row>
    <row r="2115" spans="2:9" x14ac:dyDescent="0.25">
      <c r="B2115" s="31"/>
      <c r="F2115" s="32"/>
      <c r="I2115" s="32"/>
    </row>
    <row r="2116" spans="2:9" x14ac:dyDescent="0.25">
      <c r="B2116" s="31"/>
      <c r="F2116" s="32"/>
      <c r="I2116" s="32"/>
    </row>
    <row r="2117" spans="2:9" x14ac:dyDescent="0.25">
      <c r="B2117" s="31"/>
      <c r="F2117" s="32"/>
      <c r="I2117" s="32"/>
    </row>
    <row r="2118" spans="2:9" x14ac:dyDescent="0.25">
      <c r="B2118" s="31"/>
      <c r="F2118" s="32"/>
      <c r="I2118" s="32"/>
    </row>
    <row r="2119" spans="2:9" x14ac:dyDescent="0.25">
      <c r="B2119" s="31"/>
      <c r="F2119" s="32"/>
      <c r="I2119" s="32"/>
    </row>
    <row r="2120" spans="2:9" x14ac:dyDescent="0.25">
      <c r="B2120" s="31"/>
      <c r="F2120" s="32"/>
      <c r="I2120" s="32"/>
    </row>
    <row r="2121" spans="2:9" x14ac:dyDescent="0.25">
      <c r="B2121" s="31"/>
      <c r="F2121" s="32"/>
      <c r="I2121" s="32"/>
    </row>
    <row r="2122" spans="2:9" x14ac:dyDescent="0.25">
      <c r="B2122" s="31"/>
      <c r="F2122" s="32"/>
      <c r="I2122" s="32"/>
    </row>
    <row r="2123" spans="2:9" x14ac:dyDescent="0.25">
      <c r="B2123" s="31"/>
      <c r="F2123" s="32"/>
      <c r="I2123" s="32"/>
    </row>
    <row r="2124" spans="2:9" x14ac:dyDescent="0.25">
      <c r="B2124" s="31"/>
      <c r="F2124" s="32"/>
      <c r="I2124" s="32"/>
    </row>
    <row r="2125" spans="2:9" x14ac:dyDescent="0.25">
      <c r="B2125" s="31"/>
      <c r="F2125" s="32"/>
      <c r="I2125" s="32"/>
    </row>
    <row r="2126" spans="2:9" x14ac:dyDescent="0.25">
      <c r="B2126" s="31"/>
      <c r="F2126" s="32"/>
      <c r="I2126" s="32"/>
    </row>
    <row r="2127" spans="2:9" x14ac:dyDescent="0.25">
      <c r="B2127" s="31"/>
      <c r="F2127" s="32"/>
      <c r="I2127" s="32"/>
    </row>
    <row r="2128" spans="2:9" x14ac:dyDescent="0.25">
      <c r="B2128" s="31"/>
      <c r="F2128" s="32"/>
      <c r="I2128" s="32"/>
    </row>
    <row r="2129" spans="2:9" x14ac:dyDescent="0.25">
      <c r="B2129" s="31"/>
      <c r="F2129" s="32"/>
      <c r="I2129" s="32"/>
    </row>
    <row r="2130" spans="2:9" x14ac:dyDescent="0.25">
      <c r="B2130" s="31"/>
      <c r="F2130" s="32"/>
      <c r="I2130" s="32"/>
    </row>
    <row r="2131" spans="2:9" x14ac:dyDescent="0.25">
      <c r="B2131" s="31"/>
      <c r="F2131" s="32"/>
      <c r="I2131" s="32"/>
    </row>
    <row r="2132" spans="2:9" x14ac:dyDescent="0.25">
      <c r="B2132" s="31"/>
      <c r="F2132" s="32"/>
      <c r="I2132" s="32"/>
    </row>
    <row r="2133" spans="2:9" x14ac:dyDescent="0.25">
      <c r="B2133" s="31"/>
      <c r="F2133" s="32"/>
      <c r="I2133" s="32"/>
    </row>
    <row r="2134" spans="2:9" x14ac:dyDescent="0.25">
      <c r="B2134" s="31"/>
      <c r="F2134" s="32"/>
      <c r="I2134" s="32"/>
    </row>
    <row r="2135" spans="2:9" x14ac:dyDescent="0.25">
      <c r="B2135" s="31"/>
      <c r="F2135" s="32"/>
      <c r="I2135" s="32"/>
    </row>
    <row r="2136" spans="2:9" x14ac:dyDescent="0.25">
      <c r="B2136" s="31"/>
      <c r="F2136" s="32"/>
      <c r="I2136" s="32"/>
    </row>
    <row r="2137" spans="2:9" x14ac:dyDescent="0.25">
      <c r="B2137" s="31"/>
      <c r="F2137" s="32"/>
      <c r="I2137" s="32"/>
    </row>
    <row r="2138" spans="2:9" x14ac:dyDescent="0.25">
      <c r="B2138" s="31"/>
      <c r="F2138" s="32"/>
      <c r="I2138" s="32"/>
    </row>
    <row r="2139" spans="2:9" x14ac:dyDescent="0.25">
      <c r="B2139" s="31"/>
      <c r="F2139" s="32"/>
      <c r="I2139" s="32"/>
    </row>
    <row r="2140" spans="2:9" x14ac:dyDescent="0.25">
      <c r="B2140" s="31"/>
      <c r="F2140" s="32"/>
      <c r="I2140" s="32"/>
    </row>
    <row r="2141" spans="2:9" x14ac:dyDescent="0.25">
      <c r="B2141" s="31"/>
      <c r="F2141" s="32"/>
      <c r="I2141" s="32"/>
    </row>
    <row r="2142" spans="2:9" x14ac:dyDescent="0.25">
      <c r="B2142" s="31"/>
      <c r="F2142" s="32"/>
      <c r="I2142" s="32"/>
    </row>
    <row r="2143" spans="2:9" x14ac:dyDescent="0.25">
      <c r="B2143" s="31"/>
      <c r="F2143" s="32"/>
      <c r="I2143" s="32"/>
    </row>
    <row r="2144" spans="2:9" x14ac:dyDescent="0.25">
      <c r="B2144" s="31"/>
      <c r="F2144" s="32"/>
      <c r="I2144" s="32"/>
    </row>
    <row r="2145" spans="2:9" x14ac:dyDescent="0.25">
      <c r="B2145" s="31"/>
      <c r="F2145" s="32"/>
      <c r="I2145" s="32"/>
    </row>
    <row r="2146" spans="2:9" x14ac:dyDescent="0.25">
      <c r="B2146" s="31"/>
      <c r="F2146" s="32"/>
      <c r="I2146" s="32"/>
    </row>
    <row r="2147" spans="2:9" x14ac:dyDescent="0.25">
      <c r="B2147" s="31"/>
      <c r="F2147" s="32"/>
      <c r="I2147" s="32"/>
    </row>
    <row r="2148" spans="2:9" x14ac:dyDescent="0.25">
      <c r="B2148" s="31"/>
      <c r="F2148" s="32"/>
      <c r="I2148" s="32"/>
    </row>
    <row r="2149" spans="2:9" x14ac:dyDescent="0.25">
      <c r="B2149" s="31"/>
      <c r="F2149" s="32"/>
      <c r="I2149" s="32"/>
    </row>
    <row r="2150" spans="2:9" x14ac:dyDescent="0.25">
      <c r="B2150" s="31"/>
      <c r="F2150" s="32"/>
      <c r="I2150" s="32"/>
    </row>
    <row r="2151" spans="2:9" x14ac:dyDescent="0.25">
      <c r="B2151" s="31"/>
      <c r="F2151" s="32"/>
      <c r="I2151" s="32"/>
    </row>
    <row r="2152" spans="2:9" x14ac:dyDescent="0.25">
      <c r="B2152" s="31"/>
      <c r="F2152" s="32"/>
      <c r="I2152" s="32"/>
    </row>
    <row r="2153" spans="2:9" x14ac:dyDescent="0.25">
      <c r="B2153" s="31"/>
      <c r="F2153" s="32"/>
      <c r="I2153" s="32"/>
    </row>
    <row r="2154" spans="2:9" x14ac:dyDescent="0.25">
      <c r="B2154" s="31"/>
      <c r="F2154" s="32"/>
      <c r="I2154" s="32"/>
    </row>
    <row r="2155" spans="2:9" x14ac:dyDescent="0.25">
      <c r="B2155" s="31"/>
      <c r="F2155" s="32"/>
      <c r="I2155" s="32"/>
    </row>
    <row r="2156" spans="2:9" x14ac:dyDescent="0.25">
      <c r="B2156" s="31"/>
      <c r="F2156" s="32"/>
      <c r="I2156" s="32"/>
    </row>
    <row r="2157" spans="2:9" x14ac:dyDescent="0.25">
      <c r="B2157" s="31"/>
      <c r="F2157" s="32"/>
      <c r="I2157" s="32"/>
    </row>
    <row r="2158" spans="2:9" x14ac:dyDescent="0.25">
      <c r="B2158" s="31"/>
      <c r="F2158" s="32"/>
      <c r="I2158" s="32"/>
    </row>
    <row r="2159" spans="2:9" x14ac:dyDescent="0.25">
      <c r="B2159" s="31"/>
      <c r="F2159" s="32"/>
      <c r="I2159" s="32"/>
    </row>
    <row r="2160" spans="2:9" x14ac:dyDescent="0.25">
      <c r="B2160" s="31"/>
      <c r="F2160" s="32"/>
      <c r="I2160" s="32"/>
    </row>
    <row r="2161" spans="2:9" x14ac:dyDescent="0.25">
      <c r="B2161" s="31"/>
      <c r="F2161" s="32"/>
      <c r="I2161" s="32"/>
    </row>
    <row r="2162" spans="2:9" x14ac:dyDescent="0.25">
      <c r="B2162" s="31"/>
      <c r="F2162" s="32"/>
      <c r="I2162" s="32"/>
    </row>
    <row r="2163" spans="2:9" x14ac:dyDescent="0.25">
      <c r="B2163" s="31"/>
      <c r="F2163" s="32"/>
      <c r="I2163" s="32"/>
    </row>
    <row r="2164" spans="2:9" x14ac:dyDescent="0.25">
      <c r="B2164" s="31"/>
      <c r="F2164" s="32"/>
      <c r="I2164" s="32"/>
    </row>
    <row r="2165" spans="2:9" x14ac:dyDescent="0.25">
      <c r="B2165" s="31"/>
      <c r="F2165" s="32"/>
      <c r="I2165" s="32"/>
    </row>
    <row r="2166" spans="2:9" x14ac:dyDescent="0.25">
      <c r="B2166" s="31"/>
      <c r="F2166" s="32"/>
      <c r="I2166" s="32"/>
    </row>
    <row r="2167" spans="2:9" x14ac:dyDescent="0.25">
      <c r="B2167" s="31"/>
      <c r="F2167" s="32"/>
      <c r="I2167" s="32"/>
    </row>
    <row r="2168" spans="2:9" x14ac:dyDescent="0.25">
      <c r="B2168" s="31"/>
      <c r="F2168" s="32"/>
      <c r="I2168" s="32"/>
    </row>
    <row r="2169" spans="2:9" x14ac:dyDescent="0.25">
      <c r="B2169" s="31"/>
      <c r="F2169" s="32"/>
      <c r="I2169" s="32"/>
    </row>
    <row r="2170" spans="2:9" x14ac:dyDescent="0.25">
      <c r="B2170" s="31"/>
      <c r="F2170" s="32"/>
      <c r="I2170" s="32"/>
    </row>
    <row r="2171" spans="2:9" x14ac:dyDescent="0.25">
      <c r="B2171" s="31"/>
      <c r="F2171" s="32"/>
      <c r="I2171" s="32"/>
    </row>
    <row r="2172" spans="2:9" x14ac:dyDescent="0.25">
      <c r="B2172" s="31"/>
      <c r="F2172" s="32"/>
      <c r="I2172" s="32"/>
    </row>
    <row r="2173" spans="2:9" x14ac:dyDescent="0.25">
      <c r="B2173" s="31"/>
      <c r="F2173" s="32"/>
      <c r="I2173" s="32"/>
    </row>
    <row r="2174" spans="2:9" x14ac:dyDescent="0.25">
      <c r="B2174" s="31"/>
      <c r="F2174" s="32"/>
      <c r="I2174" s="32"/>
    </row>
    <row r="2175" spans="2:9" x14ac:dyDescent="0.25">
      <c r="B2175" s="31"/>
      <c r="F2175" s="32"/>
      <c r="I2175" s="32"/>
    </row>
    <row r="2176" spans="2:9" x14ac:dyDescent="0.25">
      <c r="B2176" s="31"/>
      <c r="F2176" s="32"/>
      <c r="I2176" s="32"/>
    </row>
    <row r="2177" spans="2:9" x14ac:dyDescent="0.25">
      <c r="B2177" s="31"/>
      <c r="F2177" s="32"/>
      <c r="I2177" s="32"/>
    </row>
    <row r="2178" spans="2:9" x14ac:dyDescent="0.25">
      <c r="B2178" s="31"/>
      <c r="F2178" s="32"/>
      <c r="I2178" s="32"/>
    </row>
    <row r="2179" spans="2:9" x14ac:dyDescent="0.25">
      <c r="B2179" s="31"/>
      <c r="F2179" s="32"/>
      <c r="I2179" s="32"/>
    </row>
    <row r="2180" spans="2:9" x14ac:dyDescent="0.25">
      <c r="B2180" s="31"/>
      <c r="F2180" s="32"/>
      <c r="I2180" s="32"/>
    </row>
    <row r="2181" spans="2:9" x14ac:dyDescent="0.25">
      <c r="B2181" s="31"/>
      <c r="F2181" s="32"/>
      <c r="I2181" s="32"/>
    </row>
    <row r="2182" spans="2:9" x14ac:dyDescent="0.25">
      <c r="B2182" s="31"/>
      <c r="F2182" s="32"/>
      <c r="I2182" s="32"/>
    </row>
    <row r="2183" spans="2:9" x14ac:dyDescent="0.25">
      <c r="B2183" s="31"/>
      <c r="F2183" s="32"/>
      <c r="I2183" s="32"/>
    </row>
    <row r="2184" spans="2:9" x14ac:dyDescent="0.25">
      <c r="B2184" s="31"/>
      <c r="F2184" s="32"/>
      <c r="I2184" s="32"/>
    </row>
    <row r="2185" spans="2:9" x14ac:dyDescent="0.25">
      <c r="B2185" s="31"/>
      <c r="F2185" s="32"/>
      <c r="I2185" s="32"/>
    </row>
    <row r="2186" spans="2:9" x14ac:dyDescent="0.25">
      <c r="B2186" s="31"/>
      <c r="F2186" s="32"/>
      <c r="I2186" s="32"/>
    </row>
    <row r="2187" spans="2:9" x14ac:dyDescent="0.25">
      <c r="B2187" s="31"/>
      <c r="F2187" s="32"/>
      <c r="I2187" s="32"/>
    </row>
    <row r="2188" spans="2:9" x14ac:dyDescent="0.25">
      <c r="B2188" s="31"/>
      <c r="F2188" s="32"/>
      <c r="I2188" s="32"/>
    </row>
    <row r="2189" spans="2:9" x14ac:dyDescent="0.25">
      <c r="B2189" s="31"/>
      <c r="F2189" s="32"/>
      <c r="I2189" s="32"/>
    </row>
    <row r="2190" spans="2:9" x14ac:dyDescent="0.25">
      <c r="B2190" s="31"/>
      <c r="F2190" s="32"/>
      <c r="I2190" s="32"/>
    </row>
    <row r="2191" spans="2:9" x14ac:dyDescent="0.25">
      <c r="B2191" s="31"/>
      <c r="F2191" s="32"/>
      <c r="I2191" s="32"/>
    </row>
    <row r="2192" spans="2:9" x14ac:dyDescent="0.25">
      <c r="B2192" s="31"/>
      <c r="F2192" s="32"/>
      <c r="I2192" s="32"/>
    </row>
    <row r="2193" spans="2:9" x14ac:dyDescent="0.25">
      <c r="B2193" s="31"/>
      <c r="F2193" s="32"/>
      <c r="I2193" s="32"/>
    </row>
    <row r="2194" spans="2:9" x14ac:dyDescent="0.25">
      <c r="B2194" s="31"/>
      <c r="F2194" s="32"/>
      <c r="I2194" s="32"/>
    </row>
    <row r="2195" spans="2:9" x14ac:dyDescent="0.25">
      <c r="B2195" s="31"/>
      <c r="F2195" s="32"/>
      <c r="I2195" s="32"/>
    </row>
    <row r="2196" spans="2:9" x14ac:dyDescent="0.25">
      <c r="B2196" s="31"/>
      <c r="F2196" s="32"/>
      <c r="I2196" s="32"/>
    </row>
    <row r="2197" spans="2:9" x14ac:dyDescent="0.25">
      <c r="B2197" s="31"/>
      <c r="F2197" s="32"/>
      <c r="I2197" s="32"/>
    </row>
    <row r="2198" spans="2:9" x14ac:dyDescent="0.25">
      <c r="B2198" s="31"/>
      <c r="F2198" s="32"/>
      <c r="I2198" s="32"/>
    </row>
    <row r="2199" spans="2:9" x14ac:dyDescent="0.25">
      <c r="B2199" s="31"/>
      <c r="F2199" s="32"/>
      <c r="I2199" s="32"/>
    </row>
    <row r="2200" spans="2:9" x14ac:dyDescent="0.25">
      <c r="B2200" s="31"/>
      <c r="F2200" s="32"/>
      <c r="I2200" s="32"/>
    </row>
    <row r="2201" spans="2:9" x14ac:dyDescent="0.25">
      <c r="B2201" s="31"/>
      <c r="F2201" s="32"/>
      <c r="I2201" s="32"/>
    </row>
    <row r="2202" spans="2:9" x14ac:dyDescent="0.25">
      <c r="B2202" s="31"/>
      <c r="F2202" s="32"/>
      <c r="I2202" s="32"/>
    </row>
    <row r="2203" spans="2:9" x14ac:dyDescent="0.25">
      <c r="B2203" s="31"/>
      <c r="F2203" s="32"/>
      <c r="I2203" s="32"/>
    </row>
    <row r="2204" spans="2:9" x14ac:dyDescent="0.25">
      <c r="B2204" s="31"/>
      <c r="F2204" s="32"/>
      <c r="I2204" s="32"/>
    </row>
    <row r="2205" spans="2:9" x14ac:dyDescent="0.25">
      <c r="B2205" s="31"/>
      <c r="F2205" s="32"/>
      <c r="I2205" s="32"/>
    </row>
    <row r="2206" spans="2:9" x14ac:dyDescent="0.25">
      <c r="B2206" s="31"/>
      <c r="F2206" s="32"/>
      <c r="I2206" s="32"/>
    </row>
    <row r="2207" spans="2:9" x14ac:dyDescent="0.25">
      <c r="B2207" s="31"/>
      <c r="F2207" s="32"/>
      <c r="I2207" s="32"/>
    </row>
    <row r="2208" spans="2:9" x14ac:dyDescent="0.25">
      <c r="B2208" s="31"/>
      <c r="F2208" s="32"/>
      <c r="I2208" s="32"/>
    </row>
    <row r="2209" spans="2:9" x14ac:dyDescent="0.25">
      <c r="B2209" s="31"/>
      <c r="F2209" s="32"/>
      <c r="I2209" s="32"/>
    </row>
    <row r="2210" spans="2:9" x14ac:dyDescent="0.25">
      <c r="B2210" s="31"/>
      <c r="F2210" s="32"/>
      <c r="I2210" s="32"/>
    </row>
    <row r="2211" spans="2:9" x14ac:dyDescent="0.25">
      <c r="B2211" s="31"/>
      <c r="F2211" s="32"/>
      <c r="I2211" s="32"/>
    </row>
    <row r="2212" spans="2:9" x14ac:dyDescent="0.25">
      <c r="B2212" s="31"/>
      <c r="F2212" s="32"/>
      <c r="I2212" s="32"/>
    </row>
    <row r="2213" spans="2:9" x14ac:dyDescent="0.25">
      <c r="B2213" s="31"/>
      <c r="F2213" s="32"/>
      <c r="I2213" s="32"/>
    </row>
    <row r="2214" spans="2:9" x14ac:dyDescent="0.25">
      <c r="B2214" s="31"/>
      <c r="F2214" s="32"/>
      <c r="I2214" s="32"/>
    </row>
    <row r="2215" spans="2:9" x14ac:dyDescent="0.25">
      <c r="B2215" s="31"/>
      <c r="F2215" s="32"/>
      <c r="I2215" s="32"/>
    </row>
    <row r="2216" spans="2:9" x14ac:dyDescent="0.25">
      <c r="B2216" s="31"/>
      <c r="F2216" s="32"/>
      <c r="I2216" s="32"/>
    </row>
    <row r="2217" spans="2:9" x14ac:dyDescent="0.25">
      <c r="B2217" s="31"/>
      <c r="F2217" s="32"/>
      <c r="I2217" s="32"/>
    </row>
    <row r="2218" spans="2:9" x14ac:dyDescent="0.25">
      <c r="B2218" s="31"/>
      <c r="F2218" s="32"/>
      <c r="I2218" s="32"/>
    </row>
    <row r="2219" spans="2:9" x14ac:dyDescent="0.25">
      <c r="B2219" s="31"/>
      <c r="F2219" s="32"/>
      <c r="I2219" s="32"/>
    </row>
    <row r="2220" spans="2:9" x14ac:dyDescent="0.25">
      <c r="B2220" s="31"/>
      <c r="F2220" s="32"/>
      <c r="I2220" s="32"/>
    </row>
    <row r="2221" spans="2:9" x14ac:dyDescent="0.25">
      <c r="B2221" s="31"/>
      <c r="F2221" s="32"/>
      <c r="I2221" s="32"/>
    </row>
    <row r="2222" spans="2:9" x14ac:dyDescent="0.25">
      <c r="B2222" s="31"/>
      <c r="F2222" s="32"/>
      <c r="I2222" s="32"/>
    </row>
    <row r="2223" spans="2:9" x14ac:dyDescent="0.25">
      <c r="B2223" s="31"/>
      <c r="F2223" s="32"/>
      <c r="I2223" s="32"/>
    </row>
    <row r="2224" spans="2:9" x14ac:dyDescent="0.25">
      <c r="B2224" s="31"/>
      <c r="F2224" s="32"/>
      <c r="I2224" s="32"/>
    </row>
    <row r="2225" spans="2:9" x14ac:dyDescent="0.25">
      <c r="B2225" s="31"/>
      <c r="F2225" s="32"/>
      <c r="I2225" s="32"/>
    </row>
    <row r="2226" spans="2:9" x14ac:dyDescent="0.25">
      <c r="B2226" s="31"/>
      <c r="F2226" s="32"/>
      <c r="I2226" s="32"/>
    </row>
    <row r="2227" spans="2:9" x14ac:dyDescent="0.25">
      <c r="B2227" s="31"/>
      <c r="F2227" s="32"/>
      <c r="I2227" s="32"/>
    </row>
    <row r="2228" spans="2:9" x14ac:dyDescent="0.25">
      <c r="B2228" s="31"/>
      <c r="F2228" s="32"/>
      <c r="I2228" s="32"/>
    </row>
    <row r="2229" spans="2:9" x14ac:dyDescent="0.25">
      <c r="B2229" s="31"/>
      <c r="F2229" s="32"/>
      <c r="I2229" s="32"/>
    </row>
    <row r="2230" spans="2:9" x14ac:dyDescent="0.25">
      <c r="B2230" s="31"/>
      <c r="F2230" s="32"/>
      <c r="I2230" s="32"/>
    </row>
    <row r="2231" spans="2:9" x14ac:dyDescent="0.25">
      <c r="B2231" s="31"/>
      <c r="F2231" s="32"/>
      <c r="I2231" s="32"/>
    </row>
    <row r="2232" spans="2:9" x14ac:dyDescent="0.25">
      <c r="B2232" s="31"/>
      <c r="F2232" s="32"/>
      <c r="I2232" s="32"/>
    </row>
    <row r="2233" spans="2:9" x14ac:dyDescent="0.25">
      <c r="B2233" s="31"/>
      <c r="F2233" s="32"/>
      <c r="I2233" s="32"/>
    </row>
    <row r="2234" spans="2:9" x14ac:dyDescent="0.25">
      <c r="B2234" s="31"/>
      <c r="F2234" s="32"/>
      <c r="I2234" s="32"/>
    </row>
    <row r="2235" spans="2:9" x14ac:dyDescent="0.25">
      <c r="B2235" s="31"/>
      <c r="F2235" s="32"/>
      <c r="I2235" s="32"/>
    </row>
    <row r="2236" spans="2:9" x14ac:dyDescent="0.25">
      <c r="B2236" s="31"/>
      <c r="F2236" s="32"/>
      <c r="I2236" s="32"/>
    </row>
    <row r="2237" spans="2:9" x14ac:dyDescent="0.25">
      <c r="B2237" s="31"/>
      <c r="F2237" s="32"/>
      <c r="I2237" s="32"/>
    </row>
    <row r="2238" spans="2:9" x14ac:dyDescent="0.25">
      <c r="B2238" s="31"/>
      <c r="F2238" s="32"/>
      <c r="I2238" s="32"/>
    </row>
    <row r="2239" spans="2:9" x14ac:dyDescent="0.25">
      <c r="B2239" s="31"/>
      <c r="F2239" s="32"/>
      <c r="I2239" s="32"/>
    </row>
    <row r="2240" spans="2:9" x14ac:dyDescent="0.25">
      <c r="B2240" s="31"/>
      <c r="F2240" s="32"/>
      <c r="I2240" s="32"/>
    </row>
    <row r="2241" spans="2:9" x14ac:dyDescent="0.25">
      <c r="B2241" s="31"/>
      <c r="F2241" s="32"/>
      <c r="I2241" s="32"/>
    </row>
    <row r="2242" spans="2:9" x14ac:dyDescent="0.25">
      <c r="B2242" s="31"/>
      <c r="F2242" s="32"/>
      <c r="I2242" s="32"/>
    </row>
    <row r="2243" spans="2:9" x14ac:dyDescent="0.25">
      <c r="B2243" s="31"/>
      <c r="F2243" s="32"/>
      <c r="I2243" s="32"/>
    </row>
    <row r="2244" spans="2:9" x14ac:dyDescent="0.25">
      <c r="B2244" s="31"/>
      <c r="F2244" s="32"/>
      <c r="I2244" s="32"/>
    </row>
    <row r="2245" spans="2:9" x14ac:dyDescent="0.25">
      <c r="B2245" s="31"/>
      <c r="F2245" s="32"/>
      <c r="I2245" s="32"/>
    </row>
    <row r="2246" spans="2:9" x14ac:dyDescent="0.25">
      <c r="B2246" s="31"/>
      <c r="F2246" s="32"/>
      <c r="I2246" s="32"/>
    </row>
    <row r="2247" spans="2:9" x14ac:dyDescent="0.25">
      <c r="B2247" s="31"/>
      <c r="F2247" s="32"/>
      <c r="I2247" s="32"/>
    </row>
    <row r="2248" spans="2:9" x14ac:dyDescent="0.25">
      <c r="B2248" s="31"/>
      <c r="F2248" s="32"/>
      <c r="I2248" s="32"/>
    </row>
    <row r="2249" spans="2:9" x14ac:dyDescent="0.25">
      <c r="B2249" s="31"/>
      <c r="F2249" s="32"/>
      <c r="I2249" s="32"/>
    </row>
    <row r="2250" spans="2:9" x14ac:dyDescent="0.25">
      <c r="B2250" s="31"/>
      <c r="F2250" s="32"/>
      <c r="I2250" s="32"/>
    </row>
    <row r="2251" spans="2:9" x14ac:dyDescent="0.25">
      <c r="B2251" s="31"/>
      <c r="F2251" s="32"/>
      <c r="I2251" s="32"/>
    </row>
    <row r="2252" spans="2:9" x14ac:dyDescent="0.25">
      <c r="B2252" s="31"/>
      <c r="F2252" s="32"/>
      <c r="I2252" s="32"/>
    </row>
    <row r="2253" spans="2:9" x14ac:dyDescent="0.25">
      <c r="B2253" s="31"/>
      <c r="F2253" s="32"/>
      <c r="I2253" s="32"/>
    </row>
    <row r="2254" spans="2:9" x14ac:dyDescent="0.25">
      <c r="B2254" s="31"/>
      <c r="F2254" s="32"/>
      <c r="I2254" s="32"/>
    </row>
    <row r="2255" spans="2:9" x14ac:dyDescent="0.25">
      <c r="B2255" s="31"/>
      <c r="F2255" s="32"/>
      <c r="I2255" s="32"/>
    </row>
    <row r="2256" spans="2:9" x14ac:dyDescent="0.25">
      <c r="B2256" s="31"/>
      <c r="F2256" s="32"/>
      <c r="I2256" s="32"/>
    </row>
    <row r="2257" spans="2:9" x14ac:dyDescent="0.25">
      <c r="B2257" s="31"/>
      <c r="F2257" s="32"/>
      <c r="I2257" s="32"/>
    </row>
    <row r="2258" spans="2:9" x14ac:dyDescent="0.25">
      <c r="B2258" s="31"/>
      <c r="F2258" s="32"/>
      <c r="I2258" s="32"/>
    </row>
    <row r="2259" spans="2:9" x14ac:dyDescent="0.25">
      <c r="B2259" s="31"/>
      <c r="F2259" s="32"/>
      <c r="I2259" s="32"/>
    </row>
    <row r="2260" spans="2:9" x14ac:dyDescent="0.25">
      <c r="B2260" s="31"/>
      <c r="F2260" s="32"/>
      <c r="I2260" s="32"/>
    </row>
    <row r="2261" spans="2:9" x14ac:dyDescent="0.25">
      <c r="B2261" s="31"/>
      <c r="F2261" s="32"/>
      <c r="I2261" s="32"/>
    </row>
    <row r="2262" spans="2:9" x14ac:dyDescent="0.25">
      <c r="B2262" s="31"/>
      <c r="F2262" s="32"/>
      <c r="I2262" s="32"/>
    </row>
    <row r="2263" spans="2:9" x14ac:dyDescent="0.25">
      <c r="B2263" s="31"/>
      <c r="F2263" s="32"/>
      <c r="I2263" s="32"/>
    </row>
    <row r="2264" spans="2:9" x14ac:dyDescent="0.25">
      <c r="B2264" s="31"/>
      <c r="F2264" s="32"/>
      <c r="I2264" s="32"/>
    </row>
    <row r="2265" spans="2:9" x14ac:dyDescent="0.25">
      <c r="B2265" s="31"/>
      <c r="F2265" s="32"/>
      <c r="I2265" s="32"/>
    </row>
    <row r="2266" spans="2:9" x14ac:dyDescent="0.25">
      <c r="B2266" s="31"/>
      <c r="F2266" s="32"/>
      <c r="I2266" s="32"/>
    </row>
    <row r="2267" spans="2:9" x14ac:dyDescent="0.25">
      <c r="B2267" s="31"/>
      <c r="F2267" s="32"/>
      <c r="I2267" s="32"/>
    </row>
    <row r="2268" spans="2:9" x14ac:dyDescent="0.25">
      <c r="B2268" s="31"/>
      <c r="F2268" s="32"/>
      <c r="I2268" s="32"/>
    </row>
    <row r="2269" spans="2:9" x14ac:dyDescent="0.25">
      <c r="B2269" s="31"/>
      <c r="F2269" s="32"/>
      <c r="I2269" s="32"/>
    </row>
    <row r="2270" spans="2:9" x14ac:dyDescent="0.25">
      <c r="B2270" s="31"/>
      <c r="F2270" s="32"/>
      <c r="I2270" s="32"/>
    </row>
    <row r="2271" spans="2:9" x14ac:dyDescent="0.25">
      <c r="B2271" s="31"/>
      <c r="F2271" s="32"/>
      <c r="I2271" s="32"/>
    </row>
    <row r="2272" spans="2:9" x14ac:dyDescent="0.25">
      <c r="B2272" s="31"/>
      <c r="F2272" s="32"/>
      <c r="I2272" s="32"/>
    </row>
    <row r="2273" spans="2:9" x14ac:dyDescent="0.25">
      <c r="B2273" s="31"/>
      <c r="F2273" s="32"/>
      <c r="I2273" s="32"/>
    </row>
    <row r="2274" spans="2:9" x14ac:dyDescent="0.25">
      <c r="B2274" s="31"/>
      <c r="F2274" s="32"/>
      <c r="I2274" s="32"/>
    </row>
    <row r="2275" spans="2:9" x14ac:dyDescent="0.25">
      <c r="B2275" s="31"/>
      <c r="F2275" s="32"/>
      <c r="I2275" s="32"/>
    </row>
    <row r="2276" spans="2:9" x14ac:dyDescent="0.25">
      <c r="B2276" s="31"/>
      <c r="F2276" s="32"/>
      <c r="I2276" s="32"/>
    </row>
    <row r="2277" spans="2:9" x14ac:dyDescent="0.25">
      <c r="B2277" s="31"/>
      <c r="F2277" s="32"/>
      <c r="I2277" s="32"/>
    </row>
    <row r="2278" spans="2:9" x14ac:dyDescent="0.25">
      <c r="B2278" s="31"/>
      <c r="F2278" s="32"/>
      <c r="I2278" s="32"/>
    </row>
    <row r="2279" spans="2:9" x14ac:dyDescent="0.25">
      <c r="B2279" s="31"/>
      <c r="F2279" s="32"/>
      <c r="I2279" s="32"/>
    </row>
    <row r="2280" spans="2:9" x14ac:dyDescent="0.25">
      <c r="B2280" s="31"/>
      <c r="F2280" s="32"/>
      <c r="I2280" s="32"/>
    </row>
    <row r="2281" spans="2:9" x14ac:dyDescent="0.25">
      <c r="B2281" s="31"/>
      <c r="F2281" s="32"/>
      <c r="I2281" s="32"/>
    </row>
    <row r="2282" spans="2:9" x14ac:dyDescent="0.25">
      <c r="B2282" s="31"/>
      <c r="F2282" s="32"/>
      <c r="I2282" s="32"/>
    </row>
    <row r="2283" spans="2:9" x14ac:dyDescent="0.25">
      <c r="B2283" s="31"/>
      <c r="F2283" s="32"/>
      <c r="I2283" s="32"/>
    </row>
    <row r="2284" spans="2:9" x14ac:dyDescent="0.25">
      <c r="B2284" s="31"/>
      <c r="F2284" s="32"/>
      <c r="I2284" s="32"/>
    </row>
    <row r="2285" spans="2:9" x14ac:dyDescent="0.25">
      <c r="B2285" s="31"/>
      <c r="F2285" s="32"/>
      <c r="I2285" s="32"/>
    </row>
    <row r="2286" spans="2:9" x14ac:dyDescent="0.25">
      <c r="B2286" s="31"/>
      <c r="F2286" s="32"/>
      <c r="I2286" s="32"/>
    </row>
    <row r="2287" spans="2:9" x14ac:dyDescent="0.25">
      <c r="B2287" s="31"/>
      <c r="F2287" s="32"/>
      <c r="I2287" s="32"/>
    </row>
    <row r="2288" spans="2:9" x14ac:dyDescent="0.25">
      <c r="B2288" s="31"/>
      <c r="F2288" s="32"/>
      <c r="I2288" s="32"/>
    </row>
    <row r="2289" spans="2:9" x14ac:dyDescent="0.25">
      <c r="B2289" s="31"/>
      <c r="F2289" s="32"/>
      <c r="I2289" s="32"/>
    </row>
    <row r="2290" spans="2:9" x14ac:dyDescent="0.25">
      <c r="B2290" s="31"/>
      <c r="F2290" s="32"/>
      <c r="I2290" s="32"/>
    </row>
    <row r="2291" spans="2:9" x14ac:dyDescent="0.25">
      <c r="B2291" s="31"/>
      <c r="F2291" s="32"/>
      <c r="I2291" s="32"/>
    </row>
    <row r="2292" spans="2:9" x14ac:dyDescent="0.25">
      <c r="B2292" s="31"/>
      <c r="F2292" s="32"/>
      <c r="I2292" s="32"/>
    </row>
    <row r="2293" spans="2:9" x14ac:dyDescent="0.25">
      <c r="B2293" s="31"/>
      <c r="F2293" s="32"/>
      <c r="I2293" s="32"/>
    </row>
    <row r="2294" spans="2:9" x14ac:dyDescent="0.25">
      <c r="B2294" s="31"/>
      <c r="F2294" s="32"/>
      <c r="I2294" s="32"/>
    </row>
    <row r="2295" spans="2:9" x14ac:dyDescent="0.25">
      <c r="B2295" s="31"/>
      <c r="F2295" s="32"/>
      <c r="I2295" s="32"/>
    </row>
    <row r="2296" spans="2:9" x14ac:dyDescent="0.25">
      <c r="B2296" s="31"/>
      <c r="F2296" s="32"/>
      <c r="I2296" s="32"/>
    </row>
    <row r="2297" spans="2:9" x14ac:dyDescent="0.25">
      <c r="B2297" s="31"/>
      <c r="F2297" s="32"/>
      <c r="I2297" s="32"/>
    </row>
    <row r="2298" spans="2:9" x14ac:dyDescent="0.25">
      <c r="B2298" s="31"/>
      <c r="F2298" s="32"/>
      <c r="I2298" s="32"/>
    </row>
    <row r="2299" spans="2:9" x14ac:dyDescent="0.25">
      <c r="B2299" s="31"/>
      <c r="F2299" s="32"/>
      <c r="I2299" s="32"/>
    </row>
    <row r="2300" spans="2:9" x14ac:dyDescent="0.25">
      <c r="B2300" s="31"/>
      <c r="F2300" s="32"/>
      <c r="I2300" s="32"/>
    </row>
    <row r="2301" spans="2:9" x14ac:dyDescent="0.25">
      <c r="B2301" s="31"/>
      <c r="F2301" s="32"/>
      <c r="I2301" s="32"/>
    </row>
    <row r="2302" spans="2:9" x14ac:dyDescent="0.25">
      <c r="B2302" s="31"/>
      <c r="F2302" s="32"/>
      <c r="I2302" s="32"/>
    </row>
    <row r="2303" spans="2:9" x14ac:dyDescent="0.25">
      <c r="B2303" s="31"/>
      <c r="F2303" s="32"/>
      <c r="I2303" s="32"/>
    </row>
    <row r="2304" spans="2:9" x14ac:dyDescent="0.25">
      <c r="B2304" s="31"/>
      <c r="F2304" s="32"/>
      <c r="I2304" s="32"/>
    </row>
    <row r="2305" spans="2:9" x14ac:dyDescent="0.25">
      <c r="B2305" s="31"/>
      <c r="F2305" s="32"/>
      <c r="I2305" s="32"/>
    </row>
    <row r="2306" spans="2:9" x14ac:dyDescent="0.25">
      <c r="B2306" s="31"/>
      <c r="F2306" s="32"/>
      <c r="I2306" s="32"/>
    </row>
    <row r="2307" spans="2:9" x14ac:dyDescent="0.25">
      <c r="B2307" s="31"/>
      <c r="F2307" s="32"/>
      <c r="I2307" s="32"/>
    </row>
    <row r="2308" spans="2:9" x14ac:dyDescent="0.25">
      <c r="B2308" s="31"/>
      <c r="F2308" s="32"/>
      <c r="I2308" s="32"/>
    </row>
    <row r="2309" spans="2:9" x14ac:dyDescent="0.25">
      <c r="B2309" s="31"/>
      <c r="F2309" s="32"/>
      <c r="I2309" s="32"/>
    </row>
    <row r="2310" spans="2:9" x14ac:dyDescent="0.25">
      <c r="B2310" s="31"/>
      <c r="F2310" s="32"/>
      <c r="I2310" s="32"/>
    </row>
    <row r="2311" spans="2:9" x14ac:dyDescent="0.25">
      <c r="B2311" s="31"/>
      <c r="F2311" s="32"/>
      <c r="I2311" s="32"/>
    </row>
    <row r="2312" spans="2:9" x14ac:dyDescent="0.25">
      <c r="B2312" s="31"/>
      <c r="F2312" s="32"/>
      <c r="I2312" s="32"/>
    </row>
    <row r="2313" spans="2:9" x14ac:dyDescent="0.25">
      <c r="B2313" s="31"/>
      <c r="F2313" s="32"/>
      <c r="I2313" s="32"/>
    </row>
    <row r="2314" spans="2:9" x14ac:dyDescent="0.25">
      <c r="B2314" s="31"/>
      <c r="F2314" s="32"/>
      <c r="I2314" s="32"/>
    </row>
    <row r="2315" spans="2:9" x14ac:dyDescent="0.25">
      <c r="B2315" s="31"/>
      <c r="F2315" s="32"/>
      <c r="I2315" s="32"/>
    </row>
    <row r="2316" spans="2:9" x14ac:dyDescent="0.25">
      <c r="B2316" s="31"/>
      <c r="F2316" s="32"/>
      <c r="I2316" s="32"/>
    </row>
    <row r="2317" spans="2:9" x14ac:dyDescent="0.25">
      <c r="B2317" s="31"/>
      <c r="F2317" s="32"/>
      <c r="I2317" s="32"/>
    </row>
    <row r="2318" spans="2:9" x14ac:dyDescent="0.25">
      <c r="B2318" s="31"/>
      <c r="F2318" s="32"/>
      <c r="I2318" s="32"/>
    </row>
    <row r="2319" spans="2:9" x14ac:dyDescent="0.25">
      <c r="B2319" s="31"/>
      <c r="F2319" s="32"/>
      <c r="I2319" s="32"/>
    </row>
    <row r="2320" spans="2:9" x14ac:dyDescent="0.25">
      <c r="B2320" s="31"/>
      <c r="F2320" s="32"/>
      <c r="I2320" s="32"/>
    </row>
    <row r="2321" spans="2:9" x14ac:dyDescent="0.25">
      <c r="B2321" s="31"/>
      <c r="F2321" s="32"/>
      <c r="I2321" s="32"/>
    </row>
    <row r="2322" spans="2:9" x14ac:dyDescent="0.25">
      <c r="B2322" s="31"/>
      <c r="F2322" s="32"/>
      <c r="I2322" s="32"/>
    </row>
    <row r="2323" spans="2:9" x14ac:dyDescent="0.25">
      <c r="B2323" s="31"/>
      <c r="F2323" s="32"/>
      <c r="I2323" s="32"/>
    </row>
    <row r="2324" spans="2:9" x14ac:dyDescent="0.25">
      <c r="B2324" s="31"/>
      <c r="F2324" s="32"/>
      <c r="I2324" s="32"/>
    </row>
    <row r="2325" spans="2:9" x14ac:dyDescent="0.25">
      <c r="B2325" s="31"/>
      <c r="F2325" s="32"/>
      <c r="I2325" s="32"/>
    </row>
    <row r="2326" spans="2:9" x14ac:dyDescent="0.25">
      <c r="B2326" s="31"/>
      <c r="F2326" s="32"/>
      <c r="I2326" s="32"/>
    </row>
    <row r="2327" spans="2:9" x14ac:dyDescent="0.25">
      <c r="B2327" s="31"/>
      <c r="F2327" s="32"/>
      <c r="I2327" s="32"/>
    </row>
    <row r="2328" spans="2:9" x14ac:dyDescent="0.25">
      <c r="B2328" s="31"/>
      <c r="F2328" s="32"/>
      <c r="I2328" s="32"/>
    </row>
    <row r="2329" spans="2:9" x14ac:dyDescent="0.25">
      <c r="B2329" s="31"/>
      <c r="F2329" s="32"/>
      <c r="I2329" s="32"/>
    </row>
    <row r="2330" spans="2:9" x14ac:dyDescent="0.25">
      <c r="B2330" s="31"/>
      <c r="F2330" s="32"/>
      <c r="I2330" s="32"/>
    </row>
    <row r="2331" spans="2:9" x14ac:dyDescent="0.25">
      <c r="B2331" s="31"/>
      <c r="F2331" s="32"/>
      <c r="I2331" s="32"/>
    </row>
    <row r="2332" spans="2:9" x14ac:dyDescent="0.25">
      <c r="B2332" s="31"/>
      <c r="F2332" s="32"/>
      <c r="I2332" s="32"/>
    </row>
    <row r="2333" spans="2:9" x14ac:dyDescent="0.25">
      <c r="B2333" s="31"/>
      <c r="F2333" s="32"/>
      <c r="I2333" s="32"/>
    </row>
    <row r="2334" spans="2:9" x14ac:dyDescent="0.25">
      <c r="B2334" s="31"/>
      <c r="F2334" s="32"/>
      <c r="I2334" s="32"/>
    </row>
    <row r="2335" spans="2:9" x14ac:dyDescent="0.25">
      <c r="B2335" s="31"/>
      <c r="F2335" s="32"/>
      <c r="I2335" s="32"/>
    </row>
    <row r="2336" spans="2:9" x14ac:dyDescent="0.25">
      <c r="B2336" s="31"/>
      <c r="F2336" s="32"/>
      <c r="I2336" s="32"/>
    </row>
    <row r="2337" spans="2:9" x14ac:dyDescent="0.25">
      <c r="B2337" s="31"/>
      <c r="F2337" s="32"/>
      <c r="I2337" s="32"/>
    </row>
    <row r="2338" spans="2:9" x14ac:dyDescent="0.25">
      <c r="B2338" s="31"/>
      <c r="F2338" s="32"/>
      <c r="I2338" s="32"/>
    </row>
    <row r="2339" spans="2:9" x14ac:dyDescent="0.25">
      <c r="B2339" s="31"/>
      <c r="F2339" s="32"/>
      <c r="I2339" s="32"/>
    </row>
    <row r="2340" spans="2:9" x14ac:dyDescent="0.25">
      <c r="B2340" s="31"/>
      <c r="F2340" s="32"/>
      <c r="I2340" s="32"/>
    </row>
    <row r="2341" spans="2:9" x14ac:dyDescent="0.25">
      <c r="B2341" s="31"/>
      <c r="F2341" s="32"/>
      <c r="I2341" s="32"/>
    </row>
    <row r="2342" spans="2:9" x14ac:dyDescent="0.25">
      <c r="B2342" s="31"/>
      <c r="F2342" s="32"/>
      <c r="I2342" s="32"/>
    </row>
    <row r="2343" spans="2:9" x14ac:dyDescent="0.25">
      <c r="B2343" s="31"/>
      <c r="F2343" s="32"/>
      <c r="I2343" s="32"/>
    </row>
    <row r="2344" spans="2:9" x14ac:dyDescent="0.25">
      <c r="B2344" s="31"/>
      <c r="F2344" s="32"/>
      <c r="I2344" s="32"/>
    </row>
    <row r="2345" spans="2:9" x14ac:dyDescent="0.25">
      <c r="B2345" s="31"/>
      <c r="F2345" s="32"/>
      <c r="I2345" s="32"/>
    </row>
    <row r="2346" spans="2:9" x14ac:dyDescent="0.25">
      <c r="B2346" s="31"/>
      <c r="F2346" s="32"/>
      <c r="I2346" s="32"/>
    </row>
    <row r="2347" spans="2:9" x14ac:dyDescent="0.25">
      <c r="B2347" s="31"/>
      <c r="F2347" s="32"/>
      <c r="I2347" s="32"/>
    </row>
    <row r="2348" spans="2:9" x14ac:dyDescent="0.25">
      <c r="B2348" s="31"/>
      <c r="F2348" s="32"/>
      <c r="I2348" s="32"/>
    </row>
    <row r="2349" spans="2:9" x14ac:dyDescent="0.25">
      <c r="B2349" s="31"/>
      <c r="F2349" s="32"/>
      <c r="I2349" s="32"/>
    </row>
    <row r="2350" spans="2:9" x14ac:dyDescent="0.25">
      <c r="B2350" s="31"/>
      <c r="F2350" s="32"/>
      <c r="I2350" s="32"/>
    </row>
    <row r="2351" spans="2:9" x14ac:dyDescent="0.25">
      <c r="B2351" s="31"/>
      <c r="F2351" s="32"/>
      <c r="I2351" s="32"/>
    </row>
    <row r="2352" spans="2:9" x14ac:dyDescent="0.25">
      <c r="B2352" s="31"/>
      <c r="F2352" s="32"/>
      <c r="I2352" s="32"/>
    </row>
    <row r="2353" spans="2:9" x14ac:dyDescent="0.25">
      <c r="B2353" s="31"/>
      <c r="F2353" s="32"/>
      <c r="I2353" s="32"/>
    </row>
    <row r="2354" spans="2:9" x14ac:dyDescent="0.25">
      <c r="B2354" s="31"/>
      <c r="F2354" s="32"/>
      <c r="I2354" s="32"/>
    </row>
    <row r="2355" spans="2:9" x14ac:dyDescent="0.25">
      <c r="B2355" s="31"/>
      <c r="F2355" s="32"/>
      <c r="I2355" s="32"/>
    </row>
    <row r="2356" spans="2:9" x14ac:dyDescent="0.25">
      <c r="B2356" s="31"/>
      <c r="F2356" s="32"/>
      <c r="I2356" s="32"/>
    </row>
    <row r="2357" spans="2:9" x14ac:dyDescent="0.25">
      <c r="B2357" s="31"/>
      <c r="F2357" s="32"/>
      <c r="I2357" s="32"/>
    </row>
    <row r="2358" spans="2:9" x14ac:dyDescent="0.25">
      <c r="B2358" s="31"/>
      <c r="F2358" s="32"/>
      <c r="I2358" s="32"/>
    </row>
    <row r="2359" spans="2:9" x14ac:dyDescent="0.25">
      <c r="B2359" s="31"/>
      <c r="F2359" s="32"/>
      <c r="I2359" s="32"/>
    </row>
    <row r="2360" spans="2:9" x14ac:dyDescent="0.25">
      <c r="B2360" s="31"/>
      <c r="F2360" s="32"/>
      <c r="I2360" s="32"/>
    </row>
    <row r="2361" spans="2:9" x14ac:dyDescent="0.25">
      <c r="B2361" s="31"/>
      <c r="F2361" s="32"/>
      <c r="I2361" s="32"/>
    </row>
    <row r="2362" spans="2:9" x14ac:dyDescent="0.25">
      <c r="B2362" s="31"/>
      <c r="F2362" s="32"/>
      <c r="I2362" s="32"/>
    </row>
    <row r="2363" spans="2:9" x14ac:dyDescent="0.25">
      <c r="B2363" s="31"/>
      <c r="F2363" s="32"/>
      <c r="I2363" s="32"/>
    </row>
    <row r="2364" spans="2:9" x14ac:dyDescent="0.25">
      <c r="B2364" s="31"/>
      <c r="F2364" s="32"/>
      <c r="I2364" s="32"/>
    </row>
    <row r="2365" spans="2:9" x14ac:dyDescent="0.25">
      <c r="B2365" s="31"/>
      <c r="F2365" s="32"/>
      <c r="I2365" s="32"/>
    </row>
    <row r="2366" spans="2:9" x14ac:dyDescent="0.25">
      <c r="B2366" s="31"/>
      <c r="F2366" s="32"/>
      <c r="I2366" s="32"/>
    </row>
    <row r="2367" spans="2:9" x14ac:dyDescent="0.25">
      <c r="B2367" s="31"/>
      <c r="F2367" s="32"/>
      <c r="I2367" s="32"/>
    </row>
    <row r="2368" spans="2:9" x14ac:dyDescent="0.25">
      <c r="B2368" s="31"/>
      <c r="F2368" s="32"/>
      <c r="I2368" s="32"/>
    </row>
    <row r="2369" spans="2:9" x14ac:dyDescent="0.25">
      <c r="B2369" s="31"/>
      <c r="F2369" s="32"/>
      <c r="I2369" s="32"/>
    </row>
    <row r="2370" spans="2:9" x14ac:dyDescent="0.25">
      <c r="B2370" s="31"/>
      <c r="F2370" s="32"/>
      <c r="I2370" s="32"/>
    </row>
    <row r="2371" spans="2:9" x14ac:dyDescent="0.25">
      <c r="B2371" s="31"/>
      <c r="F2371" s="32"/>
      <c r="I2371" s="32"/>
    </row>
    <row r="2372" spans="2:9" x14ac:dyDescent="0.25">
      <c r="B2372" s="31"/>
      <c r="F2372" s="32"/>
      <c r="I2372" s="32"/>
    </row>
    <row r="2373" spans="2:9" x14ac:dyDescent="0.25">
      <c r="B2373" s="31"/>
      <c r="F2373" s="32"/>
      <c r="I2373" s="32"/>
    </row>
    <row r="2374" spans="2:9" x14ac:dyDescent="0.25">
      <c r="B2374" s="31"/>
      <c r="F2374" s="32"/>
      <c r="I2374" s="32"/>
    </row>
    <row r="2375" spans="2:9" x14ac:dyDescent="0.25">
      <c r="B2375" s="31"/>
      <c r="F2375" s="32"/>
      <c r="I2375" s="32"/>
    </row>
    <row r="2376" spans="2:9" x14ac:dyDescent="0.25">
      <c r="B2376" s="31"/>
      <c r="F2376" s="32"/>
      <c r="I2376" s="32"/>
    </row>
    <row r="2377" spans="2:9" x14ac:dyDescent="0.25">
      <c r="B2377" s="31"/>
      <c r="F2377" s="32"/>
      <c r="I2377" s="32"/>
    </row>
    <row r="2378" spans="2:9" x14ac:dyDescent="0.25">
      <c r="B2378" s="31"/>
      <c r="F2378" s="32"/>
      <c r="I2378" s="32"/>
    </row>
    <row r="2379" spans="2:9" x14ac:dyDescent="0.25">
      <c r="B2379" s="31"/>
      <c r="F2379" s="32"/>
      <c r="I2379" s="32"/>
    </row>
    <row r="2380" spans="2:9" x14ac:dyDescent="0.25">
      <c r="B2380" s="31"/>
      <c r="F2380" s="32"/>
      <c r="I2380" s="32"/>
    </row>
    <row r="2381" spans="2:9" x14ac:dyDescent="0.25">
      <c r="B2381" s="31"/>
      <c r="F2381" s="32"/>
      <c r="I2381" s="32"/>
    </row>
    <row r="2382" spans="2:9" x14ac:dyDescent="0.25">
      <c r="B2382" s="31"/>
      <c r="F2382" s="32"/>
      <c r="I2382" s="32"/>
    </row>
    <row r="2383" spans="2:9" x14ac:dyDescent="0.25">
      <c r="B2383" s="31"/>
      <c r="F2383" s="32"/>
      <c r="I2383" s="32"/>
    </row>
    <row r="2384" spans="2:9" x14ac:dyDescent="0.25">
      <c r="B2384" s="31"/>
      <c r="F2384" s="32"/>
      <c r="I2384" s="32"/>
    </row>
    <row r="2385" spans="2:9" x14ac:dyDescent="0.25">
      <c r="B2385" s="31"/>
      <c r="F2385" s="32"/>
      <c r="I2385" s="32"/>
    </row>
    <row r="2386" spans="2:9" x14ac:dyDescent="0.25">
      <c r="B2386" s="31"/>
      <c r="F2386" s="32"/>
      <c r="I2386" s="32"/>
    </row>
    <row r="2387" spans="2:9" x14ac:dyDescent="0.25">
      <c r="B2387" s="31"/>
      <c r="F2387" s="32"/>
      <c r="I2387" s="32"/>
    </row>
    <row r="2388" spans="2:9" x14ac:dyDescent="0.25">
      <c r="B2388" s="31"/>
      <c r="F2388" s="32"/>
      <c r="I2388" s="32"/>
    </row>
    <row r="2389" spans="2:9" x14ac:dyDescent="0.25">
      <c r="B2389" s="31"/>
      <c r="F2389" s="32"/>
      <c r="I2389" s="32"/>
    </row>
    <row r="2390" spans="2:9" x14ac:dyDescent="0.25">
      <c r="B2390" s="31"/>
      <c r="F2390" s="32"/>
      <c r="I2390" s="32"/>
    </row>
    <row r="2391" spans="2:9" x14ac:dyDescent="0.25">
      <c r="B2391" s="31"/>
      <c r="F2391" s="32"/>
      <c r="I2391" s="32"/>
    </row>
    <row r="2392" spans="2:9" x14ac:dyDescent="0.25">
      <c r="B2392" s="31"/>
      <c r="F2392" s="32"/>
      <c r="I2392" s="32"/>
    </row>
    <row r="2393" spans="2:9" x14ac:dyDescent="0.25">
      <c r="B2393" s="31"/>
      <c r="F2393" s="32"/>
      <c r="I2393" s="32"/>
    </row>
    <row r="2394" spans="2:9" x14ac:dyDescent="0.25">
      <c r="B2394" s="31"/>
      <c r="F2394" s="32"/>
      <c r="I2394" s="32"/>
    </row>
    <row r="2395" spans="2:9" x14ac:dyDescent="0.25">
      <c r="B2395" s="31"/>
      <c r="F2395" s="32"/>
      <c r="I2395" s="32"/>
    </row>
    <row r="2396" spans="2:9" x14ac:dyDescent="0.25">
      <c r="B2396" s="31"/>
      <c r="F2396" s="32"/>
      <c r="I2396" s="32"/>
    </row>
    <row r="2397" spans="2:9" x14ac:dyDescent="0.25">
      <c r="B2397" s="31"/>
      <c r="F2397" s="32"/>
      <c r="I2397" s="32"/>
    </row>
    <row r="2398" spans="2:9" x14ac:dyDescent="0.25">
      <c r="B2398" s="31"/>
      <c r="F2398" s="32"/>
      <c r="I2398" s="32"/>
    </row>
    <row r="2399" spans="2:9" x14ac:dyDescent="0.25">
      <c r="B2399" s="31"/>
      <c r="F2399" s="32"/>
      <c r="I2399" s="32"/>
    </row>
    <row r="2400" spans="2:9" x14ac:dyDescent="0.25">
      <c r="B2400" s="31"/>
      <c r="F2400" s="32"/>
      <c r="I2400" s="32"/>
    </row>
    <row r="2401" spans="2:9" x14ac:dyDescent="0.25">
      <c r="B2401" s="31"/>
      <c r="F2401" s="32"/>
      <c r="I2401" s="32"/>
    </row>
    <row r="2402" spans="2:9" x14ac:dyDescent="0.25">
      <c r="B2402" s="31"/>
      <c r="F2402" s="32"/>
      <c r="I2402" s="32"/>
    </row>
    <row r="2403" spans="2:9" x14ac:dyDescent="0.25">
      <c r="B2403" s="31"/>
      <c r="F2403" s="32"/>
      <c r="I2403" s="32"/>
    </row>
    <row r="2404" spans="2:9" x14ac:dyDescent="0.25">
      <c r="B2404" s="31"/>
      <c r="F2404" s="32"/>
      <c r="I2404" s="32"/>
    </row>
    <row r="2405" spans="2:9" x14ac:dyDescent="0.25">
      <c r="B2405" s="31"/>
      <c r="F2405" s="32"/>
      <c r="I2405" s="32"/>
    </row>
    <row r="2406" spans="2:9" x14ac:dyDescent="0.25">
      <c r="B2406" s="31"/>
      <c r="F2406" s="32"/>
      <c r="I2406" s="32"/>
    </row>
    <row r="2407" spans="2:9" x14ac:dyDescent="0.25">
      <c r="B2407" s="31"/>
      <c r="F2407" s="32"/>
      <c r="I2407" s="32"/>
    </row>
    <row r="2408" spans="2:9" x14ac:dyDescent="0.25">
      <c r="B2408" s="31"/>
      <c r="F2408" s="32"/>
      <c r="I2408" s="32"/>
    </row>
    <row r="2409" spans="2:9" x14ac:dyDescent="0.25">
      <c r="B2409" s="31"/>
      <c r="F2409" s="32"/>
      <c r="I2409" s="32"/>
    </row>
    <row r="2410" spans="2:9" x14ac:dyDescent="0.25">
      <c r="B2410" s="31"/>
      <c r="F2410" s="32"/>
      <c r="I2410" s="32"/>
    </row>
    <row r="2411" spans="2:9" x14ac:dyDescent="0.25">
      <c r="B2411" s="31"/>
      <c r="F2411" s="32"/>
      <c r="I2411" s="32"/>
    </row>
    <row r="2412" spans="2:9" x14ac:dyDescent="0.25">
      <c r="B2412" s="31"/>
      <c r="F2412" s="32"/>
      <c r="I2412" s="32"/>
    </row>
    <row r="2413" spans="2:9" x14ac:dyDescent="0.25">
      <c r="B2413" s="31"/>
      <c r="F2413" s="32"/>
      <c r="I2413" s="32"/>
    </row>
    <row r="2414" spans="2:9" x14ac:dyDescent="0.25">
      <c r="B2414" s="31"/>
      <c r="F2414" s="32"/>
      <c r="I2414" s="32"/>
    </row>
    <row r="2415" spans="2:9" x14ac:dyDescent="0.25">
      <c r="B2415" s="31"/>
      <c r="F2415" s="32"/>
      <c r="I2415" s="32"/>
    </row>
    <row r="2416" spans="2:9" x14ac:dyDescent="0.25">
      <c r="B2416" s="31"/>
      <c r="F2416" s="32"/>
      <c r="I2416" s="32"/>
    </row>
    <row r="2417" spans="2:9" x14ac:dyDescent="0.25">
      <c r="B2417" s="31"/>
      <c r="F2417" s="32"/>
      <c r="I2417" s="32"/>
    </row>
    <row r="2418" spans="2:9" x14ac:dyDescent="0.25">
      <c r="B2418" s="31"/>
      <c r="F2418" s="32"/>
      <c r="I2418" s="32"/>
    </row>
    <row r="2419" spans="2:9" x14ac:dyDescent="0.25">
      <c r="B2419" s="31"/>
      <c r="F2419" s="32"/>
      <c r="I2419" s="32"/>
    </row>
    <row r="2420" spans="2:9" x14ac:dyDescent="0.25">
      <c r="B2420" s="31"/>
      <c r="F2420" s="32"/>
      <c r="I2420" s="32"/>
    </row>
    <row r="2421" spans="2:9" x14ac:dyDescent="0.25">
      <c r="B2421" s="31"/>
      <c r="F2421" s="32"/>
      <c r="I2421" s="32"/>
    </row>
    <row r="2422" spans="2:9" x14ac:dyDescent="0.25">
      <c r="B2422" s="31"/>
      <c r="F2422" s="32"/>
      <c r="I2422" s="32"/>
    </row>
    <row r="2423" spans="2:9" x14ac:dyDescent="0.25">
      <c r="B2423" s="31"/>
      <c r="F2423" s="32"/>
      <c r="I2423" s="32"/>
    </row>
    <row r="2424" spans="2:9" x14ac:dyDescent="0.25">
      <c r="B2424" s="31"/>
      <c r="F2424" s="32"/>
      <c r="I2424" s="32"/>
    </row>
    <row r="2425" spans="2:9" x14ac:dyDescent="0.25">
      <c r="B2425" s="31"/>
      <c r="F2425" s="32"/>
      <c r="I2425" s="32"/>
    </row>
    <row r="2426" spans="2:9" x14ac:dyDescent="0.25">
      <c r="B2426" s="31"/>
      <c r="F2426" s="32"/>
      <c r="I2426" s="32"/>
    </row>
    <row r="2427" spans="2:9" x14ac:dyDescent="0.25">
      <c r="B2427" s="31"/>
      <c r="F2427" s="32"/>
      <c r="I2427" s="32"/>
    </row>
    <row r="2428" spans="2:9" x14ac:dyDescent="0.25">
      <c r="B2428" s="31"/>
      <c r="F2428" s="32"/>
      <c r="I2428" s="32"/>
    </row>
    <row r="2429" spans="2:9" x14ac:dyDescent="0.25">
      <c r="B2429" s="31"/>
      <c r="F2429" s="32"/>
      <c r="I2429" s="32"/>
    </row>
    <row r="2430" spans="2:9" x14ac:dyDescent="0.25">
      <c r="B2430" s="31"/>
      <c r="F2430" s="32"/>
      <c r="I2430" s="32"/>
    </row>
    <row r="2431" spans="2:9" x14ac:dyDescent="0.25">
      <c r="B2431" s="31"/>
      <c r="F2431" s="32"/>
      <c r="I2431" s="32"/>
    </row>
    <row r="2432" spans="2:9" x14ac:dyDescent="0.25">
      <c r="B2432" s="31"/>
      <c r="F2432" s="32"/>
      <c r="I2432" s="32"/>
    </row>
    <row r="2433" spans="2:9" x14ac:dyDescent="0.25">
      <c r="B2433" s="31"/>
      <c r="F2433" s="32"/>
      <c r="I2433" s="32"/>
    </row>
    <row r="2434" spans="2:9" x14ac:dyDescent="0.25">
      <c r="B2434" s="31"/>
      <c r="F2434" s="32"/>
      <c r="I2434" s="32"/>
    </row>
    <row r="2435" spans="2:9" x14ac:dyDescent="0.25">
      <c r="B2435" s="31"/>
      <c r="F2435" s="32"/>
      <c r="I2435" s="32"/>
    </row>
    <row r="2436" spans="2:9" x14ac:dyDescent="0.25">
      <c r="B2436" s="31"/>
      <c r="F2436" s="32"/>
      <c r="I2436" s="32"/>
    </row>
    <row r="2437" spans="2:9" x14ac:dyDescent="0.25">
      <c r="B2437" s="31"/>
      <c r="F2437" s="32"/>
      <c r="I2437" s="32"/>
    </row>
    <row r="2438" spans="2:9" x14ac:dyDescent="0.25">
      <c r="B2438" s="31"/>
      <c r="F2438" s="32"/>
      <c r="I2438" s="32"/>
    </row>
    <row r="2439" spans="2:9" x14ac:dyDescent="0.25">
      <c r="B2439" s="31"/>
      <c r="F2439" s="32"/>
      <c r="I2439" s="32"/>
    </row>
    <row r="2440" spans="2:9" x14ac:dyDescent="0.25">
      <c r="B2440" s="31"/>
      <c r="F2440" s="32"/>
      <c r="I2440" s="32"/>
    </row>
    <row r="2441" spans="2:9" x14ac:dyDescent="0.25">
      <c r="B2441" s="31"/>
      <c r="F2441" s="32"/>
      <c r="I2441" s="32"/>
    </row>
    <row r="2442" spans="2:9" x14ac:dyDescent="0.25">
      <c r="B2442" s="31"/>
      <c r="F2442" s="32"/>
      <c r="I2442" s="32"/>
    </row>
    <row r="2443" spans="2:9" x14ac:dyDescent="0.25">
      <c r="B2443" s="31"/>
      <c r="F2443" s="32"/>
      <c r="I2443" s="32"/>
    </row>
    <row r="2444" spans="2:9" x14ac:dyDescent="0.25">
      <c r="B2444" s="31"/>
      <c r="F2444" s="32"/>
      <c r="I2444" s="32"/>
    </row>
    <row r="2445" spans="2:9" x14ac:dyDescent="0.25">
      <c r="B2445" s="31"/>
      <c r="F2445" s="32"/>
      <c r="I2445" s="32"/>
    </row>
    <row r="2446" spans="2:9" x14ac:dyDescent="0.25">
      <c r="B2446" s="31"/>
      <c r="F2446" s="32"/>
      <c r="I2446" s="32"/>
    </row>
    <row r="2447" spans="2:9" x14ac:dyDescent="0.25">
      <c r="B2447" s="31"/>
      <c r="F2447" s="32"/>
      <c r="I2447" s="32"/>
    </row>
    <row r="2448" spans="2:9" x14ac:dyDescent="0.25">
      <c r="B2448" s="31"/>
      <c r="F2448" s="32"/>
      <c r="I2448" s="32"/>
    </row>
    <row r="2449" spans="2:9" x14ac:dyDescent="0.25">
      <c r="B2449" s="31"/>
      <c r="F2449" s="32"/>
      <c r="I2449" s="32"/>
    </row>
    <row r="2450" spans="2:9" x14ac:dyDescent="0.25">
      <c r="B2450" s="31"/>
      <c r="F2450" s="32"/>
      <c r="I2450" s="32"/>
    </row>
    <row r="2451" spans="2:9" x14ac:dyDescent="0.25">
      <c r="B2451" s="31"/>
      <c r="F2451" s="32"/>
      <c r="I2451" s="32"/>
    </row>
    <row r="2452" spans="2:9" x14ac:dyDescent="0.25">
      <c r="B2452" s="31"/>
      <c r="F2452" s="32"/>
      <c r="I2452" s="32"/>
    </row>
    <row r="2453" spans="2:9" x14ac:dyDescent="0.25">
      <c r="B2453" s="31"/>
      <c r="F2453" s="32"/>
      <c r="I2453" s="32"/>
    </row>
    <row r="2454" spans="2:9" x14ac:dyDescent="0.25">
      <c r="B2454" s="31"/>
      <c r="F2454" s="32"/>
      <c r="I2454" s="32"/>
    </row>
    <row r="2455" spans="2:9" x14ac:dyDescent="0.25">
      <c r="B2455" s="31"/>
      <c r="F2455" s="32"/>
      <c r="I2455" s="32"/>
    </row>
    <row r="2456" spans="2:9" x14ac:dyDescent="0.25">
      <c r="B2456" s="31"/>
      <c r="F2456" s="32"/>
      <c r="I2456" s="32"/>
    </row>
    <row r="2457" spans="2:9" x14ac:dyDescent="0.25">
      <c r="B2457" s="31"/>
      <c r="F2457" s="32"/>
      <c r="I2457" s="32"/>
    </row>
    <row r="2458" spans="2:9" x14ac:dyDescent="0.25">
      <c r="B2458" s="31"/>
      <c r="F2458" s="32"/>
      <c r="I2458" s="32"/>
    </row>
    <row r="2459" spans="2:9" x14ac:dyDescent="0.25">
      <c r="B2459" s="31"/>
      <c r="F2459" s="32"/>
      <c r="I2459" s="32"/>
    </row>
    <row r="2460" spans="2:9" x14ac:dyDescent="0.25">
      <c r="B2460" s="31"/>
      <c r="F2460" s="32"/>
      <c r="I2460" s="32"/>
    </row>
    <row r="2461" spans="2:9" x14ac:dyDescent="0.25">
      <c r="B2461" s="31"/>
      <c r="F2461" s="32"/>
      <c r="I2461" s="32"/>
    </row>
    <row r="2462" spans="2:9" x14ac:dyDescent="0.25">
      <c r="B2462" s="31"/>
      <c r="F2462" s="32"/>
      <c r="I2462" s="32"/>
    </row>
    <row r="2463" spans="2:9" x14ac:dyDescent="0.25">
      <c r="B2463" s="31"/>
      <c r="F2463" s="32"/>
      <c r="I2463" s="32"/>
    </row>
    <row r="2464" spans="2:9" x14ac:dyDescent="0.25">
      <c r="B2464" s="31"/>
      <c r="F2464" s="32"/>
      <c r="I2464" s="32"/>
    </row>
    <row r="2465" spans="2:9" x14ac:dyDescent="0.25">
      <c r="B2465" s="31"/>
      <c r="F2465" s="32"/>
      <c r="I2465" s="32"/>
    </row>
    <row r="2466" spans="2:9" x14ac:dyDescent="0.25">
      <c r="B2466" s="31"/>
      <c r="F2466" s="32"/>
      <c r="I2466" s="32"/>
    </row>
    <row r="2467" spans="2:9" x14ac:dyDescent="0.25">
      <c r="B2467" s="31"/>
      <c r="F2467" s="32"/>
      <c r="I2467" s="32"/>
    </row>
    <row r="2468" spans="2:9" x14ac:dyDescent="0.25">
      <c r="B2468" s="31"/>
      <c r="F2468" s="32"/>
      <c r="I2468" s="32"/>
    </row>
    <row r="2469" spans="2:9" x14ac:dyDescent="0.25">
      <c r="B2469" s="31"/>
      <c r="F2469" s="32"/>
      <c r="I2469" s="32"/>
    </row>
    <row r="2470" spans="2:9" x14ac:dyDescent="0.25">
      <c r="B2470" s="31"/>
      <c r="F2470" s="32"/>
      <c r="I2470" s="32"/>
    </row>
    <row r="2471" spans="2:9" x14ac:dyDescent="0.25">
      <c r="B2471" s="31"/>
      <c r="F2471" s="32"/>
      <c r="I2471" s="32"/>
    </row>
    <row r="2472" spans="2:9" x14ac:dyDescent="0.25">
      <c r="B2472" s="31"/>
      <c r="F2472" s="32"/>
      <c r="I2472" s="32"/>
    </row>
    <row r="2473" spans="2:9" x14ac:dyDescent="0.25">
      <c r="B2473" s="31"/>
      <c r="F2473" s="32"/>
      <c r="I2473" s="32"/>
    </row>
    <row r="2474" spans="2:9" x14ac:dyDescent="0.25">
      <c r="B2474" s="31"/>
      <c r="F2474" s="32"/>
      <c r="I2474" s="32"/>
    </row>
    <row r="2475" spans="2:9" x14ac:dyDescent="0.25">
      <c r="B2475" s="31"/>
      <c r="F2475" s="32"/>
      <c r="I2475" s="32"/>
    </row>
    <row r="2476" spans="2:9" x14ac:dyDescent="0.25">
      <c r="B2476" s="31"/>
      <c r="F2476" s="32"/>
      <c r="I2476" s="32"/>
    </row>
    <row r="2477" spans="2:9" x14ac:dyDescent="0.25">
      <c r="B2477" s="31"/>
      <c r="F2477" s="32"/>
      <c r="I2477" s="32"/>
    </row>
    <row r="2478" spans="2:9" x14ac:dyDescent="0.25">
      <c r="B2478" s="31"/>
      <c r="F2478" s="32"/>
      <c r="I2478" s="32"/>
    </row>
    <row r="2479" spans="2:9" x14ac:dyDescent="0.25">
      <c r="B2479" s="31"/>
      <c r="F2479" s="32"/>
      <c r="I2479" s="32"/>
    </row>
    <row r="2480" spans="2:9" x14ac:dyDescent="0.25">
      <c r="B2480" s="31"/>
      <c r="F2480" s="32"/>
      <c r="I2480" s="32"/>
    </row>
    <row r="2481" spans="2:9" x14ac:dyDescent="0.25">
      <c r="B2481" s="31"/>
      <c r="F2481" s="32"/>
      <c r="I2481" s="32"/>
    </row>
    <row r="2482" spans="2:9" x14ac:dyDescent="0.25">
      <c r="B2482" s="31"/>
      <c r="F2482" s="32"/>
      <c r="I2482" s="32"/>
    </row>
    <row r="2483" spans="2:9" x14ac:dyDescent="0.25">
      <c r="B2483" s="31"/>
      <c r="F2483" s="32"/>
      <c r="I2483" s="32"/>
    </row>
    <row r="2484" spans="2:9" x14ac:dyDescent="0.25">
      <c r="B2484" s="31"/>
      <c r="F2484" s="32"/>
      <c r="I2484" s="32"/>
    </row>
    <row r="2485" spans="2:9" x14ac:dyDescent="0.25">
      <c r="B2485" s="31"/>
      <c r="F2485" s="32"/>
      <c r="I2485" s="32"/>
    </row>
    <row r="2486" spans="2:9" x14ac:dyDescent="0.25">
      <c r="B2486" s="31"/>
      <c r="F2486" s="32"/>
      <c r="I2486" s="32"/>
    </row>
    <row r="2487" spans="2:9" x14ac:dyDescent="0.25">
      <c r="B2487" s="31"/>
      <c r="F2487" s="32"/>
      <c r="I2487" s="32"/>
    </row>
    <row r="2488" spans="2:9" x14ac:dyDescent="0.25">
      <c r="B2488" s="31"/>
      <c r="F2488" s="32"/>
      <c r="I2488" s="32"/>
    </row>
    <row r="2489" spans="2:9" x14ac:dyDescent="0.25">
      <c r="B2489" s="31"/>
      <c r="F2489" s="32"/>
      <c r="I2489" s="32"/>
    </row>
    <row r="2490" spans="2:9" x14ac:dyDescent="0.25">
      <c r="B2490" s="31"/>
      <c r="F2490" s="32"/>
      <c r="I2490" s="32"/>
    </row>
    <row r="2491" spans="2:9" x14ac:dyDescent="0.25">
      <c r="B2491" s="31"/>
      <c r="F2491" s="32"/>
      <c r="I2491" s="32"/>
    </row>
    <row r="2492" spans="2:9" x14ac:dyDescent="0.25">
      <c r="B2492" s="31"/>
      <c r="F2492" s="32"/>
      <c r="I2492" s="32"/>
    </row>
    <row r="2493" spans="2:9" x14ac:dyDescent="0.25">
      <c r="B2493" s="31"/>
      <c r="F2493" s="32"/>
      <c r="I2493" s="32"/>
    </row>
    <row r="2494" spans="2:9" x14ac:dyDescent="0.25">
      <c r="B2494" s="31"/>
      <c r="F2494" s="32"/>
      <c r="I2494" s="32"/>
    </row>
    <row r="2495" spans="2:9" x14ac:dyDescent="0.25">
      <c r="B2495" s="31"/>
      <c r="F2495" s="32"/>
      <c r="I2495" s="32"/>
    </row>
    <row r="2496" spans="2:9" x14ac:dyDescent="0.25">
      <c r="B2496" s="31"/>
      <c r="F2496" s="32"/>
      <c r="I2496" s="32"/>
    </row>
    <row r="2497" spans="2:9" x14ac:dyDescent="0.25">
      <c r="B2497" s="31"/>
      <c r="F2497" s="32"/>
      <c r="I2497" s="32"/>
    </row>
    <row r="2498" spans="2:9" x14ac:dyDescent="0.25">
      <c r="B2498" s="31"/>
      <c r="F2498" s="32"/>
      <c r="I2498" s="32"/>
    </row>
    <row r="2499" spans="2:9" x14ac:dyDescent="0.25">
      <c r="B2499" s="31"/>
      <c r="F2499" s="32"/>
      <c r="I2499" s="32"/>
    </row>
    <row r="2500" spans="2:9" x14ac:dyDescent="0.25">
      <c r="B2500" s="31"/>
      <c r="F2500" s="32"/>
      <c r="I2500" s="32"/>
    </row>
    <row r="2501" spans="2:9" x14ac:dyDescent="0.25">
      <c r="B2501" s="31"/>
      <c r="F2501" s="32"/>
      <c r="I2501" s="32"/>
    </row>
    <row r="2502" spans="2:9" x14ac:dyDescent="0.25">
      <c r="B2502" s="31"/>
      <c r="F2502" s="32"/>
      <c r="I2502" s="32"/>
    </row>
    <row r="2503" spans="2:9" x14ac:dyDescent="0.25">
      <c r="B2503" s="31"/>
      <c r="F2503" s="32"/>
      <c r="I2503" s="32"/>
    </row>
    <row r="2504" spans="2:9" x14ac:dyDescent="0.25">
      <c r="B2504" s="31"/>
      <c r="F2504" s="32"/>
      <c r="I2504" s="32"/>
    </row>
    <row r="2505" spans="2:9" x14ac:dyDescent="0.25">
      <c r="B2505" s="31"/>
      <c r="F2505" s="32"/>
      <c r="I2505" s="32"/>
    </row>
    <row r="2506" spans="2:9" x14ac:dyDescent="0.25">
      <c r="B2506" s="31"/>
      <c r="F2506" s="32"/>
      <c r="I2506" s="32"/>
    </row>
    <row r="2507" spans="2:9" x14ac:dyDescent="0.25">
      <c r="B2507" s="31"/>
      <c r="F2507" s="32"/>
      <c r="I2507" s="32"/>
    </row>
    <row r="2508" spans="2:9" x14ac:dyDescent="0.25">
      <c r="B2508" s="31"/>
      <c r="F2508" s="32"/>
      <c r="I2508" s="32"/>
    </row>
    <row r="2509" spans="2:9" x14ac:dyDescent="0.25">
      <c r="B2509" s="31"/>
      <c r="F2509" s="32"/>
      <c r="I2509" s="32"/>
    </row>
    <row r="2510" spans="2:9" x14ac:dyDescent="0.25">
      <c r="B2510" s="31"/>
      <c r="F2510" s="32"/>
      <c r="I2510" s="32"/>
    </row>
    <row r="2511" spans="2:9" x14ac:dyDescent="0.25">
      <c r="B2511" s="31"/>
      <c r="F2511" s="32"/>
      <c r="I2511" s="32"/>
    </row>
    <row r="2512" spans="2:9" x14ac:dyDescent="0.25">
      <c r="B2512" s="31"/>
      <c r="F2512" s="32"/>
      <c r="I2512" s="32"/>
    </row>
    <row r="2513" spans="2:9" x14ac:dyDescent="0.25">
      <c r="B2513" s="31"/>
      <c r="F2513" s="32"/>
      <c r="I2513" s="32"/>
    </row>
    <row r="2514" spans="2:9" x14ac:dyDescent="0.25">
      <c r="B2514" s="31"/>
      <c r="F2514" s="32"/>
      <c r="I2514" s="32"/>
    </row>
    <row r="2515" spans="2:9" x14ac:dyDescent="0.25">
      <c r="B2515" s="31"/>
      <c r="F2515" s="32"/>
      <c r="I2515" s="32"/>
    </row>
    <row r="2516" spans="2:9" x14ac:dyDescent="0.25">
      <c r="B2516" s="31"/>
      <c r="F2516" s="32"/>
      <c r="I2516" s="32"/>
    </row>
    <row r="2517" spans="2:9" x14ac:dyDescent="0.25">
      <c r="B2517" s="31"/>
      <c r="F2517" s="32"/>
      <c r="I2517" s="32"/>
    </row>
    <row r="2518" spans="2:9" x14ac:dyDescent="0.25">
      <c r="B2518" s="31"/>
      <c r="F2518" s="32"/>
      <c r="I2518" s="32"/>
    </row>
    <row r="2519" spans="2:9" x14ac:dyDescent="0.25">
      <c r="B2519" s="31"/>
      <c r="F2519" s="32"/>
      <c r="I2519" s="32"/>
    </row>
    <row r="2520" spans="2:9" x14ac:dyDescent="0.25">
      <c r="B2520" s="31"/>
      <c r="F2520" s="32"/>
      <c r="I2520" s="32"/>
    </row>
    <row r="2521" spans="2:9" x14ac:dyDescent="0.25">
      <c r="B2521" s="31"/>
      <c r="F2521" s="32"/>
      <c r="I2521" s="32"/>
    </row>
    <row r="2522" spans="2:9" x14ac:dyDescent="0.25">
      <c r="B2522" s="31"/>
      <c r="F2522" s="32"/>
      <c r="I2522" s="32"/>
    </row>
    <row r="2523" spans="2:9" x14ac:dyDescent="0.25">
      <c r="B2523" s="31"/>
      <c r="F2523" s="32"/>
      <c r="I2523" s="32"/>
    </row>
    <row r="2524" spans="2:9" x14ac:dyDescent="0.25">
      <c r="B2524" s="31"/>
      <c r="F2524" s="32"/>
      <c r="I2524" s="32"/>
    </row>
    <row r="2525" spans="2:9" x14ac:dyDescent="0.25">
      <c r="B2525" s="31"/>
      <c r="F2525" s="32"/>
      <c r="I2525" s="32"/>
    </row>
    <row r="2526" spans="2:9" x14ac:dyDescent="0.25">
      <c r="B2526" s="31"/>
      <c r="F2526" s="32"/>
      <c r="I2526" s="32"/>
    </row>
    <row r="2527" spans="2:9" x14ac:dyDescent="0.25">
      <c r="B2527" s="31"/>
      <c r="F2527" s="32"/>
      <c r="I2527" s="32"/>
    </row>
    <row r="2528" spans="2:9" x14ac:dyDescent="0.25">
      <c r="B2528" s="31"/>
      <c r="F2528" s="32"/>
      <c r="I2528" s="32"/>
    </row>
    <row r="2529" spans="2:9" x14ac:dyDescent="0.25">
      <c r="B2529" s="31"/>
      <c r="F2529" s="32"/>
      <c r="I2529" s="32"/>
    </row>
    <row r="2530" spans="2:9" x14ac:dyDescent="0.25">
      <c r="B2530" s="31"/>
      <c r="F2530" s="32"/>
      <c r="I2530" s="32"/>
    </row>
    <row r="2531" spans="2:9" x14ac:dyDescent="0.25">
      <c r="B2531" s="31"/>
      <c r="F2531" s="32"/>
      <c r="I2531" s="32"/>
    </row>
    <row r="2532" spans="2:9" x14ac:dyDescent="0.25">
      <c r="B2532" s="31"/>
      <c r="F2532" s="32"/>
      <c r="I2532" s="32"/>
    </row>
    <row r="2533" spans="2:9" x14ac:dyDescent="0.25">
      <c r="B2533" s="31"/>
      <c r="F2533" s="32"/>
      <c r="I2533" s="32"/>
    </row>
    <row r="2534" spans="2:9" x14ac:dyDescent="0.25">
      <c r="B2534" s="31"/>
      <c r="F2534" s="32"/>
      <c r="I2534" s="32"/>
    </row>
    <row r="2535" spans="2:9" x14ac:dyDescent="0.25">
      <c r="B2535" s="31"/>
      <c r="F2535" s="32"/>
      <c r="I2535" s="32"/>
    </row>
    <row r="2536" spans="2:9" x14ac:dyDescent="0.25">
      <c r="B2536" s="31"/>
      <c r="F2536" s="32"/>
      <c r="I2536" s="32"/>
    </row>
    <row r="2537" spans="2:9" x14ac:dyDescent="0.25">
      <c r="B2537" s="31"/>
      <c r="F2537" s="32"/>
      <c r="I2537" s="32"/>
    </row>
    <row r="2538" spans="2:9" x14ac:dyDescent="0.25">
      <c r="B2538" s="31"/>
      <c r="F2538" s="32"/>
      <c r="I2538" s="32"/>
    </row>
    <row r="2539" spans="2:9" x14ac:dyDescent="0.25">
      <c r="B2539" s="31"/>
      <c r="F2539" s="32"/>
      <c r="I2539" s="32"/>
    </row>
    <row r="2540" spans="2:9" x14ac:dyDescent="0.25">
      <c r="B2540" s="31"/>
      <c r="F2540" s="32"/>
      <c r="I2540" s="32"/>
    </row>
    <row r="2541" spans="2:9" x14ac:dyDescent="0.25">
      <c r="B2541" s="31"/>
      <c r="F2541" s="32"/>
      <c r="I2541" s="32"/>
    </row>
    <row r="2542" spans="2:9" x14ac:dyDescent="0.25">
      <c r="B2542" s="31"/>
      <c r="F2542" s="32"/>
      <c r="I2542" s="32"/>
    </row>
    <row r="2543" spans="2:9" x14ac:dyDescent="0.25">
      <c r="B2543" s="31"/>
      <c r="F2543" s="32"/>
      <c r="I2543" s="32"/>
    </row>
    <row r="2544" spans="2:9" x14ac:dyDescent="0.25">
      <c r="B2544" s="31"/>
      <c r="F2544" s="32"/>
      <c r="I2544" s="32"/>
    </row>
    <row r="2545" spans="2:9" x14ac:dyDescent="0.25">
      <c r="B2545" s="31"/>
      <c r="F2545" s="32"/>
      <c r="I2545" s="32"/>
    </row>
    <row r="2546" spans="2:9" x14ac:dyDescent="0.25">
      <c r="B2546" s="31"/>
      <c r="F2546" s="32"/>
      <c r="I2546" s="32"/>
    </row>
    <row r="2547" spans="2:9" x14ac:dyDescent="0.25">
      <c r="B2547" s="31"/>
      <c r="F2547" s="32"/>
      <c r="I2547" s="32"/>
    </row>
    <row r="2548" spans="2:9" x14ac:dyDescent="0.25">
      <c r="B2548" s="31"/>
      <c r="F2548" s="32"/>
      <c r="I2548" s="32"/>
    </row>
    <row r="2549" spans="2:9" x14ac:dyDescent="0.25">
      <c r="B2549" s="31"/>
      <c r="F2549" s="32"/>
      <c r="I2549" s="32"/>
    </row>
    <row r="2550" spans="2:9" x14ac:dyDescent="0.25">
      <c r="B2550" s="31"/>
      <c r="F2550" s="32"/>
      <c r="I2550" s="32"/>
    </row>
    <row r="2551" spans="2:9" x14ac:dyDescent="0.25">
      <c r="B2551" s="31"/>
      <c r="F2551" s="32"/>
      <c r="I2551" s="32"/>
    </row>
    <row r="2552" spans="2:9" x14ac:dyDescent="0.25">
      <c r="B2552" s="31"/>
      <c r="F2552" s="32"/>
      <c r="I2552" s="32"/>
    </row>
    <row r="2553" spans="2:9" x14ac:dyDescent="0.25">
      <c r="B2553" s="31"/>
      <c r="F2553" s="32"/>
      <c r="I2553" s="32"/>
    </row>
    <row r="2554" spans="2:9" x14ac:dyDescent="0.25">
      <c r="B2554" s="31"/>
      <c r="F2554" s="32"/>
      <c r="I2554" s="32"/>
    </row>
    <row r="2555" spans="2:9" x14ac:dyDescent="0.25">
      <c r="B2555" s="31"/>
      <c r="F2555" s="32"/>
      <c r="I2555" s="32"/>
    </row>
    <row r="2556" spans="2:9" x14ac:dyDescent="0.25">
      <c r="B2556" s="31"/>
      <c r="F2556" s="32"/>
      <c r="I2556" s="32"/>
    </row>
    <row r="2557" spans="2:9" x14ac:dyDescent="0.25">
      <c r="B2557" s="31"/>
      <c r="F2557" s="32"/>
      <c r="I2557" s="32"/>
    </row>
    <row r="2558" spans="2:9" x14ac:dyDescent="0.25">
      <c r="B2558" s="31"/>
      <c r="F2558" s="32"/>
      <c r="I2558" s="32"/>
    </row>
    <row r="2559" spans="2:9" x14ac:dyDescent="0.25">
      <c r="B2559" s="31"/>
      <c r="F2559" s="32"/>
      <c r="I2559" s="32"/>
    </row>
    <row r="2560" spans="2:9" x14ac:dyDescent="0.25">
      <c r="B2560" s="31"/>
      <c r="F2560" s="32"/>
      <c r="I2560" s="32"/>
    </row>
    <row r="2561" spans="2:9" x14ac:dyDescent="0.25">
      <c r="B2561" s="31"/>
      <c r="F2561" s="32"/>
      <c r="I2561" s="32"/>
    </row>
    <row r="2562" spans="2:9" x14ac:dyDescent="0.25">
      <c r="B2562" s="31"/>
      <c r="F2562" s="32"/>
      <c r="I2562" s="32"/>
    </row>
    <row r="2563" spans="2:9" x14ac:dyDescent="0.25">
      <c r="B2563" s="31"/>
      <c r="F2563" s="32"/>
      <c r="I2563" s="32"/>
    </row>
    <row r="2564" spans="2:9" x14ac:dyDescent="0.25">
      <c r="B2564" s="31"/>
      <c r="F2564" s="32"/>
      <c r="I2564" s="32"/>
    </row>
    <row r="2565" spans="2:9" x14ac:dyDescent="0.25">
      <c r="B2565" s="31"/>
      <c r="F2565" s="32"/>
      <c r="I2565" s="32"/>
    </row>
    <row r="2566" spans="2:9" x14ac:dyDescent="0.25">
      <c r="B2566" s="31"/>
      <c r="F2566" s="32"/>
      <c r="I2566" s="32"/>
    </row>
    <row r="2567" spans="2:9" x14ac:dyDescent="0.25">
      <c r="B2567" s="31"/>
      <c r="F2567" s="32"/>
      <c r="I2567" s="32"/>
    </row>
    <row r="2568" spans="2:9" x14ac:dyDescent="0.25">
      <c r="B2568" s="31"/>
      <c r="F2568" s="32"/>
      <c r="I2568" s="32"/>
    </row>
    <row r="2569" spans="2:9" x14ac:dyDescent="0.25">
      <c r="B2569" s="31"/>
      <c r="F2569" s="32"/>
      <c r="I2569" s="32"/>
    </row>
    <row r="2570" spans="2:9" x14ac:dyDescent="0.25">
      <c r="B2570" s="31"/>
      <c r="F2570" s="32"/>
      <c r="I2570" s="32"/>
    </row>
    <row r="2571" spans="2:9" x14ac:dyDescent="0.25">
      <c r="B2571" s="31"/>
      <c r="F2571" s="32"/>
      <c r="I2571" s="32"/>
    </row>
    <row r="2572" spans="2:9" x14ac:dyDescent="0.25">
      <c r="B2572" s="31"/>
      <c r="F2572" s="32"/>
      <c r="I2572" s="32"/>
    </row>
    <row r="2573" spans="2:9" x14ac:dyDescent="0.25">
      <c r="B2573" s="31"/>
      <c r="F2573" s="32"/>
      <c r="I2573" s="32"/>
    </row>
    <row r="2574" spans="2:9" x14ac:dyDescent="0.25">
      <c r="B2574" s="31"/>
      <c r="F2574" s="32"/>
      <c r="I2574" s="32"/>
    </row>
    <row r="2575" spans="2:9" x14ac:dyDescent="0.25">
      <c r="B2575" s="31"/>
      <c r="F2575" s="32"/>
      <c r="I2575" s="32"/>
    </row>
    <row r="2576" spans="2:9" x14ac:dyDescent="0.25">
      <c r="B2576" s="31"/>
      <c r="F2576" s="32"/>
      <c r="I2576" s="32"/>
    </row>
    <row r="2577" spans="2:9" x14ac:dyDescent="0.25">
      <c r="B2577" s="31"/>
      <c r="F2577" s="32"/>
      <c r="I2577" s="32"/>
    </row>
    <row r="2578" spans="2:9" x14ac:dyDescent="0.25">
      <c r="B2578" s="31"/>
      <c r="F2578" s="32"/>
      <c r="I2578" s="32"/>
    </row>
    <row r="2579" spans="2:9" x14ac:dyDescent="0.25">
      <c r="B2579" s="31"/>
      <c r="F2579" s="32"/>
      <c r="I2579" s="32"/>
    </row>
    <row r="2580" spans="2:9" x14ac:dyDescent="0.25">
      <c r="B2580" s="31"/>
      <c r="F2580" s="32"/>
      <c r="I2580" s="32"/>
    </row>
    <row r="2581" spans="2:9" x14ac:dyDescent="0.25">
      <c r="B2581" s="31"/>
      <c r="F2581" s="32"/>
      <c r="I2581" s="32"/>
    </row>
    <row r="2582" spans="2:9" x14ac:dyDescent="0.25">
      <c r="B2582" s="31"/>
      <c r="F2582" s="32"/>
      <c r="I2582" s="32"/>
    </row>
    <row r="2583" spans="2:9" x14ac:dyDescent="0.25">
      <c r="B2583" s="31"/>
      <c r="F2583" s="32"/>
      <c r="I2583" s="32"/>
    </row>
    <row r="2584" spans="2:9" x14ac:dyDescent="0.25">
      <c r="B2584" s="31"/>
      <c r="F2584" s="32"/>
      <c r="I2584" s="32"/>
    </row>
    <row r="2585" spans="2:9" x14ac:dyDescent="0.25">
      <c r="B2585" s="31"/>
      <c r="F2585" s="32"/>
      <c r="I2585" s="32"/>
    </row>
    <row r="2586" spans="2:9" x14ac:dyDescent="0.25">
      <c r="B2586" s="31"/>
      <c r="F2586" s="32"/>
      <c r="I2586" s="32"/>
    </row>
    <row r="2587" spans="2:9" x14ac:dyDescent="0.25">
      <c r="B2587" s="31"/>
      <c r="F2587" s="32"/>
      <c r="I2587" s="32"/>
    </row>
    <row r="2588" spans="2:9" x14ac:dyDescent="0.25">
      <c r="B2588" s="31"/>
      <c r="F2588" s="32"/>
      <c r="I2588" s="32"/>
    </row>
    <row r="2589" spans="2:9" x14ac:dyDescent="0.25">
      <c r="B2589" s="31"/>
      <c r="F2589" s="32"/>
      <c r="I2589" s="32"/>
    </row>
    <row r="2590" spans="2:9" x14ac:dyDescent="0.25">
      <c r="B2590" s="31"/>
      <c r="F2590" s="32"/>
      <c r="I2590" s="32"/>
    </row>
    <row r="2591" spans="2:9" x14ac:dyDescent="0.25">
      <c r="B2591" s="31"/>
      <c r="F2591" s="32"/>
      <c r="I2591" s="32"/>
    </row>
    <row r="2592" spans="2:9" x14ac:dyDescent="0.25">
      <c r="B2592" s="31"/>
      <c r="F2592" s="32"/>
      <c r="I2592" s="32"/>
    </row>
    <row r="2593" spans="2:9" x14ac:dyDescent="0.25">
      <c r="B2593" s="31"/>
      <c r="F2593" s="32"/>
      <c r="I2593" s="32"/>
    </row>
    <row r="2594" spans="2:9" x14ac:dyDescent="0.25">
      <c r="B2594" s="31"/>
      <c r="F2594" s="32"/>
      <c r="I2594" s="32"/>
    </row>
    <row r="2595" spans="2:9" x14ac:dyDescent="0.25">
      <c r="B2595" s="31"/>
      <c r="F2595" s="32"/>
      <c r="I2595" s="32"/>
    </row>
    <row r="2596" spans="2:9" x14ac:dyDescent="0.25">
      <c r="B2596" s="31"/>
      <c r="F2596" s="32"/>
      <c r="I2596" s="32"/>
    </row>
    <row r="2597" spans="2:9" x14ac:dyDescent="0.25">
      <c r="B2597" s="31"/>
      <c r="F2597" s="32"/>
      <c r="I2597" s="32"/>
    </row>
    <row r="2598" spans="2:9" x14ac:dyDescent="0.25">
      <c r="B2598" s="31"/>
      <c r="F2598" s="32"/>
      <c r="I2598" s="32"/>
    </row>
    <row r="2599" spans="2:9" x14ac:dyDescent="0.25">
      <c r="B2599" s="31"/>
      <c r="F2599" s="32"/>
      <c r="I2599" s="32"/>
    </row>
    <row r="2600" spans="2:9" x14ac:dyDescent="0.25">
      <c r="B2600" s="31"/>
      <c r="F2600" s="32"/>
      <c r="I2600" s="32"/>
    </row>
    <row r="2601" spans="2:9" x14ac:dyDescent="0.25">
      <c r="B2601" s="31"/>
      <c r="F2601" s="32"/>
      <c r="I2601" s="32"/>
    </row>
    <row r="2602" spans="2:9" x14ac:dyDescent="0.25">
      <c r="B2602" s="31"/>
      <c r="F2602" s="32"/>
      <c r="I2602" s="32"/>
    </row>
    <row r="2603" spans="2:9" x14ac:dyDescent="0.25">
      <c r="B2603" s="31"/>
      <c r="F2603" s="32"/>
      <c r="I2603" s="32"/>
    </row>
    <row r="2604" spans="2:9" x14ac:dyDescent="0.25">
      <c r="B2604" s="31"/>
      <c r="F2604" s="32"/>
      <c r="I2604" s="32"/>
    </row>
    <row r="2605" spans="2:9" x14ac:dyDescent="0.25">
      <c r="B2605" s="31"/>
      <c r="F2605" s="32"/>
      <c r="I2605" s="32"/>
    </row>
    <row r="2606" spans="2:9" x14ac:dyDescent="0.25">
      <c r="B2606" s="31"/>
      <c r="F2606" s="32"/>
      <c r="I2606" s="32"/>
    </row>
    <row r="2607" spans="2:9" x14ac:dyDescent="0.25">
      <c r="B2607" s="31"/>
      <c r="F2607" s="32"/>
      <c r="I2607" s="32"/>
    </row>
    <row r="2608" spans="2:9" x14ac:dyDescent="0.25">
      <c r="B2608" s="31"/>
      <c r="F2608" s="32"/>
      <c r="I2608" s="32"/>
    </row>
    <row r="2609" spans="2:9" x14ac:dyDescent="0.25">
      <c r="B2609" s="31"/>
      <c r="F2609" s="32"/>
      <c r="I2609" s="32"/>
    </row>
    <row r="2610" spans="2:9" x14ac:dyDescent="0.25">
      <c r="B2610" s="31"/>
      <c r="F2610" s="32"/>
      <c r="I2610" s="32"/>
    </row>
    <row r="2611" spans="2:9" x14ac:dyDescent="0.25">
      <c r="B2611" s="31"/>
      <c r="F2611" s="32"/>
      <c r="I2611" s="32"/>
    </row>
    <row r="2612" spans="2:9" x14ac:dyDescent="0.25">
      <c r="B2612" s="31"/>
      <c r="F2612" s="32"/>
      <c r="I2612" s="32"/>
    </row>
    <row r="2613" spans="2:9" x14ac:dyDescent="0.25">
      <c r="B2613" s="31"/>
      <c r="F2613" s="32"/>
      <c r="I2613" s="32"/>
    </row>
    <row r="2614" spans="2:9" x14ac:dyDescent="0.25">
      <c r="B2614" s="31"/>
      <c r="F2614" s="32"/>
      <c r="I2614" s="32"/>
    </row>
    <row r="2615" spans="2:9" x14ac:dyDescent="0.25">
      <c r="B2615" s="31"/>
      <c r="F2615" s="32"/>
      <c r="I2615" s="32"/>
    </row>
    <row r="2616" spans="2:9" x14ac:dyDescent="0.25">
      <c r="B2616" s="31"/>
      <c r="F2616" s="32"/>
      <c r="I2616" s="32"/>
    </row>
    <row r="2617" spans="2:9" x14ac:dyDescent="0.25">
      <c r="B2617" s="31"/>
      <c r="F2617" s="32"/>
      <c r="I2617" s="32"/>
    </row>
    <row r="2618" spans="2:9" x14ac:dyDescent="0.25">
      <c r="B2618" s="31"/>
      <c r="F2618" s="32"/>
      <c r="I2618" s="32"/>
    </row>
    <row r="2619" spans="2:9" x14ac:dyDescent="0.25">
      <c r="B2619" s="31"/>
      <c r="F2619" s="32"/>
      <c r="I2619" s="32"/>
    </row>
    <row r="2620" spans="2:9" x14ac:dyDescent="0.25">
      <c r="B2620" s="31"/>
      <c r="F2620" s="32"/>
      <c r="I2620" s="32"/>
    </row>
    <row r="2621" spans="2:9" x14ac:dyDescent="0.25">
      <c r="B2621" s="31"/>
      <c r="F2621" s="32"/>
      <c r="I2621" s="32"/>
    </row>
    <row r="2622" spans="2:9" x14ac:dyDescent="0.25">
      <c r="B2622" s="31"/>
      <c r="F2622" s="32"/>
      <c r="I2622" s="32"/>
    </row>
    <row r="2623" spans="2:9" x14ac:dyDescent="0.25">
      <c r="B2623" s="31"/>
      <c r="F2623" s="32"/>
      <c r="I2623" s="32"/>
    </row>
    <row r="2624" spans="2:9" x14ac:dyDescent="0.25">
      <c r="B2624" s="31"/>
      <c r="F2624" s="32"/>
      <c r="I2624" s="32"/>
    </row>
    <row r="2625" spans="2:9" x14ac:dyDescent="0.25">
      <c r="B2625" s="31"/>
      <c r="F2625" s="32"/>
      <c r="I2625" s="32"/>
    </row>
    <row r="2626" spans="2:9" x14ac:dyDescent="0.25">
      <c r="B2626" s="31"/>
      <c r="F2626" s="32"/>
      <c r="I2626" s="32"/>
    </row>
    <row r="2627" spans="2:9" x14ac:dyDescent="0.25">
      <c r="B2627" s="31"/>
      <c r="F2627" s="32"/>
      <c r="I2627" s="32"/>
    </row>
    <row r="2628" spans="2:9" x14ac:dyDescent="0.25">
      <c r="B2628" s="31"/>
      <c r="F2628" s="32"/>
      <c r="I2628" s="32"/>
    </row>
    <row r="2629" spans="2:9" x14ac:dyDescent="0.25">
      <c r="B2629" s="31"/>
      <c r="F2629" s="32"/>
      <c r="I2629" s="32"/>
    </row>
    <row r="2630" spans="2:9" x14ac:dyDescent="0.25">
      <c r="B2630" s="31"/>
      <c r="F2630" s="32"/>
      <c r="I2630" s="32"/>
    </row>
    <row r="2631" spans="2:9" x14ac:dyDescent="0.25">
      <c r="B2631" s="31"/>
      <c r="F2631" s="32"/>
      <c r="I2631" s="32"/>
    </row>
    <row r="2632" spans="2:9" x14ac:dyDescent="0.25">
      <c r="B2632" s="31"/>
      <c r="F2632" s="32"/>
      <c r="I2632" s="32"/>
    </row>
    <row r="2633" spans="2:9" x14ac:dyDescent="0.25">
      <c r="B2633" s="31"/>
      <c r="F2633" s="32"/>
      <c r="I2633" s="32"/>
    </row>
    <row r="2634" spans="2:9" x14ac:dyDescent="0.25">
      <c r="B2634" s="31"/>
      <c r="F2634" s="32"/>
      <c r="I2634" s="32"/>
    </row>
    <row r="2635" spans="2:9" x14ac:dyDescent="0.25">
      <c r="B2635" s="31"/>
      <c r="F2635" s="32"/>
      <c r="I2635" s="32"/>
    </row>
    <row r="2636" spans="2:9" x14ac:dyDescent="0.25">
      <c r="B2636" s="31"/>
      <c r="F2636" s="32"/>
      <c r="I2636" s="32"/>
    </row>
    <row r="2637" spans="2:9" x14ac:dyDescent="0.25">
      <c r="B2637" s="31"/>
      <c r="F2637" s="32"/>
      <c r="I2637" s="32"/>
    </row>
    <row r="2638" spans="2:9" x14ac:dyDescent="0.25">
      <c r="B2638" s="31"/>
      <c r="F2638" s="32"/>
      <c r="I2638" s="32"/>
    </row>
    <row r="2639" spans="2:9" x14ac:dyDescent="0.25">
      <c r="B2639" s="31"/>
      <c r="F2639" s="32"/>
      <c r="I2639" s="32"/>
    </row>
    <row r="2640" spans="2:9" x14ac:dyDescent="0.25">
      <c r="B2640" s="31"/>
      <c r="F2640" s="32"/>
      <c r="I2640" s="32"/>
    </row>
    <row r="2641" spans="2:9" x14ac:dyDescent="0.25">
      <c r="B2641" s="31"/>
      <c r="F2641" s="32"/>
      <c r="I2641" s="32"/>
    </row>
    <row r="2642" spans="2:9" x14ac:dyDescent="0.25">
      <c r="B2642" s="31"/>
      <c r="F2642" s="32"/>
      <c r="I2642" s="32"/>
    </row>
    <row r="2643" spans="2:9" x14ac:dyDescent="0.25">
      <c r="B2643" s="31"/>
      <c r="F2643" s="32"/>
      <c r="I2643" s="32"/>
    </row>
    <row r="2644" spans="2:9" x14ac:dyDescent="0.25">
      <c r="B2644" s="31"/>
      <c r="F2644" s="32"/>
      <c r="I2644" s="32"/>
    </row>
    <row r="2645" spans="2:9" x14ac:dyDescent="0.25">
      <c r="B2645" s="31"/>
      <c r="F2645" s="32"/>
      <c r="I2645" s="32"/>
    </row>
    <row r="2646" spans="2:9" x14ac:dyDescent="0.25">
      <c r="B2646" s="31"/>
      <c r="F2646" s="32"/>
      <c r="I2646" s="32"/>
    </row>
    <row r="2647" spans="2:9" x14ac:dyDescent="0.25">
      <c r="B2647" s="31"/>
      <c r="F2647" s="32"/>
      <c r="I2647" s="32"/>
    </row>
    <row r="2648" spans="2:9" x14ac:dyDescent="0.25">
      <c r="B2648" s="31"/>
      <c r="F2648" s="32"/>
      <c r="I2648" s="32"/>
    </row>
    <row r="2649" spans="2:9" x14ac:dyDescent="0.25">
      <c r="B2649" s="31"/>
      <c r="F2649" s="32"/>
      <c r="I2649" s="32"/>
    </row>
    <row r="2650" spans="2:9" x14ac:dyDescent="0.25">
      <c r="B2650" s="31"/>
      <c r="F2650" s="32"/>
      <c r="I2650" s="32"/>
    </row>
    <row r="2651" spans="2:9" x14ac:dyDescent="0.25">
      <c r="B2651" s="31"/>
      <c r="F2651" s="32"/>
      <c r="I2651" s="32"/>
    </row>
    <row r="2652" spans="2:9" x14ac:dyDescent="0.25">
      <c r="B2652" s="31"/>
      <c r="F2652" s="32"/>
      <c r="I2652" s="32"/>
    </row>
    <row r="2653" spans="2:9" x14ac:dyDescent="0.25">
      <c r="B2653" s="31"/>
      <c r="F2653" s="32"/>
      <c r="I2653" s="32"/>
    </row>
    <row r="2654" spans="2:9" x14ac:dyDescent="0.25">
      <c r="B2654" s="31"/>
      <c r="F2654" s="32"/>
      <c r="I2654" s="32"/>
    </row>
    <row r="2655" spans="2:9" x14ac:dyDescent="0.25">
      <c r="B2655" s="31"/>
      <c r="F2655" s="32"/>
      <c r="I2655" s="32"/>
    </row>
    <row r="2656" spans="2:9" x14ac:dyDescent="0.25">
      <c r="B2656" s="31"/>
      <c r="F2656" s="32"/>
      <c r="I2656" s="32"/>
    </row>
    <row r="2657" spans="2:9" x14ac:dyDescent="0.25">
      <c r="B2657" s="31"/>
      <c r="F2657" s="32"/>
      <c r="I2657" s="32"/>
    </row>
    <row r="2658" spans="2:9" x14ac:dyDescent="0.25">
      <c r="B2658" s="31"/>
      <c r="F2658" s="32"/>
      <c r="I2658" s="32"/>
    </row>
    <row r="2659" spans="2:9" x14ac:dyDescent="0.25">
      <c r="B2659" s="31"/>
      <c r="F2659" s="32"/>
      <c r="I2659" s="32"/>
    </row>
    <row r="2660" spans="2:9" x14ac:dyDescent="0.25">
      <c r="B2660" s="31"/>
      <c r="F2660" s="32"/>
      <c r="I2660" s="32"/>
    </row>
    <row r="2661" spans="2:9" x14ac:dyDescent="0.25">
      <c r="B2661" s="31"/>
      <c r="F2661" s="32"/>
      <c r="I2661" s="32"/>
    </row>
    <row r="2662" spans="2:9" x14ac:dyDescent="0.25">
      <c r="B2662" s="31"/>
      <c r="F2662" s="32"/>
      <c r="I2662" s="32"/>
    </row>
    <row r="2663" spans="2:9" x14ac:dyDescent="0.25">
      <c r="B2663" s="31"/>
      <c r="F2663" s="32"/>
      <c r="I2663" s="32"/>
    </row>
    <row r="2664" spans="2:9" x14ac:dyDescent="0.25">
      <c r="B2664" s="31"/>
      <c r="F2664" s="32"/>
      <c r="I2664" s="32"/>
    </row>
    <row r="2665" spans="2:9" x14ac:dyDescent="0.25">
      <c r="B2665" s="31"/>
      <c r="F2665" s="32"/>
      <c r="I2665" s="32"/>
    </row>
    <row r="2666" spans="2:9" x14ac:dyDescent="0.25">
      <c r="B2666" s="31"/>
      <c r="F2666" s="32"/>
      <c r="I2666" s="32"/>
    </row>
    <row r="2667" spans="2:9" x14ac:dyDescent="0.25">
      <c r="B2667" s="31"/>
      <c r="F2667" s="32"/>
      <c r="I2667" s="32"/>
    </row>
    <row r="2668" spans="2:9" x14ac:dyDescent="0.25">
      <c r="B2668" s="31"/>
      <c r="F2668" s="32"/>
      <c r="I2668" s="32"/>
    </row>
    <row r="2669" spans="2:9" x14ac:dyDescent="0.25">
      <c r="B2669" s="31"/>
      <c r="F2669" s="32"/>
      <c r="I2669" s="32"/>
    </row>
    <row r="2670" spans="2:9" x14ac:dyDescent="0.25">
      <c r="B2670" s="31"/>
      <c r="F2670" s="32"/>
      <c r="I2670" s="32"/>
    </row>
    <row r="2671" spans="2:9" x14ac:dyDescent="0.25">
      <c r="B2671" s="31"/>
      <c r="F2671" s="32"/>
      <c r="I2671" s="32"/>
    </row>
    <row r="2672" spans="2:9" x14ac:dyDescent="0.25">
      <c r="B2672" s="31"/>
      <c r="F2672" s="32"/>
      <c r="I2672" s="32"/>
    </row>
    <row r="2673" spans="2:9" x14ac:dyDescent="0.25">
      <c r="B2673" s="31"/>
      <c r="F2673" s="32"/>
      <c r="I2673" s="32"/>
    </row>
    <row r="2674" spans="2:9" x14ac:dyDescent="0.25">
      <c r="B2674" s="31"/>
      <c r="F2674" s="32"/>
      <c r="I2674" s="32"/>
    </row>
    <row r="2675" spans="2:9" x14ac:dyDescent="0.25">
      <c r="B2675" s="31"/>
      <c r="F2675" s="32"/>
      <c r="I2675" s="32"/>
    </row>
    <row r="2676" spans="2:9" x14ac:dyDescent="0.25">
      <c r="B2676" s="31"/>
      <c r="F2676" s="32"/>
      <c r="I2676" s="32"/>
    </row>
    <row r="2677" spans="2:9" x14ac:dyDescent="0.25">
      <c r="B2677" s="31"/>
      <c r="F2677" s="32"/>
      <c r="I2677" s="32"/>
    </row>
    <row r="2678" spans="2:9" x14ac:dyDescent="0.25">
      <c r="B2678" s="31"/>
      <c r="F2678" s="32"/>
      <c r="I2678" s="32"/>
    </row>
    <row r="2679" spans="2:9" x14ac:dyDescent="0.25">
      <c r="B2679" s="31"/>
      <c r="F2679" s="32"/>
      <c r="I2679" s="32"/>
    </row>
    <row r="2680" spans="2:9" x14ac:dyDescent="0.25">
      <c r="B2680" s="31"/>
      <c r="F2680" s="32"/>
      <c r="I2680" s="32"/>
    </row>
    <row r="2681" spans="2:9" x14ac:dyDescent="0.25">
      <c r="B2681" s="31"/>
      <c r="F2681" s="32"/>
      <c r="I2681" s="32"/>
    </row>
    <row r="2682" spans="2:9" x14ac:dyDescent="0.25">
      <c r="B2682" s="31"/>
      <c r="F2682" s="32"/>
      <c r="I2682" s="32"/>
    </row>
    <row r="2683" spans="2:9" x14ac:dyDescent="0.25">
      <c r="B2683" s="31"/>
      <c r="F2683" s="32"/>
      <c r="I2683" s="32"/>
    </row>
    <row r="2684" spans="2:9" x14ac:dyDescent="0.25">
      <c r="B2684" s="31"/>
      <c r="F2684" s="32"/>
      <c r="I2684" s="32"/>
    </row>
    <row r="2685" spans="2:9" x14ac:dyDescent="0.25">
      <c r="B2685" s="31"/>
      <c r="F2685" s="32"/>
      <c r="I2685" s="32"/>
    </row>
    <row r="2686" spans="2:9" x14ac:dyDescent="0.25">
      <c r="B2686" s="31"/>
      <c r="F2686" s="32"/>
      <c r="I2686" s="32"/>
    </row>
    <row r="2687" spans="2:9" x14ac:dyDescent="0.25">
      <c r="B2687" s="31"/>
      <c r="F2687" s="32"/>
      <c r="I2687" s="32"/>
    </row>
    <row r="2688" spans="2:9" x14ac:dyDescent="0.25">
      <c r="B2688" s="31"/>
      <c r="F2688" s="32"/>
      <c r="I2688" s="32"/>
    </row>
    <row r="2689" spans="2:9" x14ac:dyDescent="0.25">
      <c r="B2689" s="31"/>
      <c r="F2689" s="32"/>
      <c r="I2689" s="32"/>
    </row>
    <row r="2690" spans="2:9" x14ac:dyDescent="0.25">
      <c r="B2690" s="31"/>
      <c r="F2690" s="32"/>
      <c r="I2690" s="32"/>
    </row>
    <row r="2691" spans="2:9" x14ac:dyDescent="0.25">
      <c r="B2691" s="31"/>
      <c r="F2691" s="32"/>
      <c r="I2691" s="32"/>
    </row>
    <row r="2692" spans="2:9" x14ac:dyDescent="0.25">
      <c r="B2692" s="31"/>
      <c r="F2692" s="32"/>
      <c r="I2692" s="32"/>
    </row>
    <row r="2693" spans="2:9" x14ac:dyDescent="0.25">
      <c r="B2693" s="31"/>
      <c r="F2693" s="32"/>
      <c r="I2693" s="32"/>
    </row>
    <row r="2694" spans="2:9" x14ac:dyDescent="0.25">
      <c r="B2694" s="31"/>
      <c r="F2694" s="32"/>
      <c r="I2694" s="32"/>
    </row>
    <row r="2695" spans="2:9" x14ac:dyDescent="0.25">
      <c r="B2695" s="31"/>
      <c r="F2695" s="32"/>
      <c r="I2695" s="32"/>
    </row>
    <row r="2696" spans="2:9" x14ac:dyDescent="0.25">
      <c r="B2696" s="31"/>
      <c r="F2696" s="32"/>
      <c r="I2696" s="32"/>
    </row>
    <row r="2697" spans="2:9" x14ac:dyDescent="0.25">
      <c r="B2697" s="31"/>
      <c r="F2697" s="32"/>
      <c r="I2697" s="32"/>
    </row>
    <row r="2698" spans="2:9" x14ac:dyDescent="0.25">
      <c r="B2698" s="31"/>
      <c r="F2698" s="32"/>
      <c r="I2698" s="32"/>
    </row>
    <row r="2699" spans="2:9" x14ac:dyDescent="0.25">
      <c r="B2699" s="31"/>
      <c r="F2699" s="32"/>
      <c r="I2699" s="32"/>
    </row>
    <row r="2700" spans="2:9" x14ac:dyDescent="0.25">
      <c r="B2700" s="31"/>
      <c r="F2700" s="32"/>
      <c r="I2700" s="32"/>
    </row>
    <row r="2701" spans="2:9" x14ac:dyDescent="0.25">
      <c r="B2701" s="31"/>
      <c r="F2701" s="32"/>
      <c r="I2701" s="32"/>
    </row>
    <row r="2702" spans="2:9" x14ac:dyDescent="0.25">
      <c r="B2702" s="31"/>
      <c r="F2702" s="32"/>
      <c r="I2702" s="32"/>
    </row>
    <row r="2703" spans="2:9" x14ac:dyDescent="0.25">
      <c r="B2703" s="31"/>
      <c r="F2703" s="32"/>
      <c r="I2703" s="32"/>
    </row>
    <row r="2704" spans="2:9" x14ac:dyDescent="0.25">
      <c r="B2704" s="31"/>
      <c r="F2704" s="32"/>
      <c r="I2704" s="32"/>
    </row>
    <row r="2705" spans="2:9" x14ac:dyDescent="0.25">
      <c r="B2705" s="31"/>
      <c r="F2705" s="32"/>
      <c r="I2705" s="32"/>
    </row>
    <row r="2706" spans="2:9" x14ac:dyDescent="0.25">
      <c r="B2706" s="31"/>
      <c r="F2706" s="32"/>
      <c r="I2706" s="32"/>
    </row>
    <row r="2707" spans="2:9" x14ac:dyDescent="0.25">
      <c r="B2707" s="31"/>
      <c r="F2707" s="32"/>
      <c r="I2707" s="32"/>
    </row>
    <row r="2708" spans="2:9" x14ac:dyDescent="0.25">
      <c r="B2708" s="31"/>
      <c r="F2708" s="32"/>
      <c r="I2708" s="32"/>
    </row>
    <row r="2709" spans="2:9" x14ac:dyDescent="0.25">
      <c r="B2709" s="31"/>
      <c r="F2709" s="32"/>
      <c r="I2709" s="32"/>
    </row>
    <row r="2710" spans="2:9" x14ac:dyDescent="0.25">
      <c r="B2710" s="31"/>
      <c r="F2710" s="32"/>
      <c r="I2710" s="32"/>
    </row>
    <row r="2711" spans="2:9" x14ac:dyDescent="0.25">
      <c r="B2711" s="31"/>
      <c r="F2711" s="32"/>
      <c r="I2711" s="32"/>
    </row>
    <row r="2712" spans="2:9" x14ac:dyDescent="0.25">
      <c r="B2712" s="31"/>
      <c r="F2712" s="32"/>
      <c r="I2712" s="32"/>
    </row>
    <row r="2713" spans="2:9" x14ac:dyDescent="0.25">
      <c r="B2713" s="31"/>
      <c r="F2713" s="32"/>
      <c r="I2713" s="32"/>
    </row>
    <row r="2714" spans="2:9" x14ac:dyDescent="0.25">
      <c r="B2714" s="31"/>
      <c r="F2714" s="32"/>
      <c r="I2714" s="32"/>
    </row>
    <row r="2715" spans="2:9" x14ac:dyDescent="0.25">
      <c r="B2715" s="31"/>
      <c r="F2715" s="32"/>
      <c r="I2715" s="32"/>
    </row>
    <row r="2716" spans="2:9" x14ac:dyDescent="0.25">
      <c r="B2716" s="31"/>
      <c r="F2716" s="32"/>
      <c r="I2716" s="32"/>
    </row>
    <row r="2717" spans="2:9" x14ac:dyDescent="0.25">
      <c r="B2717" s="31"/>
      <c r="F2717" s="32"/>
      <c r="I2717" s="32"/>
    </row>
    <row r="2718" spans="2:9" x14ac:dyDescent="0.25">
      <c r="B2718" s="31"/>
      <c r="F2718" s="32"/>
      <c r="I2718" s="32"/>
    </row>
    <row r="2719" spans="2:9" x14ac:dyDescent="0.25">
      <c r="B2719" s="31"/>
      <c r="F2719" s="32"/>
      <c r="I2719" s="32"/>
    </row>
    <row r="2720" spans="2:9" x14ac:dyDescent="0.25">
      <c r="B2720" s="31"/>
      <c r="F2720" s="32"/>
      <c r="I2720" s="32"/>
    </row>
    <row r="2721" spans="2:9" x14ac:dyDescent="0.25">
      <c r="B2721" s="31"/>
      <c r="F2721" s="32"/>
      <c r="I2721" s="32"/>
    </row>
    <row r="2722" spans="2:9" x14ac:dyDescent="0.25">
      <c r="B2722" s="31"/>
      <c r="F2722" s="32"/>
      <c r="I2722" s="32"/>
    </row>
    <row r="2723" spans="2:9" x14ac:dyDescent="0.25">
      <c r="B2723" s="31"/>
      <c r="F2723" s="32"/>
      <c r="I2723" s="32"/>
    </row>
    <row r="2724" spans="2:9" x14ac:dyDescent="0.25">
      <c r="B2724" s="31"/>
      <c r="F2724" s="32"/>
      <c r="I2724" s="32"/>
    </row>
    <row r="2725" spans="2:9" x14ac:dyDescent="0.25">
      <c r="B2725" s="31"/>
      <c r="F2725" s="32"/>
      <c r="I2725" s="32"/>
    </row>
    <row r="2726" spans="2:9" x14ac:dyDescent="0.25">
      <c r="B2726" s="31"/>
      <c r="F2726" s="32"/>
      <c r="I2726" s="32"/>
    </row>
    <row r="2727" spans="2:9" x14ac:dyDescent="0.25">
      <c r="B2727" s="31"/>
      <c r="F2727" s="32"/>
      <c r="I2727" s="32"/>
    </row>
    <row r="2728" spans="2:9" x14ac:dyDescent="0.25">
      <c r="B2728" s="31"/>
      <c r="F2728" s="32"/>
      <c r="I2728" s="32"/>
    </row>
    <row r="2729" spans="2:9" x14ac:dyDescent="0.25">
      <c r="B2729" s="31"/>
      <c r="F2729" s="32"/>
      <c r="I2729" s="32"/>
    </row>
    <row r="2730" spans="2:9" x14ac:dyDescent="0.25">
      <c r="B2730" s="31"/>
      <c r="F2730" s="32"/>
      <c r="I2730" s="32"/>
    </row>
    <row r="2731" spans="2:9" x14ac:dyDescent="0.25">
      <c r="B2731" s="31"/>
      <c r="F2731" s="32"/>
      <c r="I2731" s="32"/>
    </row>
    <row r="2732" spans="2:9" x14ac:dyDescent="0.25">
      <c r="B2732" s="31"/>
      <c r="F2732" s="32"/>
      <c r="I2732" s="32"/>
    </row>
    <row r="2733" spans="2:9" x14ac:dyDescent="0.25">
      <c r="B2733" s="31"/>
      <c r="F2733" s="32"/>
      <c r="I2733" s="32"/>
    </row>
    <row r="2734" spans="2:9" x14ac:dyDescent="0.25">
      <c r="B2734" s="31"/>
      <c r="F2734" s="32"/>
      <c r="I2734" s="32"/>
    </row>
    <row r="2735" spans="2:9" x14ac:dyDescent="0.25">
      <c r="B2735" s="31"/>
      <c r="F2735" s="32"/>
      <c r="I2735" s="32"/>
    </row>
    <row r="2736" spans="2:9" x14ac:dyDescent="0.25">
      <c r="B2736" s="31"/>
      <c r="F2736" s="32"/>
      <c r="I2736" s="32"/>
    </row>
    <row r="2737" spans="2:9" x14ac:dyDescent="0.25">
      <c r="B2737" s="31"/>
      <c r="F2737" s="32"/>
      <c r="I2737" s="32"/>
    </row>
    <row r="2738" spans="2:9" x14ac:dyDescent="0.25">
      <c r="B2738" s="31"/>
      <c r="F2738" s="32"/>
      <c r="I2738" s="32"/>
    </row>
    <row r="2739" spans="2:9" x14ac:dyDescent="0.25">
      <c r="B2739" s="31"/>
      <c r="F2739" s="32"/>
      <c r="I2739" s="32"/>
    </row>
    <row r="2740" spans="2:9" x14ac:dyDescent="0.25">
      <c r="B2740" s="31"/>
      <c r="F2740" s="32"/>
      <c r="I2740" s="32"/>
    </row>
    <row r="2741" spans="2:9" x14ac:dyDescent="0.25">
      <c r="B2741" s="31"/>
      <c r="F2741" s="32"/>
      <c r="I2741" s="32"/>
    </row>
    <row r="2742" spans="2:9" x14ac:dyDescent="0.25">
      <c r="B2742" s="31"/>
      <c r="F2742" s="32"/>
      <c r="I2742" s="32"/>
    </row>
    <row r="2743" spans="2:9" x14ac:dyDescent="0.25">
      <c r="B2743" s="31"/>
      <c r="F2743" s="32"/>
      <c r="I2743" s="32"/>
    </row>
    <row r="2744" spans="2:9" x14ac:dyDescent="0.25">
      <c r="B2744" s="31"/>
      <c r="F2744" s="32"/>
      <c r="I2744" s="32"/>
    </row>
    <row r="2745" spans="2:9" x14ac:dyDescent="0.25">
      <c r="B2745" s="31"/>
      <c r="F2745" s="32"/>
      <c r="I2745" s="32"/>
    </row>
    <row r="2746" spans="2:9" x14ac:dyDescent="0.25">
      <c r="B2746" s="31"/>
      <c r="F2746" s="32"/>
      <c r="I2746" s="32"/>
    </row>
    <row r="2747" spans="2:9" x14ac:dyDescent="0.25">
      <c r="B2747" s="31"/>
      <c r="F2747" s="32"/>
      <c r="I2747" s="32"/>
    </row>
    <row r="2748" spans="2:9" x14ac:dyDescent="0.25">
      <c r="B2748" s="31"/>
      <c r="F2748" s="32"/>
      <c r="I2748" s="32"/>
    </row>
    <row r="2749" spans="2:9" x14ac:dyDescent="0.25">
      <c r="B2749" s="31"/>
      <c r="F2749" s="32"/>
      <c r="I2749" s="32"/>
    </row>
    <row r="2750" spans="2:9" x14ac:dyDescent="0.25">
      <c r="B2750" s="31"/>
      <c r="F2750" s="32"/>
      <c r="I2750" s="32"/>
    </row>
    <row r="2751" spans="2:9" x14ac:dyDescent="0.25">
      <c r="B2751" s="31"/>
      <c r="F2751" s="32"/>
      <c r="I2751" s="32"/>
    </row>
    <row r="2752" spans="2:9" x14ac:dyDescent="0.25">
      <c r="B2752" s="31"/>
      <c r="F2752" s="32"/>
      <c r="I2752" s="32"/>
    </row>
    <row r="2753" spans="2:9" x14ac:dyDescent="0.25">
      <c r="B2753" s="31"/>
      <c r="F2753" s="32"/>
      <c r="I2753" s="32"/>
    </row>
    <row r="2754" spans="2:9" x14ac:dyDescent="0.25">
      <c r="B2754" s="31"/>
      <c r="F2754" s="32"/>
      <c r="I2754" s="32"/>
    </row>
    <row r="2755" spans="2:9" x14ac:dyDescent="0.25">
      <c r="B2755" s="31"/>
      <c r="F2755" s="32"/>
      <c r="I2755" s="32"/>
    </row>
    <row r="2756" spans="2:9" x14ac:dyDescent="0.25">
      <c r="B2756" s="31"/>
      <c r="F2756" s="32"/>
      <c r="I2756" s="32"/>
    </row>
    <row r="2757" spans="2:9" x14ac:dyDescent="0.25">
      <c r="B2757" s="31"/>
      <c r="F2757" s="32"/>
      <c r="I2757" s="32"/>
    </row>
    <row r="2758" spans="2:9" x14ac:dyDescent="0.25">
      <c r="B2758" s="31"/>
      <c r="F2758" s="32"/>
      <c r="I2758" s="32"/>
    </row>
    <row r="2759" spans="2:9" x14ac:dyDescent="0.25">
      <c r="B2759" s="31"/>
      <c r="F2759" s="32"/>
      <c r="I2759" s="32"/>
    </row>
    <row r="2760" spans="2:9" x14ac:dyDescent="0.25">
      <c r="B2760" s="31"/>
      <c r="F2760" s="32"/>
      <c r="I2760" s="32"/>
    </row>
    <row r="2761" spans="2:9" x14ac:dyDescent="0.25">
      <c r="B2761" s="31"/>
      <c r="F2761" s="32"/>
      <c r="I2761" s="32"/>
    </row>
    <row r="2762" spans="2:9" x14ac:dyDescent="0.25">
      <c r="B2762" s="31"/>
      <c r="F2762" s="32"/>
      <c r="I2762" s="32"/>
    </row>
    <row r="2763" spans="2:9" x14ac:dyDescent="0.25">
      <c r="B2763" s="31"/>
      <c r="F2763" s="32"/>
      <c r="I2763" s="32"/>
    </row>
    <row r="2764" spans="2:9" x14ac:dyDescent="0.25">
      <c r="B2764" s="31"/>
      <c r="F2764" s="32"/>
      <c r="I2764" s="32"/>
    </row>
    <row r="2765" spans="2:9" x14ac:dyDescent="0.25">
      <c r="B2765" s="31"/>
      <c r="F2765" s="32"/>
      <c r="I2765" s="32"/>
    </row>
    <row r="2766" spans="2:9" x14ac:dyDescent="0.25">
      <c r="B2766" s="31"/>
      <c r="F2766" s="32"/>
      <c r="I2766" s="32"/>
    </row>
    <row r="2767" spans="2:9" x14ac:dyDescent="0.25">
      <c r="B2767" s="31"/>
      <c r="F2767" s="32"/>
      <c r="I2767" s="32"/>
    </row>
    <row r="2768" spans="2:9" x14ac:dyDescent="0.25">
      <c r="B2768" s="31"/>
      <c r="F2768" s="32"/>
      <c r="I2768" s="32"/>
    </row>
    <row r="2769" spans="2:9" x14ac:dyDescent="0.25">
      <c r="B2769" s="31"/>
      <c r="F2769" s="32"/>
      <c r="I2769" s="32"/>
    </row>
    <row r="2770" spans="2:9" x14ac:dyDescent="0.25">
      <c r="B2770" s="31"/>
      <c r="F2770" s="32"/>
      <c r="I2770" s="32"/>
    </row>
    <row r="2771" spans="2:9" x14ac:dyDescent="0.25">
      <c r="B2771" s="31"/>
      <c r="F2771" s="32"/>
      <c r="I2771" s="32"/>
    </row>
    <row r="2772" spans="2:9" x14ac:dyDescent="0.25">
      <c r="B2772" s="31"/>
      <c r="F2772" s="32"/>
      <c r="I2772" s="32"/>
    </row>
    <row r="2773" spans="2:9" x14ac:dyDescent="0.25">
      <c r="B2773" s="31"/>
      <c r="F2773" s="32"/>
      <c r="I2773" s="32"/>
    </row>
    <row r="2774" spans="2:9" x14ac:dyDescent="0.25">
      <c r="B2774" s="31"/>
      <c r="F2774" s="32"/>
      <c r="I2774" s="32"/>
    </row>
    <row r="2775" spans="2:9" x14ac:dyDescent="0.25">
      <c r="B2775" s="31"/>
      <c r="F2775" s="32"/>
      <c r="I2775" s="32"/>
    </row>
    <row r="2776" spans="2:9" x14ac:dyDescent="0.25">
      <c r="B2776" s="31"/>
      <c r="F2776" s="32"/>
      <c r="I2776" s="32"/>
    </row>
    <row r="2777" spans="2:9" x14ac:dyDescent="0.25">
      <c r="B2777" s="31"/>
      <c r="F2777" s="32"/>
      <c r="I2777" s="32"/>
    </row>
    <row r="2778" spans="2:9" x14ac:dyDescent="0.25">
      <c r="B2778" s="31"/>
      <c r="F2778" s="32"/>
      <c r="I2778" s="32"/>
    </row>
    <row r="2779" spans="2:9" x14ac:dyDescent="0.25">
      <c r="B2779" s="31"/>
      <c r="F2779" s="32"/>
      <c r="I2779" s="32"/>
    </row>
    <row r="2780" spans="2:9" x14ac:dyDescent="0.25">
      <c r="B2780" s="31"/>
      <c r="F2780" s="32"/>
      <c r="I2780" s="32"/>
    </row>
    <row r="2781" spans="2:9" x14ac:dyDescent="0.25">
      <c r="B2781" s="31"/>
      <c r="F2781" s="32"/>
      <c r="I2781" s="32"/>
    </row>
    <row r="2782" spans="2:9" x14ac:dyDescent="0.25">
      <c r="B2782" s="31"/>
      <c r="F2782" s="32"/>
      <c r="I2782" s="32"/>
    </row>
    <row r="2783" spans="2:9" x14ac:dyDescent="0.25">
      <c r="B2783" s="31"/>
      <c r="F2783" s="32"/>
      <c r="I2783" s="32"/>
    </row>
    <row r="2784" spans="2:9" x14ac:dyDescent="0.25">
      <c r="B2784" s="31"/>
      <c r="F2784" s="32"/>
      <c r="I2784" s="32"/>
    </row>
    <row r="2785" spans="2:9" x14ac:dyDescent="0.25">
      <c r="B2785" s="31"/>
      <c r="F2785" s="32"/>
      <c r="I2785" s="32"/>
    </row>
    <row r="2786" spans="2:9" x14ac:dyDescent="0.25">
      <c r="B2786" s="31"/>
      <c r="F2786" s="32"/>
      <c r="I2786" s="32"/>
    </row>
    <row r="2787" spans="2:9" x14ac:dyDescent="0.25">
      <c r="B2787" s="31"/>
      <c r="F2787" s="32"/>
      <c r="I2787" s="32"/>
    </row>
    <row r="2788" spans="2:9" x14ac:dyDescent="0.25">
      <c r="B2788" s="31"/>
      <c r="F2788" s="32"/>
      <c r="I2788" s="32"/>
    </row>
    <row r="2789" spans="2:9" x14ac:dyDescent="0.25">
      <c r="B2789" s="31"/>
      <c r="F2789" s="32"/>
      <c r="I2789" s="32"/>
    </row>
    <row r="2790" spans="2:9" x14ac:dyDescent="0.25">
      <c r="B2790" s="31"/>
      <c r="F2790" s="32"/>
      <c r="I2790" s="32"/>
    </row>
    <row r="2791" spans="2:9" x14ac:dyDescent="0.25">
      <c r="B2791" s="31"/>
      <c r="F2791" s="32"/>
      <c r="I2791" s="32"/>
    </row>
    <row r="2792" spans="2:9" x14ac:dyDescent="0.25">
      <c r="B2792" s="31"/>
      <c r="F2792" s="32"/>
      <c r="I2792" s="32"/>
    </row>
    <row r="2793" spans="2:9" x14ac:dyDescent="0.25">
      <c r="B2793" s="31"/>
      <c r="F2793" s="32"/>
      <c r="I2793" s="32"/>
    </row>
    <row r="2794" spans="2:9" x14ac:dyDescent="0.25">
      <c r="B2794" s="31"/>
      <c r="F2794" s="32"/>
      <c r="I2794" s="32"/>
    </row>
    <row r="2795" spans="2:9" x14ac:dyDescent="0.25">
      <c r="B2795" s="31"/>
      <c r="F2795" s="32"/>
      <c r="I2795" s="32"/>
    </row>
    <row r="2796" spans="2:9" x14ac:dyDescent="0.25">
      <c r="B2796" s="31"/>
      <c r="F2796" s="32"/>
      <c r="I2796" s="32"/>
    </row>
    <row r="2797" spans="2:9" x14ac:dyDescent="0.25">
      <c r="B2797" s="31"/>
      <c r="F2797" s="32"/>
      <c r="I2797" s="32"/>
    </row>
    <row r="2798" spans="2:9" x14ac:dyDescent="0.25">
      <c r="B2798" s="31"/>
      <c r="F2798" s="32"/>
      <c r="I2798" s="32"/>
    </row>
    <row r="2799" spans="2:9" x14ac:dyDescent="0.25">
      <c r="B2799" s="31"/>
      <c r="F2799" s="32"/>
      <c r="I2799" s="32"/>
    </row>
    <row r="2800" spans="2:9" x14ac:dyDescent="0.25">
      <c r="B2800" s="31"/>
      <c r="F2800" s="32"/>
      <c r="I2800" s="32"/>
    </row>
    <row r="2801" spans="2:9" x14ac:dyDescent="0.25">
      <c r="B2801" s="31"/>
      <c r="F2801" s="32"/>
      <c r="I2801" s="32"/>
    </row>
    <row r="2802" spans="2:9" x14ac:dyDescent="0.25">
      <c r="B2802" s="31"/>
      <c r="F2802" s="32"/>
      <c r="I2802" s="32"/>
    </row>
    <row r="2803" spans="2:9" x14ac:dyDescent="0.25">
      <c r="B2803" s="31"/>
      <c r="F2803" s="32"/>
      <c r="I2803" s="32"/>
    </row>
    <row r="2804" spans="2:9" x14ac:dyDescent="0.25">
      <c r="B2804" s="31"/>
      <c r="F2804" s="32"/>
      <c r="I2804" s="32"/>
    </row>
    <row r="2805" spans="2:9" x14ac:dyDescent="0.25">
      <c r="B2805" s="31"/>
      <c r="F2805" s="32"/>
      <c r="I2805" s="32"/>
    </row>
    <row r="2806" spans="2:9" x14ac:dyDescent="0.25">
      <c r="B2806" s="31"/>
      <c r="F2806" s="32"/>
      <c r="I2806" s="32"/>
    </row>
    <row r="2807" spans="2:9" x14ac:dyDescent="0.25">
      <c r="B2807" s="31"/>
      <c r="F2807" s="32"/>
      <c r="I2807" s="32"/>
    </row>
    <row r="2808" spans="2:9" x14ac:dyDescent="0.25">
      <c r="B2808" s="31"/>
      <c r="F2808" s="32"/>
      <c r="I2808" s="32"/>
    </row>
    <row r="2809" spans="2:9" x14ac:dyDescent="0.25">
      <c r="B2809" s="31"/>
      <c r="F2809" s="32"/>
      <c r="I2809" s="32"/>
    </row>
    <row r="2810" spans="2:9" x14ac:dyDescent="0.25">
      <c r="B2810" s="31"/>
      <c r="F2810" s="32"/>
      <c r="I2810" s="32"/>
    </row>
    <row r="2811" spans="2:9" x14ac:dyDescent="0.25">
      <c r="B2811" s="31"/>
      <c r="F2811" s="32"/>
      <c r="I2811" s="32"/>
    </row>
    <row r="2812" spans="2:9" x14ac:dyDescent="0.25">
      <c r="B2812" s="31"/>
      <c r="F2812" s="32"/>
      <c r="I2812" s="32"/>
    </row>
    <row r="2813" spans="2:9" x14ac:dyDescent="0.25">
      <c r="B2813" s="31"/>
      <c r="F2813" s="32"/>
      <c r="I2813" s="32"/>
    </row>
    <row r="2814" spans="2:9" x14ac:dyDescent="0.25">
      <c r="B2814" s="31"/>
      <c r="F2814" s="32"/>
      <c r="I2814" s="32"/>
    </row>
    <row r="2815" spans="2:9" x14ac:dyDescent="0.25">
      <c r="B2815" s="31"/>
      <c r="F2815" s="32"/>
      <c r="I2815" s="32"/>
    </row>
    <row r="2816" spans="2:9" x14ac:dyDescent="0.25">
      <c r="B2816" s="31"/>
      <c r="F2816" s="32"/>
      <c r="I2816" s="32"/>
    </row>
    <row r="2817" spans="2:9" x14ac:dyDescent="0.25">
      <c r="B2817" s="31"/>
      <c r="F2817" s="32"/>
      <c r="I2817" s="32"/>
    </row>
    <row r="2818" spans="2:9" x14ac:dyDescent="0.25">
      <c r="B2818" s="31"/>
      <c r="F2818" s="32"/>
      <c r="I2818" s="32"/>
    </row>
    <row r="2819" spans="2:9" x14ac:dyDescent="0.25">
      <c r="B2819" s="31"/>
      <c r="F2819" s="32"/>
      <c r="I2819" s="32"/>
    </row>
    <row r="2820" spans="2:9" x14ac:dyDescent="0.25">
      <c r="B2820" s="31"/>
      <c r="F2820" s="32"/>
      <c r="I2820" s="32"/>
    </row>
    <row r="2821" spans="2:9" x14ac:dyDescent="0.25">
      <c r="B2821" s="31"/>
      <c r="F2821" s="32"/>
      <c r="I2821" s="32"/>
    </row>
    <row r="2822" spans="2:9" x14ac:dyDescent="0.25">
      <c r="B2822" s="31"/>
      <c r="F2822" s="32"/>
      <c r="I2822" s="32"/>
    </row>
    <row r="2823" spans="2:9" x14ac:dyDescent="0.25">
      <c r="B2823" s="31"/>
      <c r="F2823" s="32"/>
      <c r="I2823" s="32"/>
    </row>
    <row r="2824" spans="2:9" x14ac:dyDescent="0.25">
      <c r="B2824" s="31"/>
      <c r="F2824" s="32"/>
      <c r="I2824" s="32"/>
    </row>
    <row r="2825" spans="2:9" x14ac:dyDescent="0.25">
      <c r="B2825" s="31"/>
      <c r="F2825" s="32"/>
      <c r="I2825" s="32"/>
    </row>
    <row r="2826" spans="2:9" x14ac:dyDescent="0.25">
      <c r="B2826" s="31"/>
      <c r="F2826" s="32"/>
      <c r="I2826" s="32"/>
    </row>
    <row r="2827" spans="2:9" x14ac:dyDescent="0.25">
      <c r="B2827" s="31"/>
      <c r="F2827" s="32"/>
      <c r="I2827" s="32"/>
    </row>
    <row r="2828" spans="2:9" x14ac:dyDescent="0.25">
      <c r="B2828" s="31"/>
      <c r="F2828" s="32"/>
      <c r="I2828" s="32"/>
    </row>
    <row r="2829" spans="2:9" x14ac:dyDescent="0.25">
      <c r="B2829" s="31"/>
      <c r="F2829" s="32"/>
      <c r="I2829" s="32"/>
    </row>
    <row r="2830" spans="2:9" x14ac:dyDescent="0.25">
      <c r="B2830" s="31"/>
      <c r="F2830" s="32"/>
      <c r="I2830" s="32"/>
    </row>
    <row r="2831" spans="2:9" x14ac:dyDescent="0.25">
      <c r="B2831" s="31"/>
      <c r="F2831" s="32"/>
      <c r="I2831" s="32"/>
    </row>
    <row r="2832" spans="2:9" x14ac:dyDescent="0.25">
      <c r="B2832" s="31"/>
      <c r="F2832" s="32"/>
      <c r="I2832" s="32"/>
    </row>
    <row r="2833" spans="2:9" x14ac:dyDescent="0.25">
      <c r="B2833" s="31"/>
      <c r="F2833" s="32"/>
      <c r="I2833" s="32"/>
    </row>
    <row r="2834" spans="2:9" x14ac:dyDescent="0.25">
      <c r="B2834" s="31"/>
      <c r="F2834" s="32"/>
      <c r="I2834" s="32"/>
    </row>
    <row r="2835" spans="2:9" x14ac:dyDescent="0.25">
      <c r="B2835" s="31"/>
      <c r="F2835" s="32"/>
      <c r="I2835" s="32"/>
    </row>
    <row r="2836" spans="2:9" x14ac:dyDescent="0.25">
      <c r="B2836" s="31"/>
      <c r="F2836" s="32"/>
      <c r="I2836" s="32"/>
    </row>
    <row r="2837" spans="2:9" x14ac:dyDescent="0.25">
      <c r="B2837" s="31"/>
      <c r="F2837" s="32"/>
      <c r="I2837" s="32"/>
    </row>
    <row r="2838" spans="2:9" x14ac:dyDescent="0.25">
      <c r="B2838" s="31"/>
      <c r="F2838" s="32"/>
      <c r="I2838" s="32"/>
    </row>
    <row r="2839" spans="2:9" x14ac:dyDescent="0.25">
      <c r="B2839" s="31"/>
      <c r="F2839" s="32"/>
      <c r="I2839" s="32"/>
    </row>
    <row r="2840" spans="2:9" x14ac:dyDescent="0.25">
      <c r="B2840" s="31"/>
      <c r="F2840" s="32"/>
      <c r="I2840" s="32"/>
    </row>
    <row r="2841" spans="2:9" x14ac:dyDescent="0.25">
      <c r="B2841" s="31"/>
      <c r="F2841" s="32"/>
      <c r="I2841" s="32"/>
    </row>
    <row r="2842" spans="2:9" x14ac:dyDescent="0.25">
      <c r="B2842" s="31"/>
      <c r="F2842" s="32"/>
      <c r="I2842" s="32"/>
    </row>
    <row r="2843" spans="2:9" x14ac:dyDescent="0.25">
      <c r="B2843" s="31"/>
      <c r="F2843" s="32"/>
      <c r="I2843" s="32"/>
    </row>
    <row r="2844" spans="2:9" x14ac:dyDescent="0.25">
      <c r="B2844" s="31"/>
      <c r="F2844" s="32"/>
      <c r="I2844" s="32"/>
    </row>
    <row r="2845" spans="2:9" x14ac:dyDescent="0.25">
      <c r="B2845" s="31"/>
      <c r="F2845" s="32"/>
      <c r="I2845" s="32"/>
    </row>
    <row r="2846" spans="2:9" x14ac:dyDescent="0.25">
      <c r="B2846" s="31"/>
      <c r="F2846" s="32"/>
      <c r="I2846" s="32"/>
    </row>
    <row r="2847" spans="2:9" x14ac:dyDescent="0.25">
      <c r="B2847" s="31"/>
      <c r="F2847" s="32"/>
      <c r="I2847" s="32"/>
    </row>
    <row r="2848" spans="2:9" x14ac:dyDescent="0.25">
      <c r="B2848" s="31"/>
      <c r="F2848" s="32"/>
      <c r="I2848" s="32"/>
    </row>
    <row r="2849" spans="2:9" x14ac:dyDescent="0.25">
      <c r="B2849" s="31"/>
      <c r="F2849" s="32"/>
      <c r="I2849" s="32"/>
    </row>
    <row r="2850" spans="2:9" x14ac:dyDescent="0.25">
      <c r="B2850" s="31"/>
      <c r="F2850" s="32"/>
      <c r="I2850" s="32"/>
    </row>
    <row r="2851" spans="2:9" x14ac:dyDescent="0.25">
      <c r="B2851" s="31"/>
      <c r="F2851" s="32"/>
      <c r="I2851" s="32"/>
    </row>
    <row r="2852" spans="2:9" x14ac:dyDescent="0.25">
      <c r="B2852" s="31"/>
      <c r="F2852" s="32"/>
      <c r="I2852" s="32"/>
    </row>
    <row r="2853" spans="2:9" x14ac:dyDescent="0.25">
      <c r="B2853" s="31"/>
      <c r="F2853" s="32"/>
      <c r="I2853" s="32"/>
    </row>
    <row r="2854" spans="2:9" x14ac:dyDescent="0.25">
      <c r="B2854" s="31"/>
      <c r="F2854" s="32"/>
      <c r="I2854" s="32"/>
    </row>
    <row r="2855" spans="2:9" x14ac:dyDescent="0.25">
      <c r="B2855" s="31"/>
      <c r="F2855" s="32"/>
      <c r="I2855" s="32"/>
    </row>
    <row r="2856" spans="2:9" x14ac:dyDescent="0.25">
      <c r="B2856" s="31"/>
      <c r="F2856" s="32"/>
      <c r="I2856" s="32"/>
    </row>
    <row r="2857" spans="2:9" x14ac:dyDescent="0.25">
      <c r="B2857" s="31"/>
      <c r="F2857" s="32"/>
      <c r="I2857" s="32"/>
    </row>
    <row r="2858" spans="2:9" x14ac:dyDescent="0.25">
      <c r="B2858" s="31"/>
      <c r="F2858" s="32"/>
      <c r="I2858" s="32"/>
    </row>
    <row r="2859" spans="2:9" x14ac:dyDescent="0.25">
      <c r="B2859" s="31"/>
      <c r="F2859" s="32"/>
      <c r="I2859" s="32"/>
    </row>
    <row r="2860" spans="2:9" x14ac:dyDescent="0.25">
      <c r="B2860" s="31"/>
      <c r="F2860" s="32"/>
      <c r="I2860" s="32"/>
    </row>
    <row r="2861" spans="2:9" x14ac:dyDescent="0.25">
      <c r="B2861" s="31"/>
      <c r="F2861" s="32"/>
      <c r="I2861" s="32"/>
    </row>
    <row r="2862" spans="2:9" x14ac:dyDescent="0.25">
      <c r="B2862" s="31"/>
      <c r="F2862" s="32"/>
      <c r="I2862" s="32"/>
    </row>
    <row r="2863" spans="2:9" x14ac:dyDescent="0.25">
      <c r="B2863" s="31"/>
      <c r="F2863" s="32"/>
      <c r="I2863" s="32"/>
    </row>
    <row r="2864" spans="2:9" x14ac:dyDescent="0.25">
      <c r="B2864" s="31"/>
      <c r="F2864" s="32"/>
      <c r="I2864" s="32"/>
    </row>
    <row r="2865" spans="2:9" x14ac:dyDescent="0.25">
      <c r="B2865" s="31"/>
      <c r="F2865" s="32"/>
      <c r="I2865" s="32"/>
    </row>
    <row r="2866" spans="2:9" x14ac:dyDescent="0.25">
      <c r="B2866" s="31"/>
      <c r="F2866" s="32"/>
      <c r="I2866" s="32"/>
    </row>
    <row r="2867" spans="2:9" x14ac:dyDescent="0.25">
      <c r="B2867" s="31"/>
      <c r="F2867" s="32"/>
      <c r="I2867" s="32"/>
    </row>
    <row r="2868" spans="2:9" x14ac:dyDescent="0.25">
      <c r="B2868" s="31"/>
      <c r="F2868" s="32"/>
      <c r="I2868" s="32"/>
    </row>
    <row r="2869" spans="2:9" x14ac:dyDescent="0.25">
      <c r="B2869" s="31"/>
      <c r="F2869" s="32"/>
      <c r="I2869" s="32"/>
    </row>
    <row r="2870" spans="2:9" x14ac:dyDescent="0.25">
      <c r="B2870" s="31"/>
      <c r="F2870" s="32"/>
      <c r="I2870" s="32"/>
    </row>
    <row r="2871" spans="2:9" x14ac:dyDescent="0.25">
      <c r="B2871" s="31"/>
      <c r="F2871" s="32"/>
      <c r="I2871" s="32"/>
    </row>
    <row r="2872" spans="2:9" x14ac:dyDescent="0.25">
      <c r="B2872" s="31"/>
      <c r="F2872" s="32"/>
      <c r="I2872" s="32"/>
    </row>
    <row r="2873" spans="2:9" x14ac:dyDescent="0.25">
      <c r="B2873" s="31"/>
      <c r="F2873" s="32"/>
      <c r="I2873" s="32"/>
    </row>
    <row r="2874" spans="2:9" x14ac:dyDescent="0.25">
      <c r="B2874" s="31"/>
      <c r="F2874" s="32"/>
      <c r="I2874" s="32"/>
    </row>
    <row r="2875" spans="2:9" x14ac:dyDescent="0.25">
      <c r="B2875" s="31"/>
      <c r="F2875" s="32"/>
      <c r="I2875" s="32"/>
    </row>
    <row r="2876" spans="2:9" x14ac:dyDescent="0.25">
      <c r="B2876" s="31"/>
      <c r="F2876" s="32"/>
      <c r="I2876" s="32"/>
    </row>
    <row r="2877" spans="2:9" x14ac:dyDescent="0.25">
      <c r="B2877" s="31"/>
      <c r="F2877" s="32"/>
      <c r="I2877" s="32"/>
    </row>
    <row r="2878" spans="2:9" x14ac:dyDescent="0.25">
      <c r="B2878" s="31"/>
      <c r="F2878" s="32"/>
      <c r="I2878" s="32"/>
    </row>
    <row r="2879" spans="2:9" x14ac:dyDescent="0.25">
      <c r="B2879" s="31"/>
      <c r="F2879" s="32"/>
      <c r="I2879" s="32"/>
    </row>
    <row r="2880" spans="2:9" x14ac:dyDescent="0.25">
      <c r="B2880" s="31"/>
      <c r="F2880" s="32"/>
      <c r="I2880" s="32"/>
    </row>
    <row r="2881" spans="2:9" x14ac:dyDescent="0.25">
      <c r="B2881" s="31"/>
      <c r="F2881" s="32"/>
      <c r="I2881" s="32"/>
    </row>
    <row r="2882" spans="2:9" x14ac:dyDescent="0.25">
      <c r="B2882" s="31"/>
      <c r="F2882" s="32"/>
      <c r="I2882" s="32"/>
    </row>
    <row r="2883" spans="2:9" x14ac:dyDescent="0.25">
      <c r="B2883" s="31"/>
      <c r="F2883" s="32"/>
      <c r="I2883" s="32"/>
    </row>
    <row r="2884" spans="2:9" x14ac:dyDescent="0.25">
      <c r="B2884" s="31"/>
      <c r="F2884" s="32"/>
      <c r="I2884" s="32"/>
    </row>
    <row r="2885" spans="2:9" x14ac:dyDescent="0.25">
      <c r="B2885" s="31"/>
      <c r="F2885" s="32"/>
      <c r="I2885" s="32"/>
    </row>
    <row r="2886" spans="2:9" x14ac:dyDescent="0.25">
      <c r="B2886" s="31"/>
      <c r="F2886" s="32"/>
      <c r="I2886" s="32"/>
    </row>
    <row r="2887" spans="2:9" x14ac:dyDescent="0.25">
      <c r="B2887" s="31"/>
      <c r="F2887" s="32"/>
      <c r="I2887" s="32"/>
    </row>
    <row r="2888" spans="2:9" x14ac:dyDescent="0.25">
      <c r="B2888" s="31"/>
      <c r="F2888" s="32"/>
      <c r="I2888" s="32"/>
    </row>
    <row r="2889" spans="2:9" x14ac:dyDescent="0.25">
      <c r="B2889" s="31"/>
      <c r="F2889" s="32"/>
      <c r="I2889" s="32"/>
    </row>
    <row r="2890" spans="2:9" x14ac:dyDescent="0.25">
      <c r="B2890" s="31"/>
      <c r="F2890" s="32"/>
      <c r="I2890" s="32"/>
    </row>
    <row r="2891" spans="2:9" x14ac:dyDescent="0.25">
      <c r="B2891" s="31"/>
      <c r="F2891" s="32"/>
      <c r="I2891" s="32"/>
    </row>
    <row r="2892" spans="2:9" x14ac:dyDescent="0.25">
      <c r="B2892" s="31"/>
      <c r="F2892" s="32"/>
      <c r="I2892" s="32"/>
    </row>
    <row r="2893" spans="2:9" x14ac:dyDescent="0.25">
      <c r="B2893" s="31"/>
      <c r="F2893" s="32"/>
      <c r="I2893" s="32"/>
    </row>
    <row r="2894" spans="2:9" x14ac:dyDescent="0.25">
      <c r="B2894" s="31"/>
      <c r="F2894" s="32"/>
      <c r="I2894" s="32"/>
    </row>
    <row r="2895" spans="2:9" x14ac:dyDescent="0.25">
      <c r="B2895" s="31"/>
      <c r="F2895" s="32"/>
      <c r="I2895" s="32"/>
    </row>
    <row r="2896" spans="2:9" x14ac:dyDescent="0.25">
      <c r="B2896" s="31"/>
      <c r="F2896" s="32"/>
      <c r="I2896" s="32"/>
    </row>
    <row r="2897" spans="2:9" x14ac:dyDescent="0.25">
      <c r="B2897" s="31"/>
      <c r="F2897" s="32"/>
      <c r="I2897" s="32"/>
    </row>
    <row r="2898" spans="2:9" x14ac:dyDescent="0.25">
      <c r="B2898" s="31"/>
      <c r="F2898" s="32"/>
      <c r="I2898" s="32"/>
    </row>
    <row r="2899" spans="2:9" x14ac:dyDescent="0.25">
      <c r="B2899" s="31"/>
      <c r="F2899" s="32"/>
      <c r="I2899" s="32"/>
    </row>
    <row r="2900" spans="2:9" x14ac:dyDescent="0.25">
      <c r="B2900" s="31"/>
      <c r="F2900" s="32"/>
      <c r="I2900" s="32"/>
    </row>
    <row r="2901" spans="2:9" x14ac:dyDescent="0.25">
      <c r="B2901" s="31"/>
      <c r="F2901" s="32"/>
      <c r="I2901" s="32"/>
    </row>
    <row r="2902" spans="2:9" x14ac:dyDescent="0.25">
      <c r="B2902" s="31"/>
      <c r="F2902" s="32"/>
      <c r="I2902" s="32"/>
    </row>
    <row r="2903" spans="2:9" x14ac:dyDescent="0.25">
      <c r="B2903" s="31"/>
      <c r="F2903" s="32"/>
      <c r="I2903" s="32"/>
    </row>
    <row r="2904" spans="2:9" x14ac:dyDescent="0.25">
      <c r="B2904" s="31"/>
      <c r="F2904" s="32"/>
      <c r="I2904" s="32"/>
    </row>
    <row r="2905" spans="2:9" x14ac:dyDescent="0.25">
      <c r="B2905" s="31"/>
      <c r="F2905" s="32"/>
      <c r="I2905" s="32"/>
    </row>
    <row r="2906" spans="2:9" x14ac:dyDescent="0.25">
      <c r="B2906" s="31"/>
      <c r="F2906" s="32"/>
      <c r="I2906" s="32"/>
    </row>
    <row r="2907" spans="2:9" x14ac:dyDescent="0.25">
      <c r="B2907" s="31"/>
      <c r="F2907" s="32"/>
      <c r="I2907" s="32"/>
    </row>
    <row r="2908" spans="2:9" x14ac:dyDescent="0.25">
      <c r="B2908" s="31"/>
      <c r="F2908" s="32"/>
      <c r="I2908" s="32"/>
    </row>
    <row r="2909" spans="2:9" x14ac:dyDescent="0.25">
      <c r="B2909" s="31"/>
      <c r="F2909" s="32"/>
      <c r="I2909" s="32"/>
    </row>
    <row r="2910" spans="2:9" x14ac:dyDescent="0.25">
      <c r="B2910" s="31"/>
      <c r="F2910" s="32"/>
      <c r="I2910" s="32"/>
    </row>
    <row r="2911" spans="2:9" x14ac:dyDescent="0.25">
      <c r="B2911" s="31"/>
      <c r="F2911" s="32"/>
      <c r="I2911" s="32"/>
    </row>
    <row r="2912" spans="2:9" x14ac:dyDescent="0.25">
      <c r="B2912" s="31"/>
      <c r="F2912" s="32"/>
      <c r="I2912" s="32"/>
    </row>
    <row r="2913" spans="2:9" x14ac:dyDescent="0.25">
      <c r="B2913" s="31"/>
      <c r="F2913" s="32"/>
      <c r="I2913" s="32"/>
    </row>
    <row r="2914" spans="2:9" x14ac:dyDescent="0.25">
      <c r="B2914" s="31"/>
      <c r="F2914" s="32"/>
      <c r="I2914" s="32"/>
    </row>
    <row r="2915" spans="2:9" x14ac:dyDescent="0.25">
      <c r="B2915" s="31"/>
      <c r="F2915" s="32"/>
      <c r="I2915" s="32"/>
    </row>
    <row r="2916" spans="2:9" x14ac:dyDescent="0.25">
      <c r="B2916" s="31"/>
      <c r="F2916" s="32"/>
      <c r="I2916" s="32"/>
    </row>
    <row r="2917" spans="2:9" x14ac:dyDescent="0.25">
      <c r="B2917" s="31"/>
      <c r="F2917" s="32"/>
      <c r="I2917" s="32"/>
    </row>
    <row r="2918" spans="2:9" x14ac:dyDescent="0.25">
      <c r="B2918" s="31"/>
      <c r="F2918" s="32"/>
      <c r="I2918" s="32"/>
    </row>
    <row r="2919" spans="2:9" x14ac:dyDescent="0.25">
      <c r="B2919" s="31"/>
      <c r="F2919" s="32"/>
      <c r="I2919" s="32"/>
    </row>
    <row r="2920" spans="2:9" x14ac:dyDescent="0.25">
      <c r="B2920" s="31"/>
      <c r="F2920" s="32"/>
      <c r="I2920" s="32"/>
    </row>
    <row r="2921" spans="2:9" x14ac:dyDescent="0.25">
      <c r="B2921" s="31"/>
      <c r="F2921" s="32"/>
      <c r="I2921" s="32"/>
    </row>
    <row r="2922" spans="2:9" x14ac:dyDescent="0.25">
      <c r="B2922" s="31"/>
      <c r="F2922" s="32"/>
      <c r="I2922" s="32"/>
    </row>
    <row r="2923" spans="2:9" x14ac:dyDescent="0.25">
      <c r="B2923" s="31"/>
      <c r="F2923" s="32"/>
      <c r="I2923" s="32"/>
    </row>
    <row r="2924" spans="2:9" x14ac:dyDescent="0.25">
      <c r="B2924" s="31"/>
      <c r="F2924" s="32"/>
      <c r="I2924" s="32"/>
    </row>
    <row r="2925" spans="2:9" x14ac:dyDescent="0.25">
      <c r="B2925" s="31"/>
      <c r="F2925" s="32"/>
      <c r="I2925" s="32"/>
    </row>
    <row r="2926" spans="2:9" x14ac:dyDescent="0.25">
      <c r="B2926" s="31"/>
      <c r="F2926" s="32"/>
      <c r="I2926" s="32"/>
    </row>
    <row r="2927" spans="2:9" x14ac:dyDescent="0.25">
      <c r="B2927" s="31"/>
      <c r="F2927" s="32"/>
      <c r="I2927" s="32"/>
    </row>
    <row r="2928" spans="2:9" x14ac:dyDescent="0.25">
      <c r="B2928" s="31"/>
      <c r="F2928" s="32"/>
      <c r="I2928" s="32"/>
    </row>
    <row r="2929" spans="2:9" x14ac:dyDescent="0.25">
      <c r="B2929" s="31"/>
      <c r="F2929" s="32"/>
      <c r="I2929" s="32"/>
    </row>
    <row r="2930" spans="2:9" x14ac:dyDescent="0.25">
      <c r="B2930" s="31"/>
      <c r="F2930" s="32"/>
      <c r="I2930" s="32"/>
    </row>
    <row r="2931" spans="2:9" x14ac:dyDescent="0.25">
      <c r="B2931" s="31"/>
      <c r="F2931" s="32"/>
      <c r="I2931" s="32"/>
    </row>
    <row r="2932" spans="2:9" x14ac:dyDescent="0.25">
      <c r="B2932" s="31"/>
      <c r="F2932" s="32"/>
      <c r="I2932" s="32"/>
    </row>
    <row r="2933" spans="2:9" x14ac:dyDescent="0.25">
      <c r="B2933" s="31"/>
      <c r="F2933" s="32"/>
      <c r="I2933" s="32"/>
    </row>
    <row r="2934" spans="2:9" x14ac:dyDescent="0.25">
      <c r="B2934" s="31"/>
      <c r="F2934" s="32"/>
      <c r="I2934" s="32"/>
    </row>
    <row r="2935" spans="2:9" x14ac:dyDescent="0.25">
      <c r="B2935" s="31"/>
      <c r="F2935" s="32"/>
      <c r="I2935" s="32"/>
    </row>
    <row r="2936" spans="2:9" x14ac:dyDescent="0.25">
      <c r="B2936" s="31"/>
      <c r="F2936" s="32"/>
      <c r="I2936" s="32"/>
    </row>
    <row r="2937" spans="2:9" x14ac:dyDescent="0.25">
      <c r="B2937" s="31"/>
      <c r="F2937" s="32"/>
      <c r="I2937" s="32"/>
    </row>
    <row r="2938" spans="2:9" x14ac:dyDescent="0.25">
      <c r="B2938" s="31"/>
      <c r="F2938" s="32"/>
      <c r="I2938" s="32"/>
    </row>
    <row r="2939" spans="2:9" x14ac:dyDescent="0.25">
      <c r="B2939" s="31"/>
      <c r="F2939" s="32"/>
      <c r="I2939" s="32"/>
    </row>
    <row r="2940" spans="2:9" x14ac:dyDescent="0.25">
      <c r="B2940" s="31"/>
      <c r="F2940" s="32"/>
      <c r="I2940" s="32"/>
    </row>
    <row r="2941" spans="2:9" x14ac:dyDescent="0.25">
      <c r="B2941" s="31"/>
      <c r="F2941" s="32"/>
      <c r="I2941" s="32"/>
    </row>
    <row r="2942" spans="2:9" x14ac:dyDescent="0.25">
      <c r="B2942" s="31"/>
      <c r="F2942" s="32"/>
      <c r="I2942" s="32"/>
    </row>
    <row r="2943" spans="2:9" x14ac:dyDescent="0.25">
      <c r="B2943" s="31"/>
      <c r="F2943" s="32"/>
      <c r="I2943" s="32"/>
    </row>
    <row r="2944" spans="2:9" x14ac:dyDescent="0.25">
      <c r="B2944" s="31"/>
      <c r="F2944" s="32"/>
      <c r="I2944" s="32"/>
    </row>
    <row r="2945" spans="2:9" x14ac:dyDescent="0.25">
      <c r="B2945" s="31"/>
      <c r="F2945" s="32"/>
      <c r="I2945" s="32"/>
    </row>
    <row r="2946" spans="2:9" x14ac:dyDescent="0.25">
      <c r="B2946" s="31"/>
      <c r="F2946" s="32"/>
      <c r="I2946" s="32"/>
    </row>
    <row r="2947" spans="2:9" x14ac:dyDescent="0.25">
      <c r="B2947" s="31"/>
      <c r="F2947" s="32"/>
      <c r="I2947" s="32"/>
    </row>
    <row r="2948" spans="2:9" x14ac:dyDescent="0.25">
      <c r="B2948" s="31"/>
      <c r="F2948" s="32"/>
      <c r="I2948" s="32"/>
    </row>
    <row r="2949" spans="2:9" x14ac:dyDescent="0.25">
      <c r="B2949" s="31"/>
      <c r="F2949" s="32"/>
      <c r="I2949" s="32"/>
    </row>
    <row r="2950" spans="2:9" x14ac:dyDescent="0.25">
      <c r="B2950" s="31"/>
      <c r="F2950" s="32"/>
      <c r="I2950" s="32"/>
    </row>
    <row r="2951" spans="2:9" x14ac:dyDescent="0.25">
      <c r="B2951" s="31"/>
      <c r="F2951" s="32"/>
      <c r="I2951" s="32"/>
    </row>
    <row r="2952" spans="2:9" x14ac:dyDescent="0.25">
      <c r="B2952" s="31"/>
      <c r="F2952" s="32"/>
      <c r="I2952" s="32"/>
    </row>
    <row r="2953" spans="2:9" x14ac:dyDescent="0.25">
      <c r="B2953" s="31"/>
      <c r="F2953" s="32"/>
      <c r="I2953" s="32"/>
    </row>
    <row r="2954" spans="2:9" x14ac:dyDescent="0.25">
      <c r="B2954" s="31"/>
      <c r="F2954" s="32"/>
      <c r="I2954" s="32"/>
    </row>
    <row r="2955" spans="2:9" x14ac:dyDescent="0.25">
      <c r="B2955" s="31"/>
      <c r="F2955" s="32"/>
      <c r="I2955" s="32"/>
    </row>
    <row r="2956" spans="2:9" x14ac:dyDescent="0.25">
      <c r="B2956" s="31"/>
      <c r="F2956" s="32"/>
      <c r="I2956" s="32"/>
    </row>
    <row r="2957" spans="2:9" x14ac:dyDescent="0.25">
      <c r="B2957" s="31"/>
      <c r="F2957" s="32"/>
      <c r="I2957" s="32"/>
    </row>
    <row r="2958" spans="2:9" x14ac:dyDescent="0.25">
      <c r="B2958" s="31"/>
      <c r="F2958" s="32"/>
      <c r="I2958" s="32"/>
    </row>
    <row r="2959" spans="2:9" x14ac:dyDescent="0.25">
      <c r="B2959" s="31"/>
      <c r="F2959" s="32"/>
      <c r="I2959" s="32"/>
    </row>
    <row r="2960" spans="2:9" x14ac:dyDescent="0.25">
      <c r="B2960" s="31"/>
      <c r="F2960" s="32"/>
      <c r="I2960" s="32"/>
    </row>
    <row r="2961" spans="2:9" x14ac:dyDescent="0.25">
      <c r="B2961" s="31"/>
      <c r="F2961" s="32"/>
      <c r="I2961" s="32"/>
    </row>
    <row r="2962" spans="2:9" x14ac:dyDescent="0.25">
      <c r="B2962" s="31"/>
      <c r="F2962" s="32"/>
      <c r="I2962" s="32"/>
    </row>
    <row r="2963" spans="2:9" x14ac:dyDescent="0.25">
      <c r="B2963" s="31"/>
      <c r="F2963" s="32"/>
      <c r="I2963" s="32"/>
    </row>
    <row r="2964" spans="2:9" x14ac:dyDescent="0.25">
      <c r="B2964" s="31"/>
      <c r="F2964" s="32"/>
      <c r="I2964" s="32"/>
    </row>
    <row r="2965" spans="2:9" x14ac:dyDescent="0.25">
      <c r="B2965" s="31"/>
      <c r="F2965" s="32"/>
      <c r="I2965" s="32"/>
    </row>
    <row r="2966" spans="2:9" x14ac:dyDescent="0.25">
      <c r="B2966" s="31"/>
      <c r="F2966" s="32"/>
      <c r="I2966" s="32"/>
    </row>
    <row r="2967" spans="2:9" x14ac:dyDescent="0.25">
      <c r="B2967" s="31"/>
      <c r="F2967" s="32"/>
      <c r="I2967" s="32"/>
    </row>
    <row r="2968" spans="2:9" x14ac:dyDescent="0.25">
      <c r="B2968" s="31"/>
      <c r="F2968" s="32"/>
      <c r="I2968" s="32"/>
    </row>
    <row r="2969" spans="2:9" x14ac:dyDescent="0.25">
      <c r="B2969" s="31"/>
      <c r="F2969" s="32"/>
      <c r="I2969" s="32"/>
    </row>
    <row r="2970" spans="2:9" x14ac:dyDescent="0.25">
      <c r="B2970" s="31"/>
      <c r="F2970" s="32"/>
      <c r="I2970" s="32"/>
    </row>
    <row r="2971" spans="2:9" x14ac:dyDescent="0.25">
      <c r="B2971" s="31"/>
      <c r="F2971" s="32"/>
      <c r="I2971" s="32"/>
    </row>
    <row r="2972" spans="2:9" x14ac:dyDescent="0.25">
      <c r="B2972" s="31"/>
      <c r="F2972" s="32"/>
      <c r="I2972" s="32"/>
    </row>
    <row r="2973" spans="2:9" x14ac:dyDescent="0.25">
      <c r="B2973" s="31"/>
      <c r="F2973" s="32"/>
      <c r="I2973" s="32"/>
    </row>
    <row r="2974" spans="2:9" x14ac:dyDescent="0.25">
      <c r="B2974" s="31"/>
      <c r="F2974" s="32"/>
      <c r="I2974" s="32"/>
    </row>
    <row r="2975" spans="2:9" x14ac:dyDescent="0.25">
      <c r="B2975" s="31"/>
      <c r="F2975" s="32"/>
      <c r="I2975" s="32"/>
    </row>
    <row r="2976" spans="2:9" x14ac:dyDescent="0.25">
      <c r="B2976" s="31"/>
      <c r="F2976" s="32"/>
      <c r="I2976" s="32"/>
    </row>
    <row r="2977" spans="2:9" x14ac:dyDescent="0.25">
      <c r="B2977" s="31"/>
      <c r="F2977" s="32"/>
      <c r="I2977" s="32"/>
    </row>
    <row r="2978" spans="2:9" x14ac:dyDescent="0.25">
      <c r="B2978" s="31"/>
      <c r="F2978" s="32"/>
      <c r="I2978" s="32"/>
    </row>
    <row r="2979" spans="2:9" x14ac:dyDescent="0.25">
      <c r="B2979" s="31"/>
      <c r="F2979" s="32"/>
      <c r="I2979" s="32"/>
    </row>
    <row r="2980" spans="2:9" x14ac:dyDescent="0.25">
      <c r="B2980" s="31"/>
      <c r="F2980" s="32"/>
      <c r="I2980" s="32"/>
    </row>
    <row r="2981" spans="2:9" x14ac:dyDescent="0.25">
      <c r="B2981" s="31"/>
      <c r="F2981" s="32"/>
      <c r="I2981" s="32"/>
    </row>
    <row r="2982" spans="2:9" x14ac:dyDescent="0.25">
      <c r="B2982" s="31"/>
      <c r="F2982" s="32"/>
      <c r="I2982" s="32"/>
    </row>
    <row r="2983" spans="2:9" x14ac:dyDescent="0.25">
      <c r="B2983" s="31"/>
      <c r="F2983" s="32"/>
      <c r="I2983" s="32"/>
    </row>
    <row r="2984" spans="2:9" x14ac:dyDescent="0.25">
      <c r="B2984" s="31"/>
      <c r="F2984" s="32"/>
      <c r="I2984" s="32"/>
    </row>
    <row r="2985" spans="2:9" x14ac:dyDescent="0.25">
      <c r="B2985" s="31"/>
      <c r="F2985" s="32"/>
      <c r="I2985" s="32"/>
    </row>
    <row r="2986" spans="2:9" x14ac:dyDescent="0.25">
      <c r="B2986" s="31"/>
      <c r="F2986" s="32"/>
      <c r="I2986" s="32"/>
    </row>
    <row r="2987" spans="2:9" x14ac:dyDescent="0.25">
      <c r="B2987" s="31"/>
      <c r="F2987" s="32"/>
      <c r="I2987" s="32"/>
    </row>
    <row r="2988" spans="2:9" x14ac:dyDescent="0.25">
      <c r="B2988" s="31"/>
      <c r="F2988" s="32"/>
      <c r="I2988" s="32"/>
    </row>
    <row r="2989" spans="2:9" x14ac:dyDescent="0.25">
      <c r="B2989" s="31"/>
      <c r="F2989" s="32"/>
      <c r="I2989" s="32"/>
    </row>
    <row r="2990" spans="2:9" x14ac:dyDescent="0.25">
      <c r="B2990" s="31"/>
      <c r="F2990" s="32"/>
      <c r="I2990" s="32"/>
    </row>
    <row r="2991" spans="2:9" x14ac:dyDescent="0.25">
      <c r="B2991" s="31"/>
      <c r="F2991" s="32"/>
      <c r="I2991" s="32"/>
    </row>
    <row r="2992" spans="2:9" x14ac:dyDescent="0.25">
      <c r="B2992" s="31"/>
      <c r="F2992" s="32"/>
      <c r="I2992" s="32"/>
    </row>
    <row r="2993" spans="2:9" x14ac:dyDescent="0.25">
      <c r="B2993" s="31"/>
      <c r="F2993" s="32"/>
      <c r="I2993" s="32"/>
    </row>
    <row r="2994" spans="2:9" x14ac:dyDescent="0.25">
      <c r="B2994" s="31"/>
      <c r="F2994" s="32"/>
      <c r="I2994" s="32"/>
    </row>
    <row r="2995" spans="2:9" x14ac:dyDescent="0.25">
      <c r="B2995" s="31"/>
      <c r="F2995" s="32"/>
      <c r="I2995" s="32"/>
    </row>
    <row r="2996" spans="2:9" x14ac:dyDescent="0.25">
      <c r="B2996" s="31"/>
      <c r="F2996" s="32"/>
      <c r="I2996" s="32"/>
    </row>
    <row r="2997" spans="2:9" x14ac:dyDescent="0.25">
      <c r="B2997" s="31"/>
      <c r="F2997" s="32"/>
      <c r="I2997" s="32"/>
    </row>
    <row r="2998" spans="2:9" x14ac:dyDescent="0.25">
      <c r="B2998" s="31"/>
      <c r="F2998" s="32"/>
      <c r="I2998" s="32"/>
    </row>
    <row r="2999" spans="2:9" x14ac:dyDescent="0.25">
      <c r="B2999" s="31"/>
      <c r="F2999" s="32"/>
      <c r="I2999" s="32"/>
    </row>
    <row r="3000" spans="2:9" x14ac:dyDescent="0.25">
      <c r="B3000" s="31"/>
      <c r="F3000" s="32"/>
      <c r="I3000" s="32"/>
    </row>
    <row r="3001" spans="2:9" x14ac:dyDescent="0.25">
      <c r="B3001" s="31"/>
      <c r="F3001" s="32"/>
      <c r="I3001" s="32"/>
    </row>
    <row r="3002" spans="2:9" x14ac:dyDescent="0.25">
      <c r="B3002" s="31"/>
      <c r="F3002" s="32"/>
      <c r="I3002" s="32"/>
    </row>
    <row r="3003" spans="2:9" x14ac:dyDescent="0.25">
      <c r="B3003" s="31"/>
      <c r="F3003" s="32"/>
      <c r="I3003" s="32"/>
    </row>
    <row r="3004" spans="2:9" x14ac:dyDescent="0.25">
      <c r="B3004" s="31"/>
      <c r="F3004" s="32"/>
      <c r="I3004" s="32"/>
    </row>
    <row r="3005" spans="2:9" x14ac:dyDescent="0.25">
      <c r="B3005" s="31"/>
      <c r="F3005" s="32"/>
      <c r="I3005" s="32"/>
    </row>
    <row r="3006" spans="2:9" x14ac:dyDescent="0.25">
      <c r="B3006" s="31"/>
      <c r="F3006" s="32"/>
      <c r="I3006" s="32"/>
    </row>
    <row r="3007" spans="2:9" x14ac:dyDescent="0.25">
      <c r="B3007" s="31"/>
      <c r="F3007" s="32"/>
      <c r="I3007" s="32"/>
    </row>
    <row r="3008" spans="2:9" x14ac:dyDescent="0.25">
      <c r="B3008" s="31"/>
      <c r="F3008" s="32"/>
      <c r="I3008" s="32"/>
    </row>
    <row r="3009" spans="2:9" x14ac:dyDescent="0.25">
      <c r="B3009" s="31"/>
      <c r="F3009" s="32"/>
      <c r="I3009" s="32"/>
    </row>
    <row r="3010" spans="2:9" x14ac:dyDescent="0.25">
      <c r="B3010" s="31"/>
      <c r="F3010" s="32"/>
      <c r="I3010" s="32"/>
    </row>
    <row r="3011" spans="2:9" x14ac:dyDescent="0.25">
      <c r="B3011" s="31"/>
      <c r="F3011" s="32"/>
      <c r="I3011" s="32"/>
    </row>
    <row r="3012" spans="2:9" x14ac:dyDescent="0.25">
      <c r="B3012" s="31"/>
      <c r="F3012" s="32"/>
      <c r="I3012" s="32"/>
    </row>
    <row r="3013" spans="2:9" x14ac:dyDescent="0.25">
      <c r="B3013" s="31"/>
      <c r="F3013" s="32"/>
      <c r="I3013" s="32"/>
    </row>
    <row r="3014" spans="2:9" x14ac:dyDescent="0.25">
      <c r="B3014" s="31"/>
      <c r="F3014" s="32"/>
      <c r="I3014" s="32"/>
    </row>
    <row r="3015" spans="2:9" x14ac:dyDescent="0.25">
      <c r="B3015" s="31"/>
      <c r="F3015" s="32"/>
      <c r="I3015" s="32"/>
    </row>
    <row r="3016" spans="2:9" x14ac:dyDescent="0.25">
      <c r="B3016" s="31"/>
      <c r="F3016" s="32"/>
      <c r="I3016" s="32"/>
    </row>
    <row r="3017" spans="2:9" x14ac:dyDescent="0.25">
      <c r="B3017" s="31"/>
      <c r="F3017" s="32"/>
      <c r="I3017" s="32"/>
    </row>
    <row r="3018" spans="2:9" x14ac:dyDescent="0.25">
      <c r="B3018" s="31"/>
      <c r="F3018" s="32"/>
      <c r="I3018" s="32"/>
    </row>
    <row r="3019" spans="2:9" x14ac:dyDescent="0.25">
      <c r="B3019" s="31"/>
      <c r="F3019" s="32"/>
      <c r="I3019" s="32"/>
    </row>
    <row r="3020" spans="2:9" x14ac:dyDescent="0.25">
      <c r="B3020" s="31"/>
      <c r="F3020" s="32"/>
      <c r="I3020" s="32"/>
    </row>
    <row r="3021" spans="2:9" x14ac:dyDescent="0.25">
      <c r="B3021" s="31"/>
      <c r="F3021" s="32"/>
      <c r="I3021" s="32"/>
    </row>
    <row r="3022" spans="2:9" x14ac:dyDescent="0.25">
      <c r="B3022" s="31"/>
      <c r="F3022" s="32"/>
      <c r="I3022" s="32"/>
    </row>
    <row r="3023" spans="2:9" x14ac:dyDescent="0.25">
      <c r="B3023" s="31"/>
      <c r="F3023" s="32"/>
      <c r="I3023" s="32"/>
    </row>
    <row r="3024" spans="2:9" x14ac:dyDescent="0.25">
      <c r="B3024" s="31"/>
      <c r="F3024" s="32"/>
      <c r="I3024" s="32"/>
    </row>
    <row r="3025" spans="2:9" x14ac:dyDescent="0.25">
      <c r="B3025" s="31"/>
      <c r="F3025" s="32"/>
      <c r="I3025" s="32"/>
    </row>
    <row r="3026" spans="2:9" x14ac:dyDescent="0.25">
      <c r="B3026" s="31"/>
      <c r="F3026" s="32"/>
      <c r="I3026" s="32"/>
    </row>
    <row r="3027" spans="2:9" x14ac:dyDescent="0.25">
      <c r="B3027" s="31"/>
      <c r="F3027" s="32"/>
      <c r="I3027" s="32"/>
    </row>
    <row r="3028" spans="2:9" x14ac:dyDescent="0.25">
      <c r="B3028" s="31"/>
      <c r="F3028" s="32"/>
      <c r="I3028" s="32"/>
    </row>
    <row r="3029" spans="2:9" x14ac:dyDescent="0.25">
      <c r="B3029" s="31"/>
      <c r="F3029" s="32"/>
      <c r="I3029" s="32"/>
    </row>
    <row r="3030" spans="2:9" x14ac:dyDescent="0.25">
      <c r="B3030" s="31"/>
      <c r="F3030" s="32"/>
      <c r="I3030" s="32"/>
    </row>
    <row r="3031" spans="2:9" x14ac:dyDescent="0.25">
      <c r="B3031" s="31"/>
      <c r="F3031" s="32"/>
      <c r="I3031" s="32"/>
    </row>
    <row r="3032" spans="2:9" x14ac:dyDescent="0.25">
      <c r="B3032" s="31"/>
      <c r="F3032" s="32"/>
      <c r="I3032" s="32"/>
    </row>
    <row r="3033" spans="2:9" x14ac:dyDescent="0.25">
      <c r="B3033" s="31"/>
      <c r="F3033" s="32"/>
      <c r="I3033" s="32"/>
    </row>
    <row r="3034" spans="2:9" x14ac:dyDescent="0.25">
      <c r="B3034" s="31"/>
      <c r="F3034" s="32"/>
      <c r="I3034" s="32"/>
    </row>
    <row r="3035" spans="2:9" x14ac:dyDescent="0.25">
      <c r="B3035" s="31"/>
      <c r="F3035" s="32"/>
      <c r="I3035" s="32"/>
    </row>
    <row r="3036" spans="2:9" x14ac:dyDescent="0.25">
      <c r="B3036" s="31"/>
      <c r="F3036" s="32"/>
      <c r="I3036" s="32"/>
    </row>
    <row r="3037" spans="2:9" x14ac:dyDescent="0.25">
      <c r="B3037" s="31"/>
      <c r="F3037" s="32"/>
      <c r="I3037" s="32"/>
    </row>
    <row r="3038" spans="2:9" x14ac:dyDescent="0.25">
      <c r="B3038" s="31"/>
      <c r="F3038" s="32"/>
      <c r="I3038" s="32"/>
    </row>
    <row r="3039" spans="2:9" x14ac:dyDescent="0.25">
      <c r="B3039" s="31"/>
      <c r="F3039" s="32"/>
      <c r="I3039" s="32"/>
    </row>
    <row r="3040" spans="2:9" x14ac:dyDescent="0.25">
      <c r="B3040" s="31"/>
      <c r="F3040" s="32"/>
      <c r="I3040" s="32"/>
    </row>
    <row r="3041" spans="2:9" x14ac:dyDescent="0.25">
      <c r="B3041" s="31"/>
      <c r="F3041" s="32"/>
      <c r="I3041" s="32"/>
    </row>
    <row r="3042" spans="2:9" x14ac:dyDescent="0.25">
      <c r="B3042" s="31"/>
      <c r="F3042" s="32"/>
      <c r="I3042" s="32"/>
    </row>
    <row r="3043" spans="2:9" x14ac:dyDescent="0.25">
      <c r="B3043" s="31"/>
      <c r="F3043" s="32"/>
      <c r="I3043" s="32"/>
    </row>
    <row r="3044" spans="2:9" x14ac:dyDescent="0.25">
      <c r="B3044" s="31"/>
      <c r="F3044" s="32"/>
      <c r="I3044" s="32"/>
    </row>
    <row r="3045" spans="2:9" x14ac:dyDescent="0.25">
      <c r="B3045" s="31"/>
      <c r="F3045" s="32"/>
      <c r="I3045" s="32"/>
    </row>
    <row r="3046" spans="2:9" x14ac:dyDescent="0.25">
      <c r="B3046" s="31"/>
      <c r="F3046" s="32"/>
      <c r="I3046" s="32"/>
    </row>
    <row r="3047" spans="2:9" x14ac:dyDescent="0.25">
      <c r="B3047" s="31"/>
      <c r="F3047" s="32"/>
      <c r="I3047" s="32"/>
    </row>
    <row r="3048" spans="2:9" x14ac:dyDescent="0.25">
      <c r="B3048" s="31"/>
      <c r="F3048" s="32"/>
      <c r="I3048" s="32"/>
    </row>
    <row r="3049" spans="2:9" x14ac:dyDescent="0.25">
      <c r="B3049" s="31"/>
      <c r="F3049" s="32"/>
      <c r="I3049" s="32"/>
    </row>
    <row r="3050" spans="2:9" x14ac:dyDescent="0.25">
      <c r="B3050" s="31"/>
      <c r="F3050" s="32"/>
      <c r="I3050" s="32"/>
    </row>
    <row r="3051" spans="2:9" x14ac:dyDescent="0.25">
      <c r="B3051" s="31"/>
      <c r="F3051" s="32"/>
      <c r="I3051" s="32"/>
    </row>
    <row r="3052" spans="2:9" x14ac:dyDescent="0.25">
      <c r="B3052" s="31"/>
      <c r="F3052" s="32"/>
      <c r="I3052" s="32"/>
    </row>
    <row r="3053" spans="2:9" x14ac:dyDescent="0.25">
      <c r="B3053" s="31"/>
      <c r="F3053" s="32"/>
      <c r="I3053" s="32"/>
    </row>
    <row r="3054" spans="2:9" x14ac:dyDescent="0.25">
      <c r="B3054" s="31"/>
      <c r="F3054" s="32"/>
      <c r="I3054" s="32"/>
    </row>
    <row r="3055" spans="2:9" x14ac:dyDescent="0.25">
      <c r="B3055" s="31"/>
      <c r="F3055" s="32"/>
      <c r="I3055" s="32"/>
    </row>
    <row r="3056" spans="2:9" x14ac:dyDescent="0.25">
      <c r="B3056" s="31"/>
      <c r="F3056" s="32"/>
      <c r="I3056" s="32"/>
    </row>
    <row r="3057" spans="2:9" x14ac:dyDescent="0.25">
      <c r="B3057" s="31"/>
      <c r="F3057" s="32"/>
      <c r="I3057" s="32"/>
    </row>
    <row r="3058" spans="2:9" x14ac:dyDescent="0.25">
      <c r="B3058" s="31"/>
      <c r="F3058" s="32"/>
      <c r="I3058" s="32"/>
    </row>
    <row r="3059" spans="2:9" x14ac:dyDescent="0.25">
      <c r="B3059" s="31"/>
      <c r="F3059" s="32"/>
      <c r="I3059" s="32"/>
    </row>
    <row r="3060" spans="2:9" x14ac:dyDescent="0.25">
      <c r="B3060" s="31"/>
      <c r="F3060" s="32"/>
      <c r="I3060" s="32"/>
    </row>
    <row r="3061" spans="2:9" x14ac:dyDescent="0.25">
      <c r="B3061" s="31"/>
      <c r="F3061" s="32"/>
      <c r="I3061" s="32"/>
    </row>
    <row r="3062" spans="2:9" x14ac:dyDescent="0.25">
      <c r="B3062" s="31"/>
      <c r="F3062" s="32"/>
      <c r="I3062" s="32"/>
    </row>
    <row r="3063" spans="2:9" x14ac:dyDescent="0.25">
      <c r="B3063" s="31"/>
      <c r="F3063" s="32"/>
      <c r="I3063" s="32"/>
    </row>
    <row r="3064" spans="2:9" x14ac:dyDescent="0.25">
      <c r="B3064" s="31"/>
      <c r="F3064" s="32"/>
      <c r="I3064" s="32"/>
    </row>
    <row r="3065" spans="2:9" x14ac:dyDescent="0.25">
      <c r="B3065" s="31"/>
      <c r="F3065" s="32"/>
      <c r="I3065" s="32"/>
    </row>
    <row r="3066" spans="2:9" x14ac:dyDescent="0.25">
      <c r="B3066" s="31"/>
      <c r="F3066" s="32"/>
      <c r="I3066" s="32"/>
    </row>
    <row r="3067" spans="2:9" x14ac:dyDescent="0.25">
      <c r="B3067" s="31"/>
      <c r="F3067" s="32"/>
      <c r="I3067" s="32"/>
    </row>
    <row r="3068" spans="2:9" x14ac:dyDescent="0.25">
      <c r="B3068" s="31"/>
      <c r="F3068" s="32"/>
      <c r="I3068" s="32"/>
    </row>
    <row r="3069" spans="2:9" x14ac:dyDescent="0.25">
      <c r="B3069" s="31"/>
      <c r="F3069" s="32"/>
      <c r="I3069" s="32"/>
    </row>
    <row r="3070" spans="2:9" x14ac:dyDescent="0.25">
      <c r="B3070" s="31"/>
      <c r="F3070" s="32"/>
      <c r="I3070" s="32"/>
    </row>
    <row r="3071" spans="2:9" x14ac:dyDescent="0.25">
      <c r="B3071" s="31"/>
      <c r="F3071" s="32"/>
      <c r="I3071" s="32"/>
    </row>
    <row r="3072" spans="2:9" x14ac:dyDescent="0.25">
      <c r="B3072" s="31"/>
      <c r="F3072" s="32"/>
      <c r="I3072" s="32"/>
    </row>
    <row r="3073" spans="2:9" x14ac:dyDescent="0.25">
      <c r="B3073" s="31"/>
      <c r="F3073" s="32"/>
      <c r="I3073" s="32"/>
    </row>
    <row r="3074" spans="2:9" x14ac:dyDescent="0.25">
      <c r="B3074" s="31"/>
      <c r="F3074" s="32"/>
      <c r="I3074" s="32"/>
    </row>
    <row r="3075" spans="2:9" x14ac:dyDescent="0.25">
      <c r="B3075" s="31"/>
      <c r="F3075" s="32"/>
      <c r="I3075" s="32"/>
    </row>
    <row r="3076" spans="2:9" x14ac:dyDescent="0.25">
      <c r="B3076" s="31"/>
      <c r="F3076" s="32"/>
      <c r="I3076" s="32"/>
    </row>
    <row r="3077" spans="2:9" x14ac:dyDescent="0.25">
      <c r="B3077" s="31"/>
      <c r="F3077" s="32"/>
      <c r="I3077" s="32"/>
    </row>
    <row r="3078" spans="2:9" x14ac:dyDescent="0.25">
      <c r="B3078" s="31"/>
      <c r="F3078" s="32"/>
      <c r="I3078" s="32"/>
    </row>
    <row r="3079" spans="2:9" x14ac:dyDescent="0.25">
      <c r="B3079" s="31"/>
      <c r="F3079" s="32"/>
      <c r="I3079" s="32"/>
    </row>
    <row r="3080" spans="2:9" x14ac:dyDescent="0.25">
      <c r="B3080" s="31"/>
      <c r="F3080" s="32"/>
      <c r="I3080" s="32"/>
    </row>
    <row r="3081" spans="2:9" x14ac:dyDescent="0.25">
      <c r="B3081" s="31"/>
      <c r="F3081" s="32"/>
      <c r="I3081" s="32"/>
    </row>
    <row r="3082" spans="2:9" x14ac:dyDescent="0.25">
      <c r="B3082" s="31"/>
      <c r="F3082" s="32"/>
      <c r="I3082" s="32"/>
    </row>
    <row r="3083" spans="2:9" x14ac:dyDescent="0.25">
      <c r="B3083" s="31"/>
      <c r="F3083" s="32"/>
      <c r="I3083" s="32"/>
    </row>
    <row r="3084" spans="2:9" x14ac:dyDescent="0.25">
      <c r="B3084" s="31"/>
      <c r="F3084" s="32"/>
      <c r="I3084" s="32"/>
    </row>
    <row r="3085" spans="2:9" x14ac:dyDescent="0.25">
      <c r="B3085" s="31"/>
      <c r="F3085" s="32"/>
      <c r="I3085" s="32"/>
    </row>
    <row r="3086" spans="2:9" x14ac:dyDescent="0.25">
      <c r="B3086" s="31"/>
      <c r="F3086" s="32"/>
      <c r="I3086" s="32"/>
    </row>
    <row r="3087" spans="2:9" x14ac:dyDescent="0.25">
      <c r="B3087" s="31"/>
      <c r="F3087" s="32"/>
      <c r="I3087" s="32"/>
    </row>
    <row r="3088" spans="2:9" x14ac:dyDescent="0.25">
      <c r="B3088" s="31"/>
      <c r="F3088" s="32"/>
      <c r="I3088" s="32"/>
    </row>
    <row r="3089" spans="2:9" x14ac:dyDescent="0.25">
      <c r="B3089" s="31"/>
      <c r="F3089" s="32"/>
      <c r="I3089" s="32"/>
    </row>
    <row r="3090" spans="2:9" x14ac:dyDescent="0.25">
      <c r="B3090" s="31"/>
      <c r="F3090" s="32"/>
      <c r="I3090" s="32"/>
    </row>
    <row r="3091" spans="2:9" x14ac:dyDescent="0.25">
      <c r="B3091" s="31"/>
      <c r="F3091" s="32"/>
      <c r="I3091" s="32"/>
    </row>
    <row r="3092" spans="2:9" x14ac:dyDescent="0.25">
      <c r="B3092" s="31"/>
      <c r="F3092" s="32"/>
      <c r="I3092" s="32"/>
    </row>
    <row r="3093" spans="2:9" x14ac:dyDescent="0.25">
      <c r="B3093" s="31"/>
      <c r="F3093" s="32"/>
      <c r="I3093" s="32"/>
    </row>
    <row r="3094" spans="2:9" x14ac:dyDescent="0.25">
      <c r="B3094" s="31"/>
      <c r="F3094" s="32"/>
      <c r="I3094" s="32"/>
    </row>
    <row r="3095" spans="2:9" x14ac:dyDescent="0.25">
      <c r="B3095" s="31"/>
      <c r="F3095" s="32"/>
      <c r="I3095" s="32"/>
    </row>
    <row r="3096" spans="2:9" x14ac:dyDescent="0.25">
      <c r="B3096" s="31"/>
      <c r="F3096" s="32"/>
      <c r="I3096" s="32"/>
    </row>
    <row r="3097" spans="2:9" x14ac:dyDescent="0.25">
      <c r="B3097" s="31"/>
      <c r="F3097" s="32"/>
      <c r="I3097" s="32"/>
    </row>
    <row r="3098" spans="2:9" x14ac:dyDescent="0.25">
      <c r="B3098" s="31"/>
      <c r="F3098" s="32"/>
      <c r="I3098" s="32"/>
    </row>
    <row r="3099" spans="2:9" x14ac:dyDescent="0.25">
      <c r="B3099" s="31"/>
      <c r="F3099" s="32"/>
      <c r="I3099" s="32"/>
    </row>
    <row r="3100" spans="2:9" x14ac:dyDescent="0.25">
      <c r="B3100" s="31"/>
      <c r="F3100" s="32"/>
      <c r="I3100" s="32"/>
    </row>
    <row r="3101" spans="2:9" x14ac:dyDescent="0.25">
      <c r="B3101" s="31"/>
      <c r="F3101" s="32"/>
      <c r="I3101" s="32"/>
    </row>
    <row r="3102" spans="2:9" x14ac:dyDescent="0.25">
      <c r="B3102" s="31"/>
      <c r="F3102" s="32"/>
      <c r="I3102" s="32"/>
    </row>
    <row r="3103" spans="2:9" x14ac:dyDescent="0.25">
      <c r="B3103" s="31"/>
      <c r="F3103" s="32"/>
      <c r="I3103" s="32"/>
    </row>
    <row r="3104" spans="2:9" x14ac:dyDescent="0.25">
      <c r="B3104" s="31"/>
      <c r="F3104" s="32"/>
      <c r="I3104" s="32"/>
    </row>
    <row r="3105" spans="2:9" x14ac:dyDescent="0.25">
      <c r="B3105" s="31"/>
      <c r="F3105" s="32"/>
      <c r="I3105" s="32"/>
    </row>
    <row r="3106" spans="2:9" x14ac:dyDescent="0.25">
      <c r="B3106" s="31"/>
      <c r="F3106" s="32"/>
      <c r="I3106" s="32"/>
    </row>
    <row r="3107" spans="2:9" x14ac:dyDescent="0.25">
      <c r="B3107" s="31"/>
      <c r="F3107" s="32"/>
      <c r="I3107" s="32"/>
    </row>
    <row r="3108" spans="2:9" x14ac:dyDescent="0.25">
      <c r="B3108" s="31"/>
      <c r="F3108" s="32"/>
      <c r="I3108" s="32"/>
    </row>
    <row r="3109" spans="2:9" x14ac:dyDescent="0.25">
      <c r="B3109" s="31"/>
      <c r="F3109" s="32"/>
      <c r="I3109" s="32"/>
    </row>
    <row r="3110" spans="2:9" x14ac:dyDescent="0.25">
      <c r="B3110" s="31"/>
      <c r="F3110" s="32"/>
      <c r="I3110" s="32"/>
    </row>
    <row r="3111" spans="2:9" x14ac:dyDescent="0.25">
      <c r="B3111" s="31"/>
      <c r="F3111" s="32"/>
      <c r="I3111" s="32"/>
    </row>
    <row r="3112" spans="2:9" x14ac:dyDescent="0.25">
      <c r="B3112" s="31"/>
      <c r="F3112" s="32"/>
      <c r="I3112" s="32"/>
    </row>
    <row r="3113" spans="2:9" x14ac:dyDescent="0.25">
      <c r="B3113" s="31"/>
      <c r="F3113" s="32"/>
      <c r="I3113" s="32"/>
    </row>
    <row r="3114" spans="2:9" x14ac:dyDescent="0.25">
      <c r="B3114" s="31"/>
      <c r="F3114" s="32"/>
      <c r="I3114" s="32"/>
    </row>
    <row r="3115" spans="2:9" x14ac:dyDescent="0.25">
      <c r="B3115" s="31"/>
      <c r="F3115" s="32"/>
      <c r="I3115" s="32"/>
    </row>
    <row r="3116" spans="2:9" x14ac:dyDescent="0.25">
      <c r="B3116" s="31"/>
      <c r="F3116" s="32"/>
      <c r="I3116" s="32"/>
    </row>
    <row r="3117" spans="2:9" x14ac:dyDescent="0.25">
      <c r="B3117" s="31"/>
      <c r="F3117" s="32"/>
      <c r="I3117" s="32"/>
    </row>
    <row r="3118" spans="2:9" x14ac:dyDescent="0.25">
      <c r="B3118" s="31"/>
      <c r="F3118" s="32"/>
      <c r="I3118" s="32"/>
    </row>
    <row r="3119" spans="2:9" x14ac:dyDescent="0.25">
      <c r="B3119" s="31"/>
      <c r="F3119" s="32"/>
      <c r="I3119" s="32"/>
    </row>
    <row r="3120" spans="2:9" x14ac:dyDescent="0.25">
      <c r="B3120" s="31"/>
      <c r="F3120" s="32"/>
      <c r="I3120" s="32"/>
    </row>
    <row r="3121" spans="2:9" x14ac:dyDescent="0.25">
      <c r="B3121" s="31"/>
      <c r="F3121" s="32"/>
      <c r="I3121" s="32"/>
    </row>
    <row r="3122" spans="2:9" x14ac:dyDescent="0.25">
      <c r="B3122" s="31"/>
      <c r="F3122" s="32"/>
      <c r="I3122" s="32"/>
    </row>
    <row r="3123" spans="2:9" x14ac:dyDescent="0.25">
      <c r="B3123" s="31"/>
      <c r="F3123" s="32"/>
      <c r="I3123" s="32"/>
    </row>
    <row r="3124" spans="2:9" x14ac:dyDescent="0.25">
      <c r="B3124" s="31"/>
      <c r="F3124" s="32"/>
      <c r="I3124" s="32"/>
    </row>
    <row r="3125" spans="2:9" x14ac:dyDescent="0.25">
      <c r="B3125" s="31"/>
      <c r="F3125" s="32"/>
      <c r="I3125" s="32"/>
    </row>
    <row r="3126" spans="2:9" x14ac:dyDescent="0.25">
      <c r="B3126" s="31"/>
      <c r="F3126" s="32"/>
      <c r="I3126" s="32"/>
    </row>
    <row r="3127" spans="2:9" x14ac:dyDescent="0.25">
      <c r="B3127" s="31"/>
      <c r="F3127" s="32"/>
      <c r="I3127" s="32"/>
    </row>
    <row r="3128" spans="2:9" x14ac:dyDescent="0.25">
      <c r="B3128" s="31"/>
      <c r="F3128" s="32"/>
      <c r="I3128" s="32"/>
    </row>
    <row r="3129" spans="2:9" x14ac:dyDescent="0.25">
      <c r="B3129" s="31"/>
      <c r="F3129" s="32"/>
      <c r="I3129" s="32"/>
    </row>
    <row r="3130" spans="2:9" x14ac:dyDescent="0.25">
      <c r="B3130" s="31"/>
      <c r="F3130" s="32"/>
      <c r="I3130" s="32"/>
    </row>
    <row r="3131" spans="2:9" x14ac:dyDescent="0.25">
      <c r="B3131" s="31"/>
      <c r="F3131" s="32"/>
      <c r="I3131" s="32"/>
    </row>
    <row r="3132" spans="2:9" x14ac:dyDescent="0.25">
      <c r="B3132" s="31"/>
      <c r="F3132" s="32"/>
      <c r="I3132" s="32"/>
    </row>
    <row r="3133" spans="2:9" x14ac:dyDescent="0.25">
      <c r="B3133" s="31"/>
      <c r="F3133" s="32"/>
      <c r="I3133" s="32"/>
    </row>
    <row r="3134" spans="2:9" x14ac:dyDescent="0.25">
      <c r="B3134" s="31"/>
      <c r="F3134" s="32"/>
      <c r="I3134" s="32"/>
    </row>
    <row r="3135" spans="2:9" x14ac:dyDescent="0.25">
      <c r="B3135" s="31"/>
      <c r="F3135" s="32"/>
      <c r="I3135" s="32"/>
    </row>
    <row r="3136" spans="2:9" x14ac:dyDescent="0.25">
      <c r="B3136" s="31"/>
      <c r="F3136" s="32"/>
      <c r="I3136" s="32"/>
    </row>
    <row r="3137" spans="2:9" x14ac:dyDescent="0.25">
      <c r="B3137" s="31"/>
      <c r="F3137" s="32"/>
      <c r="I3137" s="32"/>
    </row>
    <row r="3138" spans="2:9" x14ac:dyDescent="0.25">
      <c r="B3138" s="31"/>
      <c r="F3138" s="32"/>
      <c r="I3138" s="32"/>
    </row>
    <row r="3139" spans="2:9" x14ac:dyDescent="0.25">
      <c r="B3139" s="31"/>
      <c r="F3139" s="32"/>
      <c r="I3139" s="32"/>
    </row>
    <row r="3140" spans="2:9" x14ac:dyDescent="0.25">
      <c r="B3140" s="31"/>
      <c r="F3140" s="32"/>
      <c r="I3140" s="32"/>
    </row>
    <row r="3141" spans="2:9" x14ac:dyDescent="0.25">
      <c r="B3141" s="31"/>
      <c r="F3141" s="32"/>
      <c r="I3141" s="32"/>
    </row>
    <row r="3142" spans="2:9" x14ac:dyDescent="0.25">
      <c r="B3142" s="31"/>
      <c r="F3142" s="32"/>
      <c r="I3142" s="32"/>
    </row>
    <row r="3143" spans="2:9" x14ac:dyDescent="0.25">
      <c r="B3143" s="31"/>
      <c r="F3143" s="32"/>
      <c r="I3143" s="32"/>
    </row>
    <row r="3144" spans="2:9" x14ac:dyDescent="0.25">
      <c r="B3144" s="31"/>
      <c r="F3144" s="32"/>
      <c r="I3144" s="32"/>
    </row>
    <row r="3145" spans="2:9" x14ac:dyDescent="0.25">
      <c r="B3145" s="31"/>
      <c r="F3145" s="32"/>
      <c r="I3145" s="32"/>
    </row>
    <row r="3146" spans="2:9" x14ac:dyDescent="0.25">
      <c r="B3146" s="31"/>
      <c r="F3146" s="32"/>
      <c r="I3146" s="32"/>
    </row>
    <row r="3147" spans="2:9" x14ac:dyDescent="0.25">
      <c r="B3147" s="31"/>
      <c r="F3147" s="32"/>
      <c r="I3147" s="32"/>
    </row>
    <row r="3148" spans="2:9" x14ac:dyDescent="0.25">
      <c r="B3148" s="31"/>
      <c r="F3148" s="32"/>
      <c r="I3148" s="32"/>
    </row>
    <row r="3149" spans="2:9" x14ac:dyDescent="0.25">
      <c r="B3149" s="31"/>
      <c r="F3149" s="32"/>
      <c r="I3149" s="32"/>
    </row>
    <row r="3150" spans="2:9" x14ac:dyDescent="0.25">
      <c r="B3150" s="31"/>
      <c r="F3150" s="32"/>
      <c r="I3150" s="32"/>
    </row>
    <row r="3151" spans="2:9" x14ac:dyDescent="0.25">
      <c r="B3151" s="31"/>
      <c r="F3151" s="32"/>
      <c r="I3151" s="32"/>
    </row>
    <row r="3152" spans="2:9" x14ac:dyDescent="0.25">
      <c r="B3152" s="31"/>
      <c r="F3152" s="32"/>
      <c r="I3152" s="32"/>
    </row>
    <row r="3153" spans="2:9" x14ac:dyDescent="0.25">
      <c r="B3153" s="31"/>
      <c r="F3153" s="32"/>
      <c r="I3153" s="32"/>
    </row>
    <row r="3154" spans="2:9" x14ac:dyDescent="0.25">
      <c r="B3154" s="31"/>
      <c r="F3154" s="32"/>
      <c r="I3154" s="32"/>
    </row>
    <row r="3155" spans="2:9" x14ac:dyDescent="0.25">
      <c r="B3155" s="31"/>
      <c r="F3155" s="32"/>
      <c r="I3155" s="32"/>
    </row>
    <row r="3156" spans="2:9" x14ac:dyDescent="0.25">
      <c r="B3156" s="31"/>
      <c r="F3156" s="32"/>
      <c r="I3156" s="32"/>
    </row>
    <row r="3157" spans="2:9" x14ac:dyDescent="0.25">
      <c r="B3157" s="31"/>
      <c r="F3157" s="32"/>
      <c r="I3157" s="32"/>
    </row>
    <row r="3158" spans="2:9" x14ac:dyDescent="0.25">
      <c r="B3158" s="31"/>
      <c r="F3158" s="32"/>
      <c r="I3158" s="32"/>
    </row>
    <row r="3159" spans="2:9" x14ac:dyDescent="0.25">
      <c r="B3159" s="31"/>
      <c r="F3159" s="32"/>
      <c r="I3159" s="32"/>
    </row>
    <row r="3160" spans="2:9" x14ac:dyDescent="0.25">
      <c r="B3160" s="31"/>
      <c r="F3160" s="32"/>
      <c r="I3160" s="32"/>
    </row>
    <row r="3161" spans="2:9" x14ac:dyDescent="0.25">
      <c r="B3161" s="31"/>
      <c r="F3161" s="32"/>
      <c r="I3161" s="32"/>
    </row>
    <row r="3162" spans="2:9" x14ac:dyDescent="0.25">
      <c r="B3162" s="31"/>
      <c r="F3162" s="32"/>
      <c r="I3162" s="32"/>
    </row>
    <row r="3163" spans="2:9" x14ac:dyDescent="0.25">
      <c r="B3163" s="31"/>
      <c r="F3163" s="32"/>
      <c r="I3163" s="32"/>
    </row>
    <row r="3164" spans="2:9" x14ac:dyDescent="0.25">
      <c r="B3164" s="31"/>
      <c r="F3164" s="32"/>
      <c r="I3164" s="32"/>
    </row>
    <row r="3165" spans="2:9" x14ac:dyDescent="0.25">
      <c r="B3165" s="31"/>
      <c r="F3165" s="32"/>
      <c r="I3165" s="32"/>
    </row>
    <row r="3166" spans="2:9" x14ac:dyDescent="0.25">
      <c r="B3166" s="31"/>
      <c r="F3166" s="32"/>
      <c r="I3166" s="32"/>
    </row>
    <row r="3167" spans="2:9" x14ac:dyDescent="0.25">
      <c r="B3167" s="31"/>
      <c r="F3167" s="32"/>
      <c r="I3167" s="32"/>
    </row>
    <row r="3168" spans="2:9" x14ac:dyDescent="0.25">
      <c r="B3168" s="31"/>
      <c r="F3168" s="32"/>
      <c r="I3168" s="32"/>
    </row>
    <row r="3169" spans="2:9" x14ac:dyDescent="0.25">
      <c r="B3169" s="31"/>
      <c r="F3169" s="32"/>
      <c r="I3169" s="32"/>
    </row>
    <row r="3170" spans="2:9" x14ac:dyDescent="0.25">
      <c r="B3170" s="31"/>
      <c r="F3170" s="32"/>
      <c r="I3170" s="32"/>
    </row>
    <row r="3171" spans="2:9" x14ac:dyDescent="0.25">
      <c r="B3171" s="31"/>
      <c r="F3171" s="32"/>
      <c r="I3171" s="32"/>
    </row>
    <row r="3172" spans="2:9" x14ac:dyDescent="0.25">
      <c r="B3172" s="31"/>
      <c r="F3172" s="32"/>
      <c r="I3172" s="32"/>
    </row>
    <row r="3173" spans="2:9" x14ac:dyDescent="0.25">
      <c r="B3173" s="31"/>
      <c r="F3173" s="32"/>
      <c r="I3173" s="32"/>
    </row>
    <row r="3174" spans="2:9" x14ac:dyDescent="0.25">
      <c r="B3174" s="31"/>
      <c r="F3174" s="32"/>
      <c r="I3174" s="32"/>
    </row>
    <row r="3175" spans="2:9" x14ac:dyDescent="0.25">
      <c r="B3175" s="31"/>
      <c r="F3175" s="32"/>
      <c r="I3175" s="32"/>
    </row>
    <row r="3176" spans="2:9" x14ac:dyDescent="0.25">
      <c r="B3176" s="31"/>
      <c r="F3176" s="32"/>
      <c r="I3176" s="32"/>
    </row>
    <row r="3177" spans="2:9" x14ac:dyDescent="0.25">
      <c r="B3177" s="31"/>
      <c r="F3177" s="32"/>
      <c r="I3177" s="32"/>
    </row>
    <row r="3178" spans="2:9" x14ac:dyDescent="0.25">
      <c r="B3178" s="31"/>
      <c r="F3178" s="32"/>
      <c r="I3178" s="32"/>
    </row>
    <row r="3179" spans="2:9" x14ac:dyDescent="0.25">
      <c r="B3179" s="31"/>
      <c r="F3179" s="32"/>
      <c r="I3179" s="32"/>
    </row>
    <row r="3180" spans="2:9" x14ac:dyDescent="0.25">
      <c r="B3180" s="31"/>
      <c r="F3180" s="32"/>
      <c r="I3180" s="32"/>
    </row>
    <row r="3181" spans="2:9" x14ac:dyDescent="0.25">
      <c r="B3181" s="31"/>
      <c r="F3181" s="32"/>
      <c r="I3181" s="32"/>
    </row>
    <row r="3182" spans="2:9" x14ac:dyDescent="0.25">
      <c r="B3182" s="31"/>
      <c r="F3182" s="32"/>
      <c r="I3182" s="32"/>
    </row>
    <row r="3183" spans="2:9" x14ac:dyDescent="0.25">
      <c r="B3183" s="31"/>
      <c r="F3183" s="32"/>
      <c r="I3183" s="32"/>
    </row>
    <row r="3184" spans="2:9" x14ac:dyDescent="0.25">
      <c r="B3184" s="31"/>
      <c r="F3184" s="32"/>
      <c r="I3184" s="32"/>
    </row>
    <row r="3185" spans="2:9" x14ac:dyDescent="0.25">
      <c r="B3185" s="31"/>
      <c r="F3185" s="32"/>
      <c r="I3185" s="32"/>
    </row>
    <row r="3186" spans="2:9" x14ac:dyDescent="0.25">
      <c r="B3186" s="31"/>
      <c r="F3186" s="32"/>
      <c r="I3186" s="32"/>
    </row>
    <row r="3187" spans="2:9" x14ac:dyDescent="0.25">
      <c r="B3187" s="31"/>
      <c r="F3187" s="32"/>
      <c r="I3187" s="32"/>
    </row>
    <row r="3188" spans="2:9" x14ac:dyDescent="0.25">
      <c r="B3188" s="31"/>
      <c r="F3188" s="32"/>
      <c r="I3188" s="32"/>
    </row>
    <row r="3189" spans="2:9" x14ac:dyDescent="0.25">
      <c r="B3189" s="31"/>
      <c r="F3189" s="32"/>
      <c r="I3189" s="32"/>
    </row>
    <row r="3190" spans="2:9" x14ac:dyDescent="0.25">
      <c r="B3190" s="31"/>
      <c r="F3190" s="32"/>
      <c r="I3190" s="32"/>
    </row>
    <row r="3191" spans="2:9" x14ac:dyDescent="0.25">
      <c r="B3191" s="31"/>
      <c r="F3191" s="32"/>
      <c r="I3191" s="32"/>
    </row>
    <row r="3192" spans="2:9" x14ac:dyDescent="0.25">
      <c r="B3192" s="31"/>
      <c r="F3192" s="32"/>
      <c r="I3192" s="32"/>
    </row>
    <row r="3193" spans="2:9" x14ac:dyDescent="0.25">
      <c r="B3193" s="31"/>
      <c r="F3193" s="32"/>
      <c r="I3193" s="32"/>
    </row>
    <row r="3194" spans="2:9" x14ac:dyDescent="0.25">
      <c r="B3194" s="31"/>
      <c r="F3194" s="32"/>
      <c r="I3194" s="32"/>
    </row>
    <row r="3195" spans="2:9" x14ac:dyDescent="0.25">
      <c r="B3195" s="31"/>
      <c r="F3195" s="32"/>
      <c r="I3195" s="32"/>
    </row>
    <row r="3196" spans="2:9" x14ac:dyDescent="0.25">
      <c r="B3196" s="31"/>
      <c r="F3196" s="32"/>
      <c r="I3196" s="32"/>
    </row>
    <row r="3197" spans="2:9" x14ac:dyDescent="0.25">
      <c r="B3197" s="31"/>
      <c r="F3197" s="32"/>
      <c r="I3197" s="32"/>
    </row>
    <row r="3198" spans="2:9" x14ac:dyDescent="0.25">
      <c r="B3198" s="31"/>
      <c r="F3198" s="32"/>
      <c r="I3198" s="32"/>
    </row>
    <row r="3199" spans="2:9" x14ac:dyDescent="0.25">
      <c r="B3199" s="31"/>
      <c r="F3199" s="32"/>
      <c r="I3199" s="32"/>
    </row>
    <row r="3200" spans="2:9" x14ac:dyDescent="0.25">
      <c r="B3200" s="31"/>
      <c r="F3200" s="32"/>
      <c r="I3200" s="32"/>
    </row>
    <row r="3201" spans="2:9" x14ac:dyDescent="0.25">
      <c r="B3201" s="31"/>
      <c r="F3201" s="32"/>
      <c r="I3201" s="32"/>
    </row>
    <row r="3202" spans="2:9" x14ac:dyDescent="0.25">
      <c r="B3202" s="31"/>
      <c r="F3202" s="32"/>
      <c r="I3202" s="32"/>
    </row>
    <row r="3203" spans="2:9" x14ac:dyDescent="0.25">
      <c r="B3203" s="31"/>
      <c r="F3203" s="32"/>
      <c r="I3203" s="32"/>
    </row>
    <row r="3204" spans="2:9" x14ac:dyDescent="0.25">
      <c r="B3204" s="31"/>
      <c r="F3204" s="32"/>
      <c r="I3204" s="32"/>
    </row>
    <row r="3205" spans="2:9" x14ac:dyDescent="0.25">
      <c r="B3205" s="31"/>
      <c r="F3205" s="32"/>
      <c r="I3205" s="32"/>
    </row>
    <row r="3206" spans="2:9" x14ac:dyDescent="0.25">
      <c r="B3206" s="31"/>
      <c r="F3206" s="32"/>
      <c r="I3206" s="32"/>
    </row>
    <row r="3207" spans="2:9" x14ac:dyDescent="0.25">
      <c r="B3207" s="31"/>
      <c r="F3207" s="32"/>
      <c r="I3207" s="32"/>
    </row>
    <row r="3208" spans="2:9" x14ac:dyDescent="0.25">
      <c r="B3208" s="31"/>
      <c r="F3208" s="32"/>
      <c r="I3208" s="32"/>
    </row>
    <row r="3209" spans="2:9" x14ac:dyDescent="0.25">
      <c r="B3209" s="31"/>
      <c r="F3209" s="32"/>
      <c r="I3209" s="32"/>
    </row>
    <row r="3210" spans="2:9" x14ac:dyDescent="0.25">
      <c r="B3210" s="31"/>
      <c r="F3210" s="32"/>
      <c r="I3210" s="32"/>
    </row>
    <row r="3211" spans="2:9" x14ac:dyDescent="0.25">
      <c r="B3211" s="31"/>
      <c r="F3211" s="32"/>
      <c r="I3211" s="32"/>
    </row>
    <row r="3212" spans="2:9" x14ac:dyDescent="0.25">
      <c r="B3212" s="31"/>
      <c r="F3212" s="32"/>
      <c r="I3212" s="32"/>
    </row>
    <row r="3213" spans="2:9" x14ac:dyDescent="0.25">
      <c r="B3213" s="31"/>
      <c r="F3213" s="32"/>
      <c r="I3213" s="32"/>
    </row>
    <row r="3214" spans="2:9" x14ac:dyDescent="0.25">
      <c r="B3214" s="31"/>
      <c r="F3214" s="32"/>
      <c r="I3214" s="32"/>
    </row>
    <row r="3215" spans="2:9" x14ac:dyDescent="0.25">
      <c r="B3215" s="31"/>
      <c r="F3215" s="32"/>
      <c r="I3215" s="32"/>
    </row>
    <row r="3216" spans="2:9" x14ac:dyDescent="0.25">
      <c r="B3216" s="31"/>
      <c r="F3216" s="32"/>
      <c r="I3216" s="32"/>
    </row>
    <row r="3217" spans="2:9" x14ac:dyDescent="0.25">
      <c r="B3217" s="31"/>
      <c r="F3217" s="32"/>
      <c r="I3217" s="32"/>
    </row>
    <row r="3218" spans="2:9" x14ac:dyDescent="0.25">
      <c r="B3218" s="31"/>
      <c r="F3218" s="32"/>
      <c r="I3218" s="32"/>
    </row>
    <row r="3219" spans="2:9" x14ac:dyDescent="0.25">
      <c r="B3219" s="31"/>
      <c r="F3219" s="32"/>
      <c r="I3219" s="32"/>
    </row>
    <row r="3220" spans="2:9" x14ac:dyDescent="0.25">
      <c r="B3220" s="31"/>
      <c r="F3220" s="32"/>
      <c r="I3220" s="32"/>
    </row>
    <row r="3221" spans="2:9" x14ac:dyDescent="0.25">
      <c r="B3221" s="31"/>
      <c r="F3221" s="32"/>
      <c r="I3221" s="32"/>
    </row>
    <row r="3222" spans="2:9" x14ac:dyDescent="0.25">
      <c r="B3222" s="31"/>
      <c r="F3222" s="32"/>
      <c r="I3222" s="32"/>
    </row>
    <row r="3223" spans="2:9" x14ac:dyDescent="0.25">
      <c r="B3223" s="31"/>
      <c r="F3223" s="32"/>
      <c r="I3223" s="32"/>
    </row>
    <row r="3224" spans="2:9" x14ac:dyDescent="0.25">
      <c r="B3224" s="31"/>
      <c r="F3224" s="32"/>
      <c r="I3224" s="32"/>
    </row>
    <row r="3225" spans="2:9" x14ac:dyDescent="0.25">
      <c r="B3225" s="31"/>
      <c r="F3225" s="32"/>
      <c r="I3225" s="32"/>
    </row>
    <row r="3226" spans="2:9" x14ac:dyDescent="0.25">
      <c r="B3226" s="31"/>
      <c r="F3226" s="32"/>
      <c r="I3226" s="32"/>
    </row>
    <row r="3227" spans="2:9" x14ac:dyDescent="0.25">
      <c r="B3227" s="31"/>
      <c r="F3227" s="32"/>
      <c r="I3227" s="32"/>
    </row>
    <row r="3228" spans="2:9" x14ac:dyDescent="0.25">
      <c r="B3228" s="31"/>
      <c r="F3228" s="32"/>
      <c r="I3228" s="32"/>
    </row>
    <row r="3229" spans="2:9" x14ac:dyDescent="0.25">
      <c r="B3229" s="31"/>
      <c r="F3229" s="32"/>
      <c r="I3229" s="32"/>
    </row>
    <row r="3230" spans="2:9" x14ac:dyDescent="0.25">
      <c r="B3230" s="31"/>
      <c r="F3230" s="32"/>
      <c r="I3230" s="32"/>
    </row>
    <row r="3231" spans="2:9" x14ac:dyDescent="0.25">
      <c r="B3231" s="31"/>
      <c r="F3231" s="32"/>
      <c r="I3231" s="32"/>
    </row>
    <row r="3232" spans="2:9" x14ac:dyDescent="0.25">
      <c r="B3232" s="31"/>
      <c r="F3232" s="32"/>
      <c r="I3232" s="32"/>
    </row>
    <row r="3233" spans="2:9" x14ac:dyDescent="0.25">
      <c r="B3233" s="31"/>
      <c r="F3233" s="32"/>
      <c r="I3233" s="32"/>
    </row>
    <row r="3234" spans="2:9" x14ac:dyDescent="0.25">
      <c r="B3234" s="31"/>
      <c r="F3234" s="32"/>
      <c r="I3234" s="32"/>
    </row>
    <row r="3235" spans="2:9" x14ac:dyDescent="0.25">
      <c r="B3235" s="31"/>
      <c r="F3235" s="32"/>
      <c r="I3235" s="32"/>
    </row>
    <row r="3236" spans="2:9" x14ac:dyDescent="0.25">
      <c r="B3236" s="31"/>
      <c r="F3236" s="32"/>
      <c r="I3236" s="32"/>
    </row>
    <row r="3237" spans="2:9" x14ac:dyDescent="0.25">
      <c r="B3237" s="31"/>
      <c r="F3237" s="32"/>
      <c r="I3237" s="32"/>
    </row>
    <row r="3238" spans="2:9" x14ac:dyDescent="0.25">
      <c r="B3238" s="31"/>
      <c r="F3238" s="32"/>
      <c r="I3238" s="32"/>
    </row>
    <row r="3239" spans="2:9" x14ac:dyDescent="0.25">
      <c r="B3239" s="31"/>
      <c r="F3239" s="32"/>
      <c r="I3239" s="32"/>
    </row>
    <row r="3240" spans="2:9" x14ac:dyDescent="0.25">
      <c r="B3240" s="31"/>
      <c r="F3240" s="32"/>
      <c r="I3240" s="32"/>
    </row>
    <row r="3241" spans="2:9" x14ac:dyDescent="0.25">
      <c r="B3241" s="31"/>
      <c r="F3241" s="32"/>
      <c r="I3241" s="32"/>
    </row>
    <row r="3242" spans="2:9" x14ac:dyDescent="0.25">
      <c r="B3242" s="31"/>
      <c r="F3242" s="32"/>
      <c r="I3242" s="32"/>
    </row>
    <row r="3243" spans="2:9" x14ac:dyDescent="0.25">
      <c r="B3243" s="31"/>
      <c r="F3243" s="32"/>
      <c r="I3243" s="32"/>
    </row>
    <row r="3244" spans="2:9" x14ac:dyDescent="0.25">
      <c r="B3244" s="31"/>
      <c r="F3244" s="32"/>
      <c r="I3244" s="32"/>
    </row>
    <row r="3245" spans="2:9" x14ac:dyDescent="0.25">
      <c r="B3245" s="31"/>
      <c r="F3245" s="32"/>
      <c r="I3245" s="32"/>
    </row>
    <row r="3246" spans="2:9" x14ac:dyDescent="0.25">
      <c r="B3246" s="31"/>
      <c r="F3246" s="32"/>
      <c r="I3246" s="32"/>
    </row>
    <row r="3247" spans="2:9" x14ac:dyDescent="0.25">
      <c r="B3247" s="31"/>
      <c r="F3247" s="32"/>
      <c r="I3247" s="32"/>
    </row>
    <row r="3248" spans="2:9" x14ac:dyDescent="0.25">
      <c r="B3248" s="31"/>
      <c r="F3248" s="32"/>
      <c r="I3248" s="32"/>
    </row>
    <row r="3249" spans="2:9" x14ac:dyDescent="0.25">
      <c r="B3249" s="31"/>
      <c r="F3249" s="32"/>
      <c r="I3249" s="32"/>
    </row>
    <row r="3250" spans="2:9" x14ac:dyDescent="0.25">
      <c r="B3250" s="31"/>
      <c r="F3250" s="32"/>
      <c r="I3250" s="32"/>
    </row>
    <row r="3251" spans="2:9" x14ac:dyDescent="0.25">
      <c r="B3251" s="31"/>
      <c r="F3251" s="32"/>
      <c r="I3251" s="32"/>
    </row>
    <row r="3252" spans="2:9" x14ac:dyDescent="0.25">
      <c r="B3252" s="31"/>
      <c r="F3252" s="32"/>
      <c r="I3252" s="32"/>
    </row>
    <row r="3253" spans="2:9" x14ac:dyDescent="0.25">
      <c r="B3253" s="31"/>
      <c r="F3253" s="32"/>
      <c r="I3253" s="32"/>
    </row>
    <row r="3254" spans="2:9" x14ac:dyDescent="0.25">
      <c r="B3254" s="31"/>
      <c r="F3254" s="32"/>
      <c r="I3254" s="32"/>
    </row>
    <row r="3255" spans="2:9" x14ac:dyDescent="0.25">
      <c r="B3255" s="31"/>
      <c r="F3255" s="32"/>
      <c r="I3255" s="32"/>
    </row>
    <row r="3256" spans="2:9" x14ac:dyDescent="0.25">
      <c r="B3256" s="31"/>
      <c r="F3256" s="32"/>
      <c r="I3256" s="32"/>
    </row>
    <row r="3257" spans="2:9" x14ac:dyDescent="0.25">
      <c r="B3257" s="31"/>
      <c r="F3257" s="32"/>
      <c r="I3257" s="32"/>
    </row>
    <row r="3258" spans="2:9" x14ac:dyDescent="0.25">
      <c r="B3258" s="31"/>
      <c r="F3258" s="32"/>
      <c r="I3258" s="32"/>
    </row>
    <row r="3259" spans="2:9" x14ac:dyDescent="0.25">
      <c r="B3259" s="31"/>
      <c r="F3259" s="32"/>
      <c r="I3259" s="32"/>
    </row>
    <row r="3260" spans="2:9" x14ac:dyDescent="0.25">
      <c r="B3260" s="31"/>
      <c r="F3260" s="32"/>
      <c r="I3260" s="32"/>
    </row>
    <row r="3261" spans="2:9" x14ac:dyDescent="0.25">
      <c r="B3261" s="31"/>
      <c r="F3261" s="32"/>
      <c r="I3261" s="32"/>
    </row>
    <row r="3262" spans="2:9" x14ac:dyDescent="0.25">
      <c r="B3262" s="31"/>
      <c r="F3262" s="32"/>
      <c r="I3262" s="32"/>
    </row>
    <row r="3263" spans="2:9" x14ac:dyDescent="0.25">
      <c r="B3263" s="31"/>
      <c r="F3263" s="32"/>
      <c r="I3263" s="32"/>
    </row>
    <row r="3264" spans="2:9" x14ac:dyDescent="0.25">
      <c r="B3264" s="31"/>
      <c r="F3264" s="32"/>
      <c r="I3264" s="32"/>
    </row>
    <row r="3265" spans="2:9" x14ac:dyDescent="0.25">
      <c r="B3265" s="31"/>
      <c r="F3265" s="32"/>
      <c r="I3265" s="32"/>
    </row>
    <row r="3266" spans="2:9" x14ac:dyDescent="0.25">
      <c r="B3266" s="31"/>
      <c r="F3266" s="32"/>
      <c r="I3266" s="32"/>
    </row>
    <row r="3267" spans="2:9" x14ac:dyDescent="0.25">
      <c r="B3267" s="31"/>
      <c r="F3267" s="32"/>
      <c r="I3267" s="32"/>
    </row>
    <row r="3268" spans="2:9" x14ac:dyDescent="0.25">
      <c r="B3268" s="31"/>
      <c r="F3268" s="32"/>
      <c r="I3268" s="32"/>
    </row>
    <row r="3269" spans="2:9" x14ac:dyDescent="0.25">
      <c r="B3269" s="31"/>
      <c r="F3269" s="32"/>
      <c r="I3269" s="32"/>
    </row>
    <row r="3270" spans="2:9" x14ac:dyDescent="0.25">
      <c r="B3270" s="31"/>
      <c r="F3270" s="32"/>
      <c r="I3270" s="32"/>
    </row>
    <row r="3271" spans="2:9" x14ac:dyDescent="0.25">
      <c r="B3271" s="31"/>
      <c r="F3271" s="32"/>
      <c r="I3271" s="32"/>
    </row>
    <row r="3272" spans="2:9" x14ac:dyDescent="0.25">
      <c r="B3272" s="31"/>
      <c r="F3272" s="32"/>
      <c r="I3272" s="32"/>
    </row>
    <row r="3273" spans="2:9" x14ac:dyDescent="0.25">
      <c r="B3273" s="31"/>
      <c r="F3273" s="32"/>
      <c r="I3273" s="32"/>
    </row>
    <row r="3274" spans="2:9" x14ac:dyDescent="0.25">
      <c r="B3274" s="31"/>
      <c r="F3274" s="32"/>
      <c r="I3274" s="32"/>
    </row>
    <row r="3275" spans="2:9" x14ac:dyDescent="0.25">
      <c r="B3275" s="31"/>
      <c r="F3275" s="32"/>
      <c r="I3275" s="32"/>
    </row>
    <row r="3276" spans="2:9" x14ac:dyDescent="0.25">
      <c r="B3276" s="31"/>
      <c r="F3276" s="32"/>
      <c r="I3276" s="32"/>
    </row>
    <row r="3277" spans="2:9" x14ac:dyDescent="0.25">
      <c r="B3277" s="31"/>
      <c r="F3277" s="32"/>
      <c r="I3277" s="32"/>
    </row>
    <row r="3278" spans="2:9" x14ac:dyDescent="0.25">
      <c r="B3278" s="31"/>
      <c r="F3278" s="32"/>
      <c r="I3278" s="32"/>
    </row>
    <row r="3279" spans="2:9" x14ac:dyDescent="0.25">
      <c r="B3279" s="31"/>
      <c r="F3279" s="32"/>
      <c r="I3279" s="32"/>
    </row>
    <row r="3280" spans="2:9" x14ac:dyDescent="0.25">
      <c r="B3280" s="31"/>
      <c r="F3280" s="32"/>
      <c r="I3280" s="32"/>
    </row>
    <row r="3281" spans="2:9" x14ac:dyDescent="0.25">
      <c r="B3281" s="31"/>
      <c r="F3281" s="32"/>
      <c r="I3281" s="32"/>
    </row>
    <row r="3282" spans="2:9" x14ac:dyDescent="0.25">
      <c r="B3282" s="31"/>
      <c r="F3282" s="32"/>
      <c r="I3282" s="32"/>
    </row>
    <row r="3283" spans="2:9" x14ac:dyDescent="0.25">
      <c r="B3283" s="31"/>
      <c r="F3283" s="32"/>
      <c r="I3283" s="32"/>
    </row>
    <row r="3284" spans="2:9" x14ac:dyDescent="0.25">
      <c r="B3284" s="31"/>
      <c r="F3284" s="32"/>
      <c r="I3284" s="32"/>
    </row>
    <row r="3285" spans="2:9" x14ac:dyDescent="0.25">
      <c r="B3285" s="31"/>
      <c r="F3285" s="32"/>
      <c r="I3285" s="32"/>
    </row>
    <row r="3286" spans="2:9" x14ac:dyDescent="0.25">
      <c r="B3286" s="31"/>
      <c r="F3286" s="32"/>
      <c r="I3286" s="32"/>
    </row>
    <row r="3287" spans="2:9" x14ac:dyDescent="0.25">
      <c r="B3287" s="31"/>
      <c r="F3287" s="32"/>
      <c r="I3287" s="32"/>
    </row>
    <row r="3288" spans="2:9" x14ac:dyDescent="0.25">
      <c r="B3288" s="31"/>
      <c r="F3288" s="32"/>
      <c r="I3288" s="32"/>
    </row>
    <row r="3289" spans="2:9" x14ac:dyDescent="0.25">
      <c r="B3289" s="31"/>
      <c r="F3289" s="32"/>
      <c r="I3289" s="32"/>
    </row>
    <row r="3290" spans="2:9" x14ac:dyDescent="0.25">
      <c r="B3290" s="31"/>
      <c r="F3290" s="32"/>
      <c r="I3290" s="32"/>
    </row>
    <row r="3291" spans="2:9" x14ac:dyDescent="0.25">
      <c r="B3291" s="31"/>
      <c r="F3291" s="32"/>
      <c r="I3291" s="32"/>
    </row>
    <row r="3292" spans="2:9" x14ac:dyDescent="0.25">
      <c r="B3292" s="31"/>
      <c r="F3292" s="32"/>
      <c r="I3292" s="32"/>
    </row>
    <row r="3293" spans="2:9" x14ac:dyDescent="0.25">
      <c r="B3293" s="31"/>
      <c r="F3293" s="32"/>
      <c r="I3293" s="32"/>
    </row>
    <row r="3294" spans="2:9" x14ac:dyDescent="0.25">
      <c r="B3294" s="31"/>
      <c r="F3294" s="32"/>
      <c r="I3294" s="32"/>
    </row>
    <row r="3295" spans="2:9" x14ac:dyDescent="0.25">
      <c r="B3295" s="31"/>
      <c r="F3295" s="32"/>
      <c r="I3295" s="32"/>
    </row>
    <row r="3296" spans="2:9" x14ac:dyDescent="0.25">
      <c r="B3296" s="31"/>
      <c r="F3296" s="32"/>
      <c r="I3296" s="32"/>
    </row>
    <row r="3297" spans="2:9" x14ac:dyDescent="0.25">
      <c r="B3297" s="31"/>
      <c r="F3297" s="32"/>
      <c r="I3297" s="32"/>
    </row>
    <row r="3298" spans="2:9" x14ac:dyDescent="0.25">
      <c r="B3298" s="31"/>
      <c r="F3298" s="32"/>
      <c r="I3298" s="32"/>
    </row>
    <row r="3299" spans="2:9" x14ac:dyDescent="0.25">
      <c r="B3299" s="31"/>
      <c r="F3299" s="32"/>
      <c r="I3299" s="32"/>
    </row>
    <row r="3300" spans="2:9" x14ac:dyDescent="0.25">
      <c r="B3300" s="31"/>
      <c r="F3300" s="32"/>
      <c r="I3300" s="32"/>
    </row>
    <row r="3301" spans="2:9" x14ac:dyDescent="0.25">
      <c r="B3301" s="31"/>
      <c r="F3301" s="32"/>
      <c r="I3301" s="32"/>
    </row>
    <row r="3302" spans="2:9" x14ac:dyDescent="0.25">
      <c r="B3302" s="31"/>
      <c r="F3302" s="32"/>
      <c r="I3302" s="32"/>
    </row>
    <row r="3303" spans="2:9" x14ac:dyDescent="0.25">
      <c r="B3303" s="31"/>
      <c r="F3303" s="32"/>
      <c r="I3303" s="32"/>
    </row>
    <row r="3304" spans="2:9" x14ac:dyDescent="0.25">
      <c r="B3304" s="31"/>
      <c r="F3304" s="32"/>
      <c r="I3304" s="32"/>
    </row>
    <row r="3305" spans="2:9" x14ac:dyDescent="0.25">
      <c r="B3305" s="31"/>
      <c r="F3305" s="32"/>
      <c r="I3305" s="32"/>
    </row>
    <row r="3306" spans="2:9" x14ac:dyDescent="0.25">
      <c r="B3306" s="31"/>
      <c r="F3306" s="32"/>
      <c r="I3306" s="32"/>
    </row>
    <row r="3307" spans="2:9" x14ac:dyDescent="0.25">
      <c r="B3307" s="31"/>
      <c r="F3307" s="32"/>
      <c r="I3307" s="32"/>
    </row>
    <row r="3308" spans="2:9" x14ac:dyDescent="0.25">
      <c r="B3308" s="31"/>
      <c r="F3308" s="32"/>
      <c r="I3308" s="32"/>
    </row>
    <row r="3309" spans="2:9" x14ac:dyDescent="0.25">
      <c r="B3309" s="31"/>
      <c r="F3309" s="32"/>
      <c r="I3309" s="32"/>
    </row>
    <row r="3310" spans="2:9" x14ac:dyDescent="0.25">
      <c r="B3310" s="31"/>
      <c r="F3310" s="32"/>
      <c r="I3310" s="32"/>
    </row>
    <row r="3311" spans="2:9" x14ac:dyDescent="0.25">
      <c r="B3311" s="31"/>
      <c r="F3311" s="32"/>
      <c r="I3311" s="32"/>
    </row>
    <row r="3312" spans="2:9" x14ac:dyDescent="0.25">
      <c r="B3312" s="31"/>
      <c r="F3312" s="32"/>
      <c r="I3312" s="32"/>
    </row>
    <row r="3313" spans="2:9" x14ac:dyDescent="0.25">
      <c r="B3313" s="31"/>
      <c r="F3313" s="32"/>
      <c r="I3313" s="32"/>
    </row>
    <row r="3314" spans="2:9" x14ac:dyDescent="0.25">
      <c r="B3314" s="31"/>
      <c r="F3314" s="32"/>
      <c r="I3314" s="32"/>
    </row>
    <row r="3315" spans="2:9" x14ac:dyDescent="0.25">
      <c r="B3315" s="31"/>
      <c r="F3315" s="32"/>
      <c r="I3315" s="32"/>
    </row>
    <row r="3316" spans="2:9" x14ac:dyDescent="0.25">
      <c r="B3316" s="31"/>
      <c r="F3316" s="32"/>
      <c r="I3316" s="32"/>
    </row>
    <row r="3317" spans="2:9" x14ac:dyDescent="0.25">
      <c r="B3317" s="31"/>
      <c r="F3317" s="32"/>
      <c r="I3317" s="32"/>
    </row>
    <row r="3318" spans="2:9" x14ac:dyDescent="0.25">
      <c r="B3318" s="31"/>
      <c r="F3318" s="32"/>
      <c r="I3318" s="32"/>
    </row>
    <row r="3319" spans="2:9" x14ac:dyDescent="0.25">
      <c r="B3319" s="31"/>
      <c r="F3319" s="32"/>
      <c r="I3319" s="32"/>
    </row>
    <row r="3320" spans="2:9" x14ac:dyDescent="0.25">
      <c r="B3320" s="31"/>
      <c r="F3320" s="32"/>
      <c r="I3320" s="32"/>
    </row>
    <row r="3321" spans="2:9" x14ac:dyDescent="0.25">
      <c r="B3321" s="31"/>
      <c r="F3321" s="32"/>
      <c r="I3321" s="32"/>
    </row>
    <row r="3322" spans="2:9" x14ac:dyDescent="0.25">
      <c r="B3322" s="31"/>
      <c r="F3322" s="32"/>
      <c r="I3322" s="32"/>
    </row>
    <row r="3323" spans="2:9" x14ac:dyDescent="0.25">
      <c r="B3323" s="31"/>
      <c r="F3323" s="32"/>
      <c r="I3323" s="32"/>
    </row>
    <row r="3324" spans="2:9" x14ac:dyDescent="0.25">
      <c r="B3324" s="31"/>
      <c r="F3324" s="32"/>
      <c r="I3324" s="32"/>
    </row>
    <row r="3325" spans="2:9" x14ac:dyDescent="0.25">
      <c r="B3325" s="31"/>
      <c r="F3325" s="32"/>
      <c r="I3325" s="32"/>
    </row>
    <row r="3326" spans="2:9" x14ac:dyDescent="0.25">
      <c r="B3326" s="31"/>
      <c r="F3326" s="32"/>
      <c r="I3326" s="32"/>
    </row>
    <row r="3327" spans="2:9" x14ac:dyDescent="0.25">
      <c r="B3327" s="31"/>
      <c r="F3327" s="32"/>
      <c r="I3327" s="32"/>
    </row>
    <row r="3328" spans="2:9" x14ac:dyDescent="0.25">
      <c r="B3328" s="31"/>
      <c r="F3328" s="32"/>
      <c r="I3328" s="32"/>
    </row>
    <row r="3329" spans="2:9" x14ac:dyDescent="0.25">
      <c r="B3329" s="31"/>
      <c r="F3329" s="32"/>
      <c r="I3329" s="32"/>
    </row>
    <row r="3330" spans="2:9" x14ac:dyDescent="0.25">
      <c r="B3330" s="31"/>
      <c r="F3330" s="32"/>
      <c r="I3330" s="32"/>
    </row>
    <row r="3331" spans="2:9" x14ac:dyDescent="0.25">
      <c r="B3331" s="31"/>
      <c r="F3331" s="32"/>
      <c r="I3331" s="32"/>
    </row>
    <row r="3332" spans="2:9" x14ac:dyDescent="0.25">
      <c r="B3332" s="31"/>
      <c r="F3332" s="32"/>
      <c r="I3332" s="32"/>
    </row>
    <row r="3333" spans="2:9" x14ac:dyDescent="0.25">
      <c r="B3333" s="31"/>
      <c r="F3333" s="32"/>
      <c r="I3333" s="32"/>
    </row>
    <row r="3334" spans="2:9" x14ac:dyDescent="0.25">
      <c r="B3334" s="31"/>
      <c r="F3334" s="32"/>
      <c r="I3334" s="32"/>
    </row>
    <row r="3335" spans="2:9" x14ac:dyDescent="0.25">
      <c r="B3335" s="31"/>
      <c r="F3335" s="32"/>
      <c r="I3335" s="32"/>
    </row>
    <row r="3336" spans="2:9" x14ac:dyDescent="0.25">
      <c r="B3336" s="31"/>
      <c r="F3336" s="32"/>
      <c r="I3336" s="32"/>
    </row>
    <row r="3337" spans="2:9" x14ac:dyDescent="0.25">
      <c r="B3337" s="31"/>
      <c r="F3337" s="32"/>
      <c r="I3337" s="32"/>
    </row>
    <row r="3338" spans="2:9" x14ac:dyDescent="0.25">
      <c r="B3338" s="31"/>
      <c r="F3338" s="32"/>
      <c r="I3338" s="32"/>
    </row>
    <row r="3339" spans="2:9" x14ac:dyDescent="0.25">
      <c r="B3339" s="31"/>
      <c r="F3339" s="32"/>
      <c r="I3339" s="32"/>
    </row>
    <row r="3340" spans="2:9" x14ac:dyDescent="0.25">
      <c r="B3340" s="31"/>
      <c r="F3340" s="32"/>
      <c r="I3340" s="32"/>
    </row>
    <row r="3341" spans="2:9" x14ac:dyDescent="0.25">
      <c r="B3341" s="31"/>
      <c r="F3341" s="32"/>
      <c r="I3341" s="32"/>
    </row>
    <row r="3342" spans="2:9" x14ac:dyDescent="0.25">
      <c r="B3342" s="31"/>
      <c r="F3342" s="32"/>
      <c r="I3342" s="32"/>
    </row>
    <row r="3343" spans="2:9" x14ac:dyDescent="0.25">
      <c r="B3343" s="31"/>
      <c r="F3343" s="32"/>
      <c r="I3343" s="32"/>
    </row>
    <row r="3344" spans="2:9" x14ac:dyDescent="0.25">
      <c r="B3344" s="31"/>
      <c r="F3344" s="32"/>
      <c r="I3344" s="32"/>
    </row>
    <row r="3345" spans="2:9" x14ac:dyDescent="0.25">
      <c r="B3345" s="31"/>
      <c r="F3345" s="32"/>
      <c r="I3345" s="32"/>
    </row>
    <row r="3346" spans="2:9" x14ac:dyDescent="0.25">
      <c r="B3346" s="31"/>
      <c r="F3346" s="32"/>
      <c r="I3346" s="32"/>
    </row>
    <row r="3347" spans="2:9" x14ac:dyDescent="0.25">
      <c r="B3347" s="31"/>
      <c r="F3347" s="32"/>
      <c r="I3347" s="32"/>
    </row>
    <row r="3348" spans="2:9" x14ac:dyDescent="0.25">
      <c r="B3348" s="31"/>
      <c r="F3348" s="32"/>
      <c r="I3348" s="32"/>
    </row>
    <row r="3349" spans="2:9" x14ac:dyDescent="0.25">
      <c r="B3349" s="31"/>
      <c r="F3349" s="32"/>
      <c r="I3349" s="32"/>
    </row>
    <row r="3350" spans="2:9" x14ac:dyDescent="0.25">
      <c r="B3350" s="31"/>
      <c r="F3350" s="32"/>
      <c r="I3350" s="32"/>
    </row>
    <row r="3351" spans="2:9" x14ac:dyDescent="0.25">
      <c r="B3351" s="31"/>
      <c r="F3351" s="32"/>
      <c r="I3351" s="32"/>
    </row>
    <row r="3352" spans="2:9" x14ac:dyDescent="0.25">
      <c r="B3352" s="31"/>
      <c r="F3352" s="32"/>
      <c r="I3352" s="32"/>
    </row>
    <row r="3353" spans="2:9" x14ac:dyDescent="0.25">
      <c r="B3353" s="31"/>
      <c r="F3353" s="32"/>
      <c r="I3353" s="32"/>
    </row>
    <row r="3354" spans="2:9" x14ac:dyDescent="0.25">
      <c r="B3354" s="31"/>
      <c r="F3354" s="32"/>
      <c r="I3354" s="32"/>
    </row>
    <row r="3355" spans="2:9" x14ac:dyDescent="0.25">
      <c r="B3355" s="31"/>
      <c r="F3355" s="32"/>
      <c r="I3355" s="32"/>
    </row>
    <row r="3356" spans="2:9" x14ac:dyDescent="0.25">
      <c r="B3356" s="31"/>
      <c r="F3356" s="32"/>
      <c r="I3356" s="32"/>
    </row>
    <row r="3357" spans="2:9" x14ac:dyDescent="0.25">
      <c r="B3357" s="31"/>
      <c r="F3357" s="32"/>
      <c r="I3357" s="32"/>
    </row>
    <row r="3358" spans="2:9" x14ac:dyDescent="0.25">
      <c r="B3358" s="31"/>
      <c r="F3358" s="32"/>
      <c r="I3358" s="32"/>
    </row>
    <row r="3359" spans="2:9" x14ac:dyDescent="0.25">
      <c r="B3359" s="31"/>
      <c r="F3359" s="32"/>
      <c r="I3359" s="32"/>
    </row>
    <row r="3360" spans="2:9" x14ac:dyDescent="0.25">
      <c r="B3360" s="31"/>
      <c r="F3360" s="32"/>
      <c r="I3360" s="32"/>
    </row>
    <row r="3361" spans="2:9" x14ac:dyDescent="0.25">
      <c r="B3361" s="31"/>
      <c r="F3361" s="32"/>
      <c r="I3361" s="32"/>
    </row>
    <row r="3362" spans="2:9" x14ac:dyDescent="0.25">
      <c r="B3362" s="31"/>
      <c r="F3362" s="32"/>
      <c r="I3362" s="32"/>
    </row>
    <row r="3363" spans="2:9" x14ac:dyDescent="0.25">
      <c r="B3363" s="31"/>
      <c r="F3363" s="32"/>
      <c r="I3363" s="32"/>
    </row>
    <row r="3364" spans="2:9" x14ac:dyDescent="0.25">
      <c r="B3364" s="31"/>
      <c r="F3364" s="32"/>
      <c r="I3364" s="32"/>
    </row>
    <row r="3365" spans="2:9" x14ac:dyDescent="0.25">
      <c r="B3365" s="31"/>
      <c r="F3365" s="32"/>
      <c r="I3365" s="32"/>
    </row>
    <row r="3366" spans="2:9" x14ac:dyDescent="0.25">
      <c r="B3366" s="31"/>
      <c r="F3366" s="32"/>
      <c r="I3366" s="32"/>
    </row>
    <row r="3367" spans="2:9" x14ac:dyDescent="0.25">
      <c r="B3367" s="31"/>
      <c r="F3367" s="32"/>
      <c r="I3367" s="32"/>
    </row>
    <row r="3368" spans="2:9" x14ac:dyDescent="0.25">
      <c r="B3368" s="31"/>
      <c r="F3368" s="32"/>
      <c r="I3368" s="32"/>
    </row>
    <row r="3369" spans="2:9" x14ac:dyDescent="0.25">
      <c r="B3369" s="31"/>
      <c r="F3369" s="32"/>
      <c r="I3369" s="32"/>
    </row>
    <row r="3370" spans="2:9" x14ac:dyDescent="0.25">
      <c r="B3370" s="31"/>
      <c r="F3370" s="32"/>
      <c r="I3370" s="32"/>
    </row>
    <row r="3371" spans="2:9" x14ac:dyDescent="0.25">
      <c r="B3371" s="31"/>
      <c r="F3371" s="32"/>
      <c r="I3371" s="32"/>
    </row>
    <row r="3372" spans="2:9" x14ac:dyDescent="0.25">
      <c r="B3372" s="31"/>
      <c r="F3372" s="32"/>
      <c r="I3372" s="32"/>
    </row>
    <row r="3373" spans="2:9" x14ac:dyDescent="0.25">
      <c r="B3373" s="31"/>
      <c r="F3373" s="32"/>
      <c r="I3373" s="32"/>
    </row>
    <row r="3374" spans="2:9" x14ac:dyDescent="0.25">
      <c r="B3374" s="31"/>
      <c r="F3374" s="32"/>
      <c r="I3374" s="32"/>
    </row>
    <row r="3375" spans="2:9" x14ac:dyDescent="0.25">
      <c r="B3375" s="31"/>
      <c r="F3375" s="32"/>
      <c r="I3375" s="32"/>
    </row>
    <row r="3376" spans="2:9" x14ac:dyDescent="0.25">
      <c r="B3376" s="31"/>
      <c r="F3376" s="32"/>
      <c r="I3376" s="32"/>
    </row>
    <row r="3377" spans="2:9" x14ac:dyDescent="0.25">
      <c r="B3377" s="31"/>
      <c r="F3377" s="32"/>
      <c r="I3377" s="32"/>
    </row>
    <row r="3378" spans="2:9" x14ac:dyDescent="0.25">
      <c r="B3378" s="31"/>
      <c r="F3378" s="32"/>
      <c r="I3378" s="32"/>
    </row>
    <row r="3379" spans="2:9" x14ac:dyDescent="0.25">
      <c r="B3379" s="31"/>
      <c r="F3379" s="32"/>
      <c r="I3379" s="32"/>
    </row>
    <row r="3380" spans="2:9" x14ac:dyDescent="0.25">
      <c r="B3380" s="31"/>
      <c r="F3380" s="32"/>
      <c r="I3380" s="32"/>
    </row>
    <row r="3381" spans="2:9" x14ac:dyDescent="0.25">
      <c r="B3381" s="31"/>
      <c r="F3381" s="32"/>
      <c r="I3381" s="32"/>
    </row>
    <row r="3382" spans="2:9" x14ac:dyDescent="0.25">
      <c r="B3382" s="31"/>
      <c r="F3382" s="32"/>
      <c r="I3382" s="32"/>
    </row>
    <row r="3383" spans="2:9" x14ac:dyDescent="0.25">
      <c r="B3383" s="31"/>
      <c r="F3383" s="32"/>
      <c r="I3383" s="32"/>
    </row>
    <row r="3384" spans="2:9" x14ac:dyDescent="0.25">
      <c r="B3384" s="31"/>
      <c r="F3384" s="32"/>
      <c r="I3384" s="32"/>
    </row>
    <row r="3385" spans="2:9" x14ac:dyDescent="0.25">
      <c r="B3385" s="31"/>
      <c r="F3385" s="32"/>
      <c r="I3385" s="32"/>
    </row>
    <row r="3386" spans="2:9" x14ac:dyDescent="0.25">
      <c r="B3386" s="31"/>
      <c r="F3386" s="32"/>
      <c r="I3386" s="32"/>
    </row>
    <row r="3387" spans="2:9" x14ac:dyDescent="0.25">
      <c r="B3387" s="31"/>
      <c r="F3387" s="32"/>
      <c r="I3387" s="32"/>
    </row>
    <row r="3388" spans="2:9" x14ac:dyDescent="0.25">
      <c r="B3388" s="31"/>
      <c r="F3388" s="32"/>
      <c r="I3388" s="32"/>
    </row>
    <row r="3389" spans="2:9" x14ac:dyDescent="0.25">
      <c r="B3389" s="31"/>
      <c r="F3389" s="32"/>
      <c r="I3389" s="32"/>
    </row>
    <row r="3390" spans="2:9" x14ac:dyDescent="0.25">
      <c r="B3390" s="31"/>
      <c r="F3390" s="32"/>
      <c r="I3390" s="32"/>
    </row>
    <row r="3391" spans="2:9" x14ac:dyDescent="0.25">
      <c r="B3391" s="31"/>
      <c r="F3391" s="32"/>
      <c r="I3391" s="32"/>
    </row>
    <row r="3392" spans="2:9" x14ac:dyDescent="0.25">
      <c r="B3392" s="31"/>
      <c r="F3392" s="32"/>
      <c r="I3392" s="32"/>
    </row>
    <row r="3393" spans="2:9" x14ac:dyDescent="0.25">
      <c r="B3393" s="31"/>
      <c r="F3393" s="32"/>
      <c r="I3393" s="32"/>
    </row>
    <row r="3394" spans="2:9" x14ac:dyDescent="0.25">
      <c r="B3394" s="31"/>
      <c r="F3394" s="32"/>
      <c r="I3394" s="32"/>
    </row>
    <row r="3395" spans="2:9" x14ac:dyDescent="0.25">
      <c r="B3395" s="31"/>
      <c r="F3395" s="32"/>
      <c r="I3395" s="32"/>
    </row>
    <row r="3396" spans="2:9" x14ac:dyDescent="0.25">
      <c r="B3396" s="31"/>
      <c r="F3396" s="32"/>
      <c r="I3396" s="32"/>
    </row>
    <row r="3397" spans="2:9" x14ac:dyDescent="0.25">
      <c r="B3397" s="31"/>
      <c r="F3397" s="32"/>
      <c r="I3397" s="32"/>
    </row>
    <row r="3398" spans="2:9" x14ac:dyDescent="0.25">
      <c r="B3398" s="31"/>
      <c r="F3398" s="32"/>
      <c r="I3398" s="32"/>
    </row>
    <row r="3399" spans="2:9" x14ac:dyDescent="0.25">
      <c r="B3399" s="31"/>
      <c r="F3399" s="32"/>
      <c r="I3399" s="32"/>
    </row>
    <row r="3400" spans="2:9" x14ac:dyDescent="0.25">
      <c r="B3400" s="31"/>
      <c r="F3400" s="32"/>
      <c r="I3400" s="32"/>
    </row>
    <row r="3401" spans="2:9" x14ac:dyDescent="0.25">
      <c r="B3401" s="31"/>
      <c r="F3401" s="32"/>
      <c r="I3401" s="32"/>
    </row>
    <row r="3402" spans="2:9" x14ac:dyDescent="0.25">
      <c r="B3402" s="31"/>
      <c r="F3402" s="32"/>
      <c r="I3402" s="32"/>
    </row>
    <row r="3403" spans="2:9" x14ac:dyDescent="0.25">
      <c r="B3403" s="31"/>
      <c r="F3403" s="32"/>
      <c r="I3403" s="32"/>
    </row>
    <row r="3404" spans="2:9" x14ac:dyDescent="0.25">
      <c r="B3404" s="31"/>
      <c r="F3404" s="32"/>
      <c r="I3404" s="32"/>
    </row>
    <row r="3405" spans="2:9" x14ac:dyDescent="0.25">
      <c r="B3405" s="31"/>
      <c r="F3405" s="32"/>
      <c r="I3405" s="32"/>
    </row>
    <row r="3406" spans="2:9" x14ac:dyDescent="0.25">
      <c r="B3406" s="31"/>
      <c r="F3406" s="32"/>
      <c r="I3406" s="32"/>
    </row>
    <row r="3407" spans="2:9" x14ac:dyDescent="0.25">
      <c r="B3407" s="31"/>
      <c r="F3407" s="32"/>
      <c r="I3407" s="32"/>
    </row>
    <row r="3408" spans="2:9" x14ac:dyDescent="0.25">
      <c r="B3408" s="31"/>
      <c r="F3408" s="32"/>
      <c r="I3408" s="32"/>
    </row>
    <row r="3409" spans="2:9" x14ac:dyDescent="0.25">
      <c r="B3409" s="31"/>
      <c r="F3409" s="32"/>
      <c r="I3409" s="32"/>
    </row>
    <row r="3410" spans="2:9" x14ac:dyDescent="0.25">
      <c r="B3410" s="31"/>
      <c r="F3410" s="32"/>
      <c r="I3410" s="32"/>
    </row>
    <row r="3411" spans="2:9" x14ac:dyDescent="0.25">
      <c r="B3411" s="31"/>
      <c r="F3411" s="32"/>
      <c r="I3411" s="32"/>
    </row>
    <row r="3412" spans="2:9" x14ac:dyDescent="0.25">
      <c r="B3412" s="31"/>
      <c r="F3412" s="32"/>
      <c r="I3412" s="32"/>
    </row>
    <row r="3413" spans="2:9" x14ac:dyDescent="0.25">
      <c r="B3413" s="31"/>
      <c r="F3413" s="32"/>
      <c r="I3413" s="32"/>
    </row>
    <row r="3414" spans="2:9" x14ac:dyDescent="0.25">
      <c r="B3414" s="31"/>
      <c r="F3414" s="32"/>
      <c r="I3414" s="32"/>
    </row>
    <row r="3415" spans="2:9" x14ac:dyDescent="0.25">
      <c r="B3415" s="31"/>
      <c r="F3415" s="32"/>
      <c r="I3415" s="32"/>
    </row>
    <row r="3416" spans="2:9" x14ac:dyDescent="0.25">
      <c r="B3416" s="31"/>
      <c r="F3416" s="32"/>
      <c r="I3416" s="32"/>
    </row>
    <row r="3417" spans="2:9" x14ac:dyDescent="0.25">
      <c r="B3417" s="31"/>
      <c r="F3417" s="32"/>
      <c r="I3417" s="32"/>
    </row>
    <row r="3418" spans="2:9" x14ac:dyDescent="0.25">
      <c r="B3418" s="31"/>
      <c r="F3418" s="32"/>
      <c r="I3418" s="32"/>
    </row>
    <row r="3419" spans="2:9" x14ac:dyDescent="0.25">
      <c r="B3419" s="31"/>
      <c r="F3419" s="32"/>
      <c r="I3419" s="32"/>
    </row>
    <row r="3420" spans="2:9" x14ac:dyDescent="0.25">
      <c r="B3420" s="31"/>
      <c r="F3420" s="32"/>
      <c r="I3420" s="32"/>
    </row>
    <row r="3421" spans="2:9" x14ac:dyDescent="0.25">
      <c r="B3421" s="31"/>
      <c r="F3421" s="32"/>
      <c r="I3421" s="32"/>
    </row>
    <row r="3422" spans="2:9" x14ac:dyDescent="0.25">
      <c r="B3422" s="31"/>
      <c r="F3422" s="32"/>
      <c r="I3422" s="32"/>
    </row>
    <row r="3423" spans="2:9" x14ac:dyDescent="0.25">
      <c r="B3423" s="31"/>
      <c r="F3423" s="32"/>
      <c r="I3423" s="32"/>
    </row>
    <row r="3424" spans="2:9" x14ac:dyDescent="0.25">
      <c r="B3424" s="31"/>
      <c r="F3424" s="32"/>
      <c r="I3424" s="32"/>
    </row>
    <row r="3425" spans="2:9" x14ac:dyDescent="0.25">
      <c r="B3425" s="31"/>
      <c r="F3425" s="32"/>
      <c r="I3425" s="32"/>
    </row>
    <row r="3426" spans="2:9" x14ac:dyDescent="0.25">
      <c r="B3426" s="31"/>
      <c r="F3426" s="32"/>
      <c r="I3426" s="32"/>
    </row>
    <row r="3427" spans="2:9" x14ac:dyDescent="0.25">
      <c r="B3427" s="31"/>
      <c r="F3427" s="32"/>
      <c r="I3427" s="32"/>
    </row>
    <row r="3428" spans="2:9" x14ac:dyDescent="0.25">
      <c r="B3428" s="31"/>
      <c r="F3428" s="32"/>
      <c r="I3428" s="32"/>
    </row>
    <row r="3429" spans="2:9" x14ac:dyDescent="0.25">
      <c r="B3429" s="31"/>
      <c r="F3429" s="32"/>
      <c r="I3429" s="32"/>
    </row>
    <row r="3430" spans="2:9" x14ac:dyDescent="0.25">
      <c r="B3430" s="31"/>
      <c r="F3430" s="32"/>
      <c r="I3430" s="32"/>
    </row>
    <row r="3431" spans="2:9" x14ac:dyDescent="0.25">
      <c r="B3431" s="31"/>
      <c r="F3431" s="32"/>
      <c r="I3431" s="32"/>
    </row>
    <row r="3432" spans="2:9" x14ac:dyDescent="0.25">
      <c r="B3432" s="31"/>
      <c r="F3432" s="32"/>
      <c r="I3432" s="32"/>
    </row>
    <row r="3433" spans="2:9" x14ac:dyDescent="0.25">
      <c r="B3433" s="31"/>
      <c r="F3433" s="32"/>
      <c r="I3433" s="32"/>
    </row>
    <row r="3434" spans="2:9" x14ac:dyDescent="0.25">
      <c r="B3434" s="31"/>
      <c r="F3434" s="32"/>
      <c r="I3434" s="32"/>
    </row>
    <row r="3435" spans="2:9" x14ac:dyDescent="0.25">
      <c r="B3435" s="31"/>
      <c r="F3435" s="32"/>
      <c r="I3435" s="32"/>
    </row>
    <row r="3436" spans="2:9" x14ac:dyDescent="0.25">
      <c r="B3436" s="31"/>
      <c r="F3436" s="32"/>
      <c r="I3436" s="32"/>
    </row>
    <row r="3437" spans="2:9" x14ac:dyDescent="0.25">
      <c r="B3437" s="31"/>
      <c r="F3437" s="32"/>
      <c r="I3437" s="32"/>
    </row>
    <row r="3438" spans="2:9" x14ac:dyDescent="0.25">
      <c r="B3438" s="31"/>
      <c r="F3438" s="32"/>
      <c r="I3438" s="32"/>
    </row>
    <row r="3439" spans="2:9" x14ac:dyDescent="0.25">
      <c r="B3439" s="31"/>
      <c r="F3439" s="32"/>
      <c r="I3439" s="32"/>
    </row>
    <row r="3440" spans="2:9" x14ac:dyDescent="0.25">
      <c r="B3440" s="31"/>
      <c r="F3440" s="32"/>
      <c r="I3440" s="32"/>
    </row>
    <row r="3441" spans="2:9" x14ac:dyDescent="0.25">
      <c r="B3441" s="31"/>
      <c r="F3441" s="32"/>
      <c r="I3441" s="32"/>
    </row>
    <row r="3442" spans="2:9" x14ac:dyDescent="0.25">
      <c r="B3442" s="31"/>
      <c r="F3442" s="32"/>
      <c r="I3442" s="32"/>
    </row>
    <row r="3443" spans="2:9" x14ac:dyDescent="0.25">
      <c r="B3443" s="31"/>
      <c r="F3443" s="32"/>
      <c r="I3443" s="32"/>
    </row>
    <row r="3444" spans="2:9" x14ac:dyDescent="0.25">
      <c r="B3444" s="31"/>
      <c r="F3444" s="32"/>
      <c r="I3444" s="32"/>
    </row>
    <row r="3445" spans="2:9" x14ac:dyDescent="0.25">
      <c r="B3445" s="31"/>
      <c r="F3445" s="32"/>
      <c r="I3445" s="32"/>
    </row>
    <row r="3446" spans="2:9" x14ac:dyDescent="0.25">
      <c r="B3446" s="31"/>
      <c r="F3446" s="32"/>
      <c r="I3446" s="32"/>
    </row>
    <row r="3447" spans="2:9" x14ac:dyDescent="0.25">
      <c r="B3447" s="31"/>
      <c r="F3447" s="32"/>
      <c r="I3447" s="32"/>
    </row>
    <row r="3448" spans="2:9" x14ac:dyDescent="0.25">
      <c r="B3448" s="31"/>
      <c r="F3448" s="32"/>
      <c r="I3448" s="32"/>
    </row>
    <row r="3449" spans="2:9" x14ac:dyDescent="0.25">
      <c r="B3449" s="31"/>
      <c r="F3449" s="32"/>
      <c r="I3449" s="32"/>
    </row>
    <row r="3450" spans="2:9" x14ac:dyDescent="0.25">
      <c r="B3450" s="31"/>
      <c r="F3450" s="32"/>
      <c r="I3450" s="32"/>
    </row>
    <row r="3451" spans="2:9" x14ac:dyDescent="0.25">
      <c r="B3451" s="31"/>
      <c r="F3451" s="32"/>
      <c r="I3451" s="32"/>
    </row>
    <row r="3452" spans="2:9" x14ac:dyDescent="0.25">
      <c r="B3452" s="31"/>
      <c r="F3452" s="32"/>
      <c r="I3452" s="32"/>
    </row>
    <row r="3453" spans="2:9" x14ac:dyDescent="0.25">
      <c r="B3453" s="31"/>
      <c r="F3453" s="32"/>
      <c r="I3453" s="32"/>
    </row>
    <row r="3454" spans="2:9" x14ac:dyDescent="0.25">
      <c r="B3454" s="31"/>
      <c r="F3454" s="32"/>
      <c r="I3454" s="32"/>
    </row>
    <row r="3455" spans="2:9" x14ac:dyDescent="0.25">
      <c r="B3455" s="31"/>
      <c r="F3455" s="32"/>
      <c r="I3455" s="32"/>
    </row>
    <row r="3456" spans="2:9" x14ac:dyDescent="0.25">
      <c r="B3456" s="31"/>
      <c r="F3456" s="32"/>
      <c r="I3456" s="32"/>
    </row>
    <row r="3457" spans="2:9" x14ac:dyDescent="0.25">
      <c r="B3457" s="31"/>
      <c r="F3457" s="32"/>
      <c r="I3457" s="32"/>
    </row>
    <row r="3458" spans="2:9" x14ac:dyDescent="0.25">
      <c r="B3458" s="31"/>
      <c r="F3458" s="32"/>
      <c r="I3458" s="32"/>
    </row>
    <row r="3459" spans="2:9" x14ac:dyDescent="0.25">
      <c r="B3459" s="31"/>
      <c r="F3459" s="32"/>
      <c r="I3459" s="32"/>
    </row>
    <row r="3460" spans="2:9" x14ac:dyDescent="0.25">
      <c r="B3460" s="31"/>
      <c r="F3460" s="32"/>
      <c r="I3460" s="32"/>
    </row>
    <row r="3461" spans="2:9" x14ac:dyDescent="0.25">
      <c r="B3461" s="31"/>
      <c r="F3461" s="32"/>
      <c r="I3461" s="32"/>
    </row>
    <row r="3462" spans="2:9" x14ac:dyDescent="0.25">
      <c r="B3462" s="31"/>
      <c r="F3462" s="32"/>
      <c r="I3462" s="32"/>
    </row>
    <row r="3463" spans="2:9" x14ac:dyDescent="0.25">
      <c r="B3463" s="31"/>
      <c r="F3463" s="32"/>
      <c r="I3463" s="32"/>
    </row>
    <row r="3464" spans="2:9" x14ac:dyDescent="0.25">
      <c r="B3464" s="31"/>
      <c r="F3464" s="32"/>
      <c r="I3464" s="32"/>
    </row>
    <row r="3465" spans="2:9" x14ac:dyDescent="0.25">
      <c r="B3465" s="31"/>
      <c r="F3465" s="32"/>
      <c r="I3465" s="32"/>
    </row>
    <row r="3466" spans="2:9" x14ac:dyDescent="0.25">
      <c r="B3466" s="31"/>
      <c r="F3466" s="32"/>
      <c r="I3466" s="32"/>
    </row>
    <row r="3467" spans="2:9" x14ac:dyDescent="0.25">
      <c r="B3467" s="31"/>
      <c r="F3467" s="32"/>
      <c r="I3467" s="32"/>
    </row>
    <row r="3468" spans="2:9" x14ac:dyDescent="0.25">
      <c r="B3468" s="31"/>
      <c r="F3468" s="32"/>
      <c r="I3468" s="32"/>
    </row>
    <row r="3469" spans="2:9" x14ac:dyDescent="0.25">
      <c r="B3469" s="31"/>
      <c r="F3469" s="32"/>
      <c r="I3469" s="32"/>
    </row>
    <row r="3470" spans="2:9" x14ac:dyDescent="0.25">
      <c r="B3470" s="31"/>
      <c r="F3470" s="32"/>
      <c r="I3470" s="32"/>
    </row>
    <row r="3471" spans="2:9" x14ac:dyDescent="0.25">
      <c r="B3471" s="31"/>
      <c r="F3471" s="32"/>
      <c r="I3471" s="32"/>
    </row>
    <row r="3472" spans="2:9" x14ac:dyDescent="0.25">
      <c r="B3472" s="31"/>
      <c r="F3472" s="32"/>
      <c r="I3472" s="32"/>
    </row>
    <row r="3473" spans="2:9" x14ac:dyDescent="0.25">
      <c r="B3473" s="31"/>
      <c r="F3473" s="32"/>
      <c r="I3473" s="32"/>
    </row>
    <row r="3474" spans="2:9" x14ac:dyDescent="0.25">
      <c r="B3474" s="31"/>
      <c r="F3474" s="32"/>
      <c r="I3474" s="32"/>
    </row>
    <row r="3475" spans="2:9" x14ac:dyDescent="0.25">
      <c r="B3475" s="31"/>
      <c r="F3475" s="32"/>
      <c r="I3475" s="32"/>
    </row>
    <row r="3476" spans="2:9" x14ac:dyDescent="0.25">
      <c r="B3476" s="31"/>
      <c r="F3476" s="32"/>
      <c r="I3476" s="32"/>
    </row>
    <row r="3477" spans="2:9" x14ac:dyDescent="0.25">
      <c r="B3477" s="31"/>
      <c r="F3477" s="32"/>
      <c r="I3477" s="32"/>
    </row>
    <row r="3478" spans="2:9" x14ac:dyDescent="0.25">
      <c r="B3478" s="31"/>
      <c r="F3478" s="32"/>
      <c r="I3478" s="32"/>
    </row>
    <row r="3479" spans="2:9" x14ac:dyDescent="0.25">
      <c r="B3479" s="31"/>
      <c r="F3479" s="32"/>
      <c r="I3479" s="32"/>
    </row>
    <row r="3480" spans="2:9" x14ac:dyDescent="0.25">
      <c r="B3480" s="31"/>
      <c r="F3480" s="32"/>
      <c r="I3480" s="32"/>
    </row>
    <row r="3481" spans="2:9" x14ac:dyDescent="0.25">
      <c r="B3481" s="31"/>
      <c r="F3481" s="32"/>
      <c r="I3481" s="32"/>
    </row>
    <row r="3482" spans="2:9" x14ac:dyDescent="0.25">
      <c r="B3482" s="31"/>
      <c r="F3482" s="32"/>
      <c r="I3482" s="32"/>
    </row>
    <row r="3483" spans="2:9" x14ac:dyDescent="0.25">
      <c r="B3483" s="31"/>
      <c r="F3483" s="32"/>
      <c r="I3483" s="32"/>
    </row>
    <row r="3484" spans="2:9" x14ac:dyDescent="0.25">
      <c r="B3484" s="31"/>
      <c r="F3484" s="32"/>
      <c r="I3484" s="32"/>
    </row>
    <row r="3485" spans="2:9" x14ac:dyDescent="0.25">
      <c r="B3485" s="31"/>
      <c r="F3485" s="32"/>
      <c r="I3485" s="32"/>
    </row>
    <row r="3486" spans="2:9" x14ac:dyDescent="0.25">
      <c r="B3486" s="31"/>
      <c r="F3486" s="32"/>
      <c r="I3486" s="32"/>
    </row>
    <row r="3487" spans="2:9" x14ac:dyDescent="0.25">
      <c r="B3487" s="31"/>
      <c r="F3487" s="32"/>
      <c r="I3487" s="32"/>
    </row>
    <row r="3488" spans="2:9" x14ac:dyDescent="0.25">
      <c r="B3488" s="31"/>
      <c r="F3488" s="32"/>
      <c r="I3488" s="32"/>
    </row>
    <row r="3489" spans="2:9" x14ac:dyDescent="0.25">
      <c r="B3489" s="31"/>
      <c r="F3489" s="32"/>
      <c r="I3489" s="32"/>
    </row>
    <row r="3490" spans="2:9" x14ac:dyDescent="0.25">
      <c r="B3490" s="31"/>
      <c r="F3490" s="32"/>
      <c r="I3490" s="32"/>
    </row>
    <row r="3491" spans="2:9" x14ac:dyDescent="0.25">
      <c r="B3491" s="31"/>
      <c r="F3491" s="32"/>
      <c r="I3491" s="32"/>
    </row>
    <row r="3492" spans="2:9" x14ac:dyDescent="0.25">
      <c r="B3492" s="31"/>
      <c r="F3492" s="32"/>
      <c r="I3492" s="32"/>
    </row>
    <row r="3493" spans="2:9" x14ac:dyDescent="0.25">
      <c r="B3493" s="31"/>
      <c r="F3493" s="32"/>
      <c r="I3493" s="32"/>
    </row>
    <row r="3494" spans="2:9" x14ac:dyDescent="0.25">
      <c r="B3494" s="31"/>
      <c r="F3494" s="32"/>
      <c r="I3494" s="32"/>
    </row>
    <row r="3495" spans="2:9" x14ac:dyDescent="0.25">
      <c r="B3495" s="31"/>
      <c r="F3495" s="32"/>
      <c r="I3495" s="32"/>
    </row>
    <row r="3496" spans="2:9" x14ac:dyDescent="0.25">
      <c r="B3496" s="31"/>
      <c r="F3496" s="32"/>
      <c r="I3496" s="32"/>
    </row>
    <row r="3497" spans="2:9" x14ac:dyDescent="0.25">
      <c r="B3497" s="31"/>
      <c r="F3497" s="32"/>
      <c r="I3497" s="32"/>
    </row>
    <row r="3498" spans="2:9" x14ac:dyDescent="0.25">
      <c r="B3498" s="31"/>
      <c r="F3498" s="32"/>
      <c r="I3498" s="32"/>
    </row>
    <row r="3499" spans="2:9" x14ac:dyDescent="0.25">
      <c r="B3499" s="31"/>
      <c r="F3499" s="32"/>
      <c r="I3499" s="32"/>
    </row>
    <row r="3500" spans="2:9" x14ac:dyDescent="0.25">
      <c r="B3500" s="31"/>
      <c r="F3500" s="32"/>
      <c r="I3500" s="32"/>
    </row>
    <row r="3501" spans="2:9" x14ac:dyDescent="0.25">
      <c r="B3501" s="31"/>
      <c r="F3501" s="32"/>
      <c r="I3501" s="32"/>
    </row>
    <row r="3502" spans="2:9" x14ac:dyDescent="0.25">
      <c r="B3502" s="31"/>
      <c r="F3502" s="32"/>
      <c r="I3502" s="32"/>
    </row>
    <row r="3503" spans="2:9" x14ac:dyDescent="0.25">
      <c r="B3503" s="31"/>
      <c r="F3503" s="32"/>
      <c r="I3503" s="32"/>
    </row>
    <row r="3504" spans="2:9" x14ac:dyDescent="0.25">
      <c r="B3504" s="31"/>
      <c r="F3504" s="32"/>
      <c r="I3504" s="32"/>
    </row>
    <row r="3505" spans="2:9" x14ac:dyDescent="0.25">
      <c r="B3505" s="31"/>
      <c r="F3505" s="32"/>
      <c r="I3505" s="32"/>
    </row>
    <row r="3506" spans="2:9" x14ac:dyDescent="0.25">
      <c r="B3506" s="31"/>
      <c r="F3506" s="32"/>
      <c r="I3506" s="32"/>
    </row>
    <row r="3507" spans="2:9" x14ac:dyDescent="0.25">
      <c r="B3507" s="31"/>
      <c r="F3507" s="32"/>
      <c r="I3507" s="32"/>
    </row>
    <row r="3508" spans="2:9" x14ac:dyDescent="0.25">
      <c r="B3508" s="31"/>
      <c r="F3508" s="32"/>
      <c r="I3508" s="32"/>
    </row>
    <row r="3509" spans="2:9" x14ac:dyDescent="0.25">
      <c r="B3509" s="31"/>
      <c r="F3509" s="32"/>
      <c r="I3509" s="32"/>
    </row>
    <row r="3510" spans="2:9" x14ac:dyDescent="0.25">
      <c r="B3510" s="31"/>
      <c r="F3510" s="32"/>
      <c r="I3510" s="32"/>
    </row>
    <row r="3511" spans="2:9" x14ac:dyDescent="0.25">
      <c r="B3511" s="31"/>
      <c r="F3511" s="32"/>
      <c r="I3511" s="32"/>
    </row>
    <row r="3512" spans="2:9" x14ac:dyDescent="0.25">
      <c r="B3512" s="31"/>
      <c r="F3512" s="32"/>
      <c r="I3512" s="32"/>
    </row>
    <row r="3513" spans="2:9" x14ac:dyDescent="0.25">
      <c r="B3513" s="31"/>
      <c r="F3513" s="32"/>
      <c r="I3513" s="32"/>
    </row>
    <row r="3514" spans="2:9" x14ac:dyDescent="0.25">
      <c r="B3514" s="31"/>
      <c r="F3514" s="32"/>
      <c r="I3514" s="32"/>
    </row>
    <row r="3515" spans="2:9" x14ac:dyDescent="0.25">
      <c r="B3515" s="31"/>
      <c r="F3515" s="32"/>
      <c r="I3515" s="32"/>
    </row>
    <row r="3516" spans="2:9" x14ac:dyDescent="0.25">
      <c r="B3516" s="31"/>
      <c r="F3516" s="32"/>
      <c r="I3516" s="32"/>
    </row>
    <row r="3517" spans="2:9" x14ac:dyDescent="0.25">
      <c r="B3517" s="31"/>
      <c r="F3517" s="32"/>
      <c r="I3517" s="32"/>
    </row>
    <row r="3518" spans="2:9" x14ac:dyDescent="0.25">
      <c r="B3518" s="31"/>
      <c r="F3518" s="32"/>
      <c r="I3518" s="32"/>
    </row>
    <row r="3519" spans="2:9" x14ac:dyDescent="0.25">
      <c r="B3519" s="31"/>
      <c r="F3519" s="32"/>
      <c r="I3519" s="32"/>
    </row>
    <row r="3520" spans="2:9" x14ac:dyDescent="0.25">
      <c r="B3520" s="31"/>
      <c r="F3520" s="32"/>
      <c r="I3520" s="32"/>
    </row>
    <row r="3521" spans="2:9" x14ac:dyDescent="0.25">
      <c r="B3521" s="31"/>
      <c r="F3521" s="32"/>
      <c r="I3521" s="32"/>
    </row>
    <row r="3522" spans="2:9" x14ac:dyDescent="0.25">
      <c r="B3522" s="31"/>
      <c r="F3522" s="32"/>
      <c r="I3522" s="32"/>
    </row>
    <row r="3523" spans="2:9" x14ac:dyDescent="0.25">
      <c r="B3523" s="31"/>
      <c r="F3523" s="32"/>
      <c r="I3523" s="32"/>
    </row>
    <row r="3524" spans="2:9" x14ac:dyDescent="0.25">
      <c r="B3524" s="31"/>
      <c r="F3524" s="32"/>
      <c r="I3524" s="32"/>
    </row>
    <row r="3525" spans="2:9" x14ac:dyDescent="0.25">
      <c r="B3525" s="31"/>
      <c r="F3525" s="32"/>
      <c r="I3525" s="32"/>
    </row>
    <row r="3526" spans="2:9" x14ac:dyDescent="0.25">
      <c r="B3526" s="31"/>
      <c r="F3526" s="32"/>
      <c r="I3526" s="32"/>
    </row>
    <row r="3527" spans="2:9" x14ac:dyDescent="0.25">
      <c r="B3527" s="31"/>
      <c r="F3527" s="32"/>
      <c r="I3527" s="32"/>
    </row>
    <row r="3528" spans="2:9" x14ac:dyDescent="0.25">
      <c r="B3528" s="31"/>
      <c r="F3528" s="32"/>
      <c r="I3528" s="32"/>
    </row>
    <row r="3529" spans="2:9" x14ac:dyDescent="0.25">
      <c r="B3529" s="31"/>
      <c r="F3529" s="32"/>
      <c r="I3529" s="32"/>
    </row>
    <row r="3530" spans="2:9" x14ac:dyDescent="0.25">
      <c r="B3530" s="31"/>
      <c r="F3530" s="32"/>
      <c r="I3530" s="32"/>
    </row>
    <row r="3531" spans="2:9" x14ac:dyDescent="0.25">
      <c r="B3531" s="31"/>
      <c r="F3531" s="32"/>
      <c r="I3531" s="32"/>
    </row>
    <row r="3532" spans="2:9" x14ac:dyDescent="0.25">
      <c r="B3532" s="31"/>
      <c r="F3532" s="32"/>
      <c r="I3532" s="32"/>
    </row>
    <row r="3533" spans="2:9" x14ac:dyDescent="0.25">
      <c r="B3533" s="31"/>
      <c r="F3533" s="32"/>
      <c r="I3533" s="32"/>
    </row>
    <row r="3534" spans="2:9" x14ac:dyDescent="0.25">
      <c r="B3534" s="31"/>
      <c r="F3534" s="32"/>
      <c r="I3534" s="32"/>
    </row>
    <row r="3535" spans="2:9" x14ac:dyDescent="0.25">
      <c r="B3535" s="31"/>
      <c r="F3535" s="32"/>
      <c r="I3535" s="32"/>
    </row>
    <row r="3536" spans="2:9" x14ac:dyDescent="0.25">
      <c r="B3536" s="31"/>
      <c r="F3536" s="32"/>
      <c r="I3536" s="32"/>
    </row>
    <row r="3537" spans="2:9" x14ac:dyDescent="0.25">
      <c r="B3537" s="31"/>
      <c r="F3537" s="32"/>
      <c r="I3537" s="32"/>
    </row>
    <row r="3538" spans="2:9" x14ac:dyDescent="0.25">
      <c r="B3538" s="31"/>
      <c r="F3538" s="32"/>
      <c r="I3538" s="32"/>
    </row>
    <row r="3539" spans="2:9" x14ac:dyDescent="0.25">
      <c r="B3539" s="31"/>
      <c r="F3539" s="32"/>
      <c r="I3539" s="32"/>
    </row>
    <row r="3540" spans="2:9" x14ac:dyDescent="0.25">
      <c r="B3540" s="31"/>
      <c r="F3540" s="32"/>
      <c r="I3540" s="32"/>
    </row>
    <row r="3541" spans="2:9" x14ac:dyDescent="0.25">
      <c r="B3541" s="31"/>
      <c r="F3541" s="32"/>
      <c r="I3541" s="32"/>
    </row>
    <row r="3542" spans="2:9" x14ac:dyDescent="0.25">
      <c r="B3542" s="31"/>
      <c r="F3542" s="32"/>
      <c r="I3542" s="32"/>
    </row>
    <row r="3543" spans="2:9" x14ac:dyDescent="0.25">
      <c r="B3543" s="31"/>
      <c r="F3543" s="32"/>
      <c r="I3543" s="32"/>
    </row>
    <row r="3544" spans="2:9" x14ac:dyDescent="0.25">
      <c r="B3544" s="31"/>
      <c r="F3544" s="32"/>
      <c r="I3544" s="32"/>
    </row>
    <row r="3545" spans="2:9" x14ac:dyDescent="0.25">
      <c r="B3545" s="31"/>
      <c r="F3545" s="32"/>
      <c r="I3545" s="32"/>
    </row>
    <row r="3546" spans="2:9" x14ac:dyDescent="0.25">
      <c r="B3546" s="31"/>
      <c r="F3546" s="32"/>
      <c r="I3546" s="32"/>
    </row>
    <row r="3547" spans="2:9" x14ac:dyDescent="0.25">
      <c r="B3547" s="31"/>
      <c r="F3547" s="32"/>
      <c r="I3547" s="32"/>
    </row>
    <row r="3548" spans="2:9" x14ac:dyDescent="0.25">
      <c r="B3548" s="31"/>
      <c r="F3548" s="32"/>
      <c r="I3548" s="32"/>
    </row>
    <row r="3549" spans="2:9" x14ac:dyDescent="0.25">
      <c r="B3549" s="31"/>
      <c r="F3549" s="32"/>
      <c r="I3549" s="32"/>
    </row>
    <row r="3550" spans="2:9" x14ac:dyDescent="0.25">
      <c r="B3550" s="31"/>
      <c r="F3550" s="32"/>
      <c r="I3550" s="32"/>
    </row>
    <row r="3551" spans="2:9" x14ac:dyDescent="0.25">
      <c r="B3551" s="31"/>
      <c r="F3551" s="32"/>
      <c r="I3551" s="32"/>
    </row>
    <row r="3552" spans="2:9" x14ac:dyDescent="0.25">
      <c r="B3552" s="31"/>
      <c r="F3552" s="32"/>
      <c r="I3552" s="32"/>
    </row>
    <row r="3553" spans="2:9" x14ac:dyDescent="0.25">
      <c r="B3553" s="31"/>
      <c r="F3553" s="32"/>
      <c r="I3553" s="32"/>
    </row>
    <row r="3554" spans="2:9" x14ac:dyDescent="0.25">
      <c r="B3554" s="31"/>
      <c r="F3554" s="32"/>
      <c r="I3554" s="32"/>
    </row>
    <row r="3555" spans="2:9" x14ac:dyDescent="0.25">
      <c r="B3555" s="31"/>
      <c r="F3555" s="32"/>
      <c r="I3555" s="32"/>
    </row>
    <row r="3556" spans="2:9" x14ac:dyDescent="0.25">
      <c r="B3556" s="31"/>
      <c r="F3556" s="32"/>
      <c r="I3556" s="32"/>
    </row>
    <row r="3557" spans="2:9" x14ac:dyDescent="0.25">
      <c r="B3557" s="31"/>
      <c r="F3557" s="32"/>
      <c r="I3557" s="32"/>
    </row>
    <row r="3558" spans="2:9" x14ac:dyDescent="0.25">
      <c r="B3558" s="31"/>
      <c r="F3558" s="32"/>
      <c r="I3558" s="32"/>
    </row>
    <row r="3559" spans="2:9" x14ac:dyDescent="0.25">
      <c r="B3559" s="31"/>
      <c r="F3559" s="32"/>
      <c r="I3559" s="32"/>
    </row>
    <row r="3560" spans="2:9" x14ac:dyDescent="0.25">
      <c r="B3560" s="31"/>
      <c r="F3560" s="32"/>
      <c r="I3560" s="32"/>
    </row>
    <row r="3561" spans="2:9" x14ac:dyDescent="0.25">
      <c r="B3561" s="31"/>
      <c r="F3561" s="32"/>
      <c r="I3561" s="32"/>
    </row>
    <row r="3562" spans="2:9" x14ac:dyDescent="0.25">
      <c r="B3562" s="31"/>
      <c r="F3562" s="32"/>
      <c r="I3562" s="32"/>
    </row>
    <row r="3563" spans="2:9" x14ac:dyDescent="0.25">
      <c r="B3563" s="31"/>
      <c r="F3563" s="32"/>
      <c r="I3563" s="32"/>
    </row>
    <row r="3564" spans="2:9" x14ac:dyDescent="0.25">
      <c r="B3564" s="31"/>
      <c r="F3564" s="32"/>
      <c r="I3564" s="32"/>
    </row>
    <row r="3565" spans="2:9" x14ac:dyDescent="0.25">
      <c r="B3565" s="31"/>
      <c r="F3565" s="32"/>
      <c r="I3565" s="32"/>
    </row>
    <row r="3566" spans="2:9" x14ac:dyDescent="0.25">
      <c r="B3566" s="31"/>
      <c r="F3566" s="32"/>
      <c r="I3566" s="32"/>
    </row>
    <row r="3567" spans="2:9" x14ac:dyDescent="0.25">
      <c r="B3567" s="31"/>
      <c r="F3567" s="32"/>
      <c r="I3567" s="32"/>
    </row>
    <row r="3568" spans="2:9" x14ac:dyDescent="0.25">
      <c r="B3568" s="31"/>
      <c r="F3568" s="32"/>
      <c r="I3568" s="32"/>
    </row>
    <row r="3569" spans="2:9" x14ac:dyDescent="0.25">
      <c r="B3569" s="31"/>
      <c r="F3569" s="32"/>
      <c r="I3569" s="32"/>
    </row>
    <row r="3570" spans="2:9" x14ac:dyDescent="0.25">
      <c r="B3570" s="31"/>
      <c r="F3570" s="32"/>
      <c r="I3570" s="32"/>
    </row>
    <row r="3571" spans="2:9" x14ac:dyDescent="0.25">
      <c r="B3571" s="31"/>
      <c r="F3571" s="32"/>
      <c r="I3571" s="32"/>
    </row>
    <row r="3572" spans="2:9" x14ac:dyDescent="0.25">
      <c r="B3572" s="31"/>
      <c r="F3572" s="32"/>
      <c r="I3572" s="32"/>
    </row>
    <row r="3573" spans="2:9" x14ac:dyDescent="0.25">
      <c r="B3573" s="31"/>
      <c r="F3573" s="32"/>
      <c r="I3573" s="32"/>
    </row>
    <row r="3574" spans="2:9" x14ac:dyDescent="0.25">
      <c r="B3574" s="31"/>
      <c r="F3574" s="32"/>
      <c r="I3574" s="32"/>
    </row>
    <row r="3575" spans="2:9" x14ac:dyDescent="0.25">
      <c r="B3575" s="31"/>
      <c r="F3575" s="32"/>
      <c r="I3575" s="32"/>
    </row>
    <row r="3576" spans="2:9" x14ac:dyDescent="0.25">
      <c r="B3576" s="31"/>
      <c r="F3576" s="32"/>
      <c r="I3576" s="32"/>
    </row>
    <row r="3577" spans="2:9" x14ac:dyDescent="0.25">
      <c r="B3577" s="31"/>
      <c r="F3577" s="32"/>
      <c r="I3577" s="32"/>
    </row>
    <row r="3578" spans="2:9" x14ac:dyDescent="0.25">
      <c r="B3578" s="31"/>
      <c r="F3578" s="32"/>
      <c r="I3578" s="32"/>
    </row>
    <row r="3579" spans="2:9" x14ac:dyDescent="0.25">
      <c r="B3579" s="31"/>
      <c r="F3579" s="32"/>
      <c r="I3579" s="32"/>
    </row>
    <row r="3580" spans="2:9" x14ac:dyDescent="0.25">
      <c r="B3580" s="31"/>
      <c r="F3580" s="32"/>
      <c r="I3580" s="32"/>
    </row>
    <row r="3581" spans="2:9" x14ac:dyDescent="0.25">
      <c r="B3581" s="31"/>
      <c r="F3581" s="32"/>
      <c r="I3581" s="32"/>
    </row>
    <row r="3582" spans="2:9" x14ac:dyDescent="0.25">
      <c r="B3582" s="31"/>
      <c r="F3582" s="32"/>
      <c r="I3582" s="32"/>
    </row>
    <row r="3583" spans="2:9" x14ac:dyDescent="0.25">
      <c r="B3583" s="31"/>
      <c r="F3583" s="32"/>
      <c r="I3583" s="32"/>
    </row>
    <row r="3584" spans="2:9" x14ac:dyDescent="0.25">
      <c r="B3584" s="31"/>
      <c r="F3584" s="32"/>
      <c r="I3584" s="32"/>
    </row>
    <row r="3585" spans="2:9" x14ac:dyDescent="0.25">
      <c r="B3585" s="31"/>
      <c r="F3585" s="32"/>
      <c r="I3585" s="32"/>
    </row>
    <row r="3586" spans="2:9" x14ac:dyDescent="0.25">
      <c r="B3586" s="31"/>
      <c r="F3586" s="32"/>
      <c r="I3586" s="32"/>
    </row>
    <row r="3587" spans="2:9" x14ac:dyDescent="0.25">
      <c r="B3587" s="31"/>
      <c r="F3587" s="32"/>
      <c r="I3587" s="32"/>
    </row>
    <row r="3588" spans="2:9" x14ac:dyDescent="0.25">
      <c r="B3588" s="31"/>
      <c r="F3588" s="32"/>
      <c r="I3588" s="32"/>
    </row>
    <row r="3589" spans="2:9" x14ac:dyDescent="0.25">
      <c r="B3589" s="31"/>
      <c r="F3589" s="32"/>
      <c r="I3589" s="32"/>
    </row>
    <row r="3590" spans="2:9" x14ac:dyDescent="0.25">
      <c r="B3590" s="31"/>
      <c r="F3590" s="32"/>
      <c r="I3590" s="32"/>
    </row>
    <row r="3591" spans="2:9" x14ac:dyDescent="0.25">
      <c r="B3591" s="31"/>
      <c r="F3591" s="32"/>
      <c r="I3591" s="32"/>
    </row>
    <row r="3592" spans="2:9" x14ac:dyDescent="0.25">
      <c r="B3592" s="31"/>
      <c r="F3592" s="32"/>
      <c r="I3592" s="32"/>
    </row>
    <row r="3593" spans="2:9" x14ac:dyDescent="0.25">
      <c r="B3593" s="31"/>
      <c r="F3593" s="32"/>
      <c r="I3593" s="32"/>
    </row>
    <row r="3594" spans="2:9" x14ac:dyDescent="0.25">
      <c r="B3594" s="31"/>
      <c r="F3594" s="32"/>
      <c r="I3594" s="32"/>
    </row>
    <row r="3595" spans="2:9" x14ac:dyDescent="0.25">
      <c r="B3595" s="31"/>
      <c r="F3595" s="32"/>
      <c r="I3595" s="32"/>
    </row>
    <row r="3596" spans="2:9" x14ac:dyDescent="0.25">
      <c r="B3596" s="31"/>
      <c r="F3596" s="32"/>
      <c r="I3596" s="32"/>
    </row>
    <row r="3597" spans="2:9" x14ac:dyDescent="0.25">
      <c r="B3597" s="31"/>
      <c r="F3597" s="32"/>
      <c r="I3597" s="32"/>
    </row>
    <row r="3598" spans="2:9" x14ac:dyDescent="0.25">
      <c r="B3598" s="31"/>
      <c r="F3598" s="32"/>
      <c r="I3598" s="32"/>
    </row>
    <row r="3599" spans="2:9" x14ac:dyDescent="0.25">
      <c r="B3599" s="31"/>
      <c r="F3599" s="32"/>
      <c r="I3599" s="32"/>
    </row>
    <row r="3600" spans="2:9" x14ac:dyDescent="0.25">
      <c r="B3600" s="31"/>
      <c r="F3600" s="32"/>
      <c r="I3600" s="32"/>
    </row>
    <row r="3601" spans="2:9" x14ac:dyDescent="0.25">
      <c r="B3601" s="31"/>
      <c r="F3601" s="32"/>
      <c r="I3601" s="32"/>
    </row>
    <row r="3602" spans="2:9" x14ac:dyDescent="0.25">
      <c r="B3602" s="31"/>
      <c r="F3602" s="32"/>
      <c r="I3602" s="32"/>
    </row>
    <row r="3603" spans="2:9" x14ac:dyDescent="0.25">
      <c r="B3603" s="31"/>
      <c r="F3603" s="32"/>
      <c r="I3603" s="32"/>
    </row>
    <row r="3604" spans="2:9" x14ac:dyDescent="0.25">
      <c r="B3604" s="31"/>
      <c r="F3604" s="32"/>
      <c r="I3604" s="32"/>
    </row>
    <row r="3605" spans="2:9" x14ac:dyDescent="0.25">
      <c r="B3605" s="31"/>
      <c r="F3605" s="32"/>
      <c r="I3605" s="32"/>
    </row>
    <row r="3606" spans="2:9" x14ac:dyDescent="0.25">
      <c r="B3606" s="31"/>
      <c r="F3606" s="32"/>
      <c r="I3606" s="32"/>
    </row>
    <row r="3607" spans="2:9" x14ac:dyDescent="0.25">
      <c r="B3607" s="31"/>
      <c r="F3607" s="32"/>
      <c r="I3607" s="32"/>
    </row>
    <row r="3608" spans="2:9" x14ac:dyDescent="0.25">
      <c r="B3608" s="31"/>
      <c r="F3608" s="32"/>
      <c r="I3608" s="32"/>
    </row>
    <row r="3609" spans="2:9" x14ac:dyDescent="0.25">
      <c r="B3609" s="31"/>
      <c r="F3609" s="32"/>
      <c r="I3609" s="32"/>
    </row>
    <row r="3610" spans="2:9" x14ac:dyDescent="0.25">
      <c r="B3610" s="31"/>
      <c r="F3610" s="32"/>
      <c r="I3610" s="32"/>
    </row>
    <row r="3611" spans="2:9" x14ac:dyDescent="0.25">
      <c r="B3611" s="31"/>
      <c r="F3611" s="32"/>
      <c r="I3611" s="32"/>
    </row>
    <row r="3612" spans="2:9" x14ac:dyDescent="0.25">
      <c r="B3612" s="31"/>
      <c r="F3612" s="32"/>
      <c r="I3612" s="32"/>
    </row>
    <row r="3613" spans="2:9" x14ac:dyDescent="0.25">
      <c r="B3613" s="31"/>
      <c r="F3613" s="32"/>
      <c r="I3613" s="32"/>
    </row>
    <row r="3614" spans="2:9" x14ac:dyDescent="0.25">
      <c r="B3614" s="31"/>
      <c r="F3614" s="32"/>
      <c r="I3614" s="32"/>
    </row>
    <row r="3615" spans="2:9" x14ac:dyDescent="0.25">
      <c r="B3615" s="31"/>
      <c r="F3615" s="32"/>
      <c r="I3615" s="32"/>
    </row>
    <row r="3616" spans="2:9" x14ac:dyDescent="0.25">
      <c r="B3616" s="31"/>
      <c r="F3616" s="32"/>
      <c r="I3616" s="32"/>
    </row>
    <row r="3617" spans="2:9" x14ac:dyDescent="0.25">
      <c r="B3617" s="31"/>
      <c r="F3617" s="32"/>
      <c r="I3617" s="32"/>
    </row>
    <row r="3618" spans="2:9" x14ac:dyDescent="0.25">
      <c r="B3618" s="31"/>
      <c r="F3618" s="32"/>
      <c r="I3618" s="32"/>
    </row>
    <row r="3619" spans="2:9" x14ac:dyDescent="0.25">
      <c r="B3619" s="31"/>
      <c r="F3619" s="32"/>
      <c r="I3619" s="32"/>
    </row>
    <row r="3620" spans="2:9" x14ac:dyDescent="0.25">
      <c r="B3620" s="31"/>
      <c r="F3620" s="32"/>
      <c r="I3620" s="32"/>
    </row>
    <row r="3621" spans="2:9" x14ac:dyDescent="0.25">
      <c r="B3621" s="31"/>
      <c r="F3621" s="32"/>
      <c r="I3621" s="32"/>
    </row>
    <row r="3622" spans="2:9" x14ac:dyDescent="0.25">
      <c r="B3622" s="31"/>
      <c r="F3622" s="32"/>
      <c r="I3622" s="32"/>
    </row>
    <row r="3623" spans="2:9" x14ac:dyDescent="0.25">
      <c r="B3623" s="31"/>
      <c r="F3623" s="32"/>
      <c r="I3623" s="32"/>
    </row>
    <row r="3624" spans="2:9" x14ac:dyDescent="0.25">
      <c r="B3624" s="31"/>
      <c r="F3624" s="32"/>
      <c r="I3624" s="32"/>
    </row>
    <row r="3625" spans="2:9" x14ac:dyDescent="0.25">
      <c r="B3625" s="31"/>
      <c r="F3625" s="32"/>
      <c r="I3625" s="32"/>
    </row>
    <row r="3626" spans="2:9" x14ac:dyDescent="0.25">
      <c r="B3626" s="31"/>
      <c r="F3626" s="32"/>
      <c r="I3626" s="32"/>
    </row>
    <row r="3627" spans="2:9" x14ac:dyDescent="0.25">
      <c r="B3627" s="31"/>
      <c r="F3627" s="32"/>
      <c r="I3627" s="32"/>
    </row>
    <row r="3628" spans="2:9" x14ac:dyDescent="0.25">
      <c r="B3628" s="31"/>
      <c r="F3628" s="32"/>
      <c r="I3628" s="32"/>
    </row>
    <row r="3629" spans="2:9" x14ac:dyDescent="0.25">
      <c r="B3629" s="31"/>
      <c r="F3629" s="32"/>
      <c r="I3629" s="32"/>
    </row>
    <row r="3630" spans="2:9" x14ac:dyDescent="0.25">
      <c r="B3630" s="31"/>
      <c r="F3630" s="32"/>
      <c r="I3630" s="32"/>
    </row>
    <row r="3631" spans="2:9" x14ac:dyDescent="0.25">
      <c r="B3631" s="31"/>
      <c r="F3631" s="32"/>
      <c r="I3631" s="32"/>
    </row>
    <row r="3632" spans="2:9" x14ac:dyDescent="0.25">
      <c r="B3632" s="31"/>
      <c r="F3632" s="32"/>
      <c r="I3632" s="32"/>
    </row>
    <row r="3633" spans="2:9" x14ac:dyDescent="0.25">
      <c r="B3633" s="31"/>
      <c r="F3633" s="32"/>
      <c r="I3633" s="32"/>
    </row>
    <row r="3634" spans="2:9" x14ac:dyDescent="0.25">
      <c r="B3634" s="31"/>
      <c r="F3634" s="32"/>
      <c r="I3634" s="32"/>
    </row>
    <row r="3635" spans="2:9" x14ac:dyDescent="0.25">
      <c r="B3635" s="31"/>
      <c r="F3635" s="32"/>
      <c r="I3635" s="32"/>
    </row>
    <row r="3636" spans="2:9" x14ac:dyDescent="0.25">
      <c r="B3636" s="31"/>
      <c r="F3636" s="32"/>
      <c r="I3636" s="32"/>
    </row>
    <row r="3637" spans="2:9" x14ac:dyDescent="0.25">
      <c r="B3637" s="31"/>
      <c r="F3637" s="32"/>
      <c r="I3637" s="32"/>
    </row>
    <row r="3638" spans="2:9" x14ac:dyDescent="0.25">
      <c r="B3638" s="31"/>
      <c r="F3638" s="32"/>
      <c r="I3638" s="32"/>
    </row>
    <row r="3639" spans="2:9" x14ac:dyDescent="0.25">
      <c r="B3639" s="31"/>
      <c r="F3639" s="32"/>
      <c r="I3639" s="32"/>
    </row>
    <row r="3640" spans="2:9" x14ac:dyDescent="0.25">
      <c r="B3640" s="31"/>
      <c r="F3640" s="32"/>
      <c r="I3640" s="32"/>
    </row>
    <row r="3641" spans="2:9" x14ac:dyDescent="0.25">
      <c r="B3641" s="31"/>
      <c r="F3641" s="32"/>
      <c r="I3641" s="32"/>
    </row>
    <row r="3642" spans="2:9" x14ac:dyDescent="0.25">
      <c r="B3642" s="31"/>
      <c r="F3642" s="32"/>
      <c r="I3642" s="32"/>
    </row>
    <row r="3643" spans="2:9" x14ac:dyDescent="0.25">
      <c r="B3643" s="31"/>
      <c r="F3643" s="32"/>
      <c r="I3643" s="32"/>
    </row>
    <row r="3644" spans="2:9" x14ac:dyDescent="0.25">
      <c r="B3644" s="31"/>
      <c r="F3644" s="32"/>
      <c r="I3644" s="32"/>
    </row>
    <row r="3645" spans="2:9" x14ac:dyDescent="0.25">
      <c r="B3645" s="31"/>
      <c r="F3645" s="32"/>
      <c r="I3645" s="32"/>
    </row>
    <row r="3646" spans="2:9" x14ac:dyDescent="0.25">
      <c r="B3646" s="31"/>
      <c r="F3646" s="32"/>
      <c r="I3646" s="32"/>
    </row>
    <row r="3647" spans="2:9" x14ac:dyDescent="0.25">
      <c r="B3647" s="31"/>
      <c r="F3647" s="32"/>
      <c r="I3647" s="32"/>
    </row>
    <row r="3648" spans="2:9" x14ac:dyDescent="0.25">
      <c r="B3648" s="31"/>
      <c r="F3648" s="32"/>
      <c r="I3648" s="32"/>
    </row>
    <row r="3649" spans="2:9" x14ac:dyDescent="0.25">
      <c r="B3649" s="31"/>
      <c r="F3649" s="32"/>
      <c r="I3649" s="32"/>
    </row>
    <row r="3650" spans="2:9" x14ac:dyDescent="0.25">
      <c r="B3650" s="31"/>
      <c r="F3650" s="32"/>
      <c r="I3650" s="32"/>
    </row>
    <row r="3651" spans="2:9" x14ac:dyDescent="0.25">
      <c r="B3651" s="31"/>
      <c r="F3651" s="32"/>
      <c r="I3651" s="32"/>
    </row>
    <row r="3652" spans="2:9" x14ac:dyDescent="0.25">
      <c r="B3652" s="31"/>
      <c r="F3652" s="32"/>
      <c r="I3652" s="32"/>
    </row>
    <row r="3653" spans="2:9" x14ac:dyDescent="0.25">
      <c r="B3653" s="31"/>
      <c r="F3653" s="32"/>
      <c r="I3653" s="32"/>
    </row>
    <row r="3654" spans="2:9" x14ac:dyDescent="0.25">
      <c r="B3654" s="31"/>
      <c r="F3654" s="32"/>
      <c r="I3654" s="32"/>
    </row>
    <row r="3655" spans="2:9" x14ac:dyDescent="0.25">
      <c r="B3655" s="31"/>
      <c r="F3655" s="32"/>
      <c r="I3655" s="32"/>
    </row>
    <row r="3656" spans="2:9" x14ac:dyDescent="0.25">
      <c r="B3656" s="31"/>
      <c r="F3656" s="32"/>
      <c r="I3656" s="32"/>
    </row>
    <row r="3657" spans="2:9" x14ac:dyDescent="0.25">
      <c r="B3657" s="31"/>
      <c r="F3657" s="32"/>
      <c r="I3657" s="32"/>
    </row>
    <row r="3658" spans="2:9" x14ac:dyDescent="0.25">
      <c r="B3658" s="31"/>
      <c r="F3658" s="32"/>
      <c r="I3658" s="32"/>
    </row>
    <row r="3659" spans="2:9" x14ac:dyDescent="0.25">
      <c r="B3659" s="31"/>
      <c r="F3659" s="32"/>
      <c r="I3659" s="32"/>
    </row>
    <row r="3660" spans="2:9" x14ac:dyDescent="0.25">
      <c r="B3660" s="31"/>
      <c r="F3660" s="32"/>
      <c r="I3660" s="32"/>
    </row>
    <row r="3661" spans="2:9" x14ac:dyDescent="0.25">
      <c r="B3661" s="31"/>
      <c r="F3661" s="32"/>
      <c r="I3661" s="32"/>
    </row>
    <row r="3662" spans="2:9" x14ac:dyDescent="0.25">
      <c r="B3662" s="31"/>
      <c r="F3662" s="32"/>
      <c r="I3662" s="32"/>
    </row>
    <row r="3663" spans="2:9" x14ac:dyDescent="0.25">
      <c r="B3663" s="31"/>
      <c r="F3663" s="32"/>
      <c r="I3663" s="32"/>
    </row>
    <row r="3664" spans="2:9" x14ac:dyDescent="0.25">
      <c r="B3664" s="31"/>
      <c r="F3664" s="32"/>
      <c r="I3664" s="32"/>
    </row>
    <row r="3665" spans="2:9" x14ac:dyDescent="0.25">
      <c r="B3665" s="31"/>
      <c r="F3665" s="32"/>
      <c r="I3665" s="32"/>
    </row>
    <row r="3666" spans="2:9" x14ac:dyDescent="0.25">
      <c r="B3666" s="31"/>
      <c r="F3666" s="32"/>
      <c r="I3666" s="32"/>
    </row>
    <row r="3667" spans="2:9" x14ac:dyDescent="0.25">
      <c r="B3667" s="31"/>
      <c r="F3667" s="32"/>
      <c r="I3667" s="32"/>
    </row>
    <row r="3668" spans="2:9" x14ac:dyDescent="0.25">
      <c r="B3668" s="31"/>
      <c r="F3668" s="32"/>
      <c r="I3668" s="32"/>
    </row>
    <row r="3669" spans="2:9" x14ac:dyDescent="0.25">
      <c r="B3669" s="31"/>
      <c r="F3669" s="32"/>
      <c r="I3669" s="32"/>
    </row>
    <row r="3670" spans="2:9" x14ac:dyDescent="0.25">
      <c r="B3670" s="31"/>
      <c r="F3670" s="32"/>
      <c r="I3670" s="32"/>
    </row>
    <row r="3671" spans="2:9" x14ac:dyDescent="0.25">
      <c r="B3671" s="31"/>
      <c r="F3671" s="32"/>
      <c r="I3671" s="32"/>
    </row>
    <row r="3672" spans="2:9" x14ac:dyDescent="0.25">
      <c r="B3672" s="31"/>
      <c r="F3672" s="32"/>
      <c r="I3672" s="32"/>
    </row>
    <row r="3673" spans="2:9" x14ac:dyDescent="0.25">
      <c r="B3673" s="31"/>
      <c r="F3673" s="32"/>
      <c r="I3673" s="32"/>
    </row>
    <row r="3674" spans="2:9" x14ac:dyDescent="0.25">
      <c r="B3674" s="31"/>
      <c r="F3674" s="32"/>
      <c r="I3674" s="32"/>
    </row>
    <row r="3675" spans="2:9" x14ac:dyDescent="0.25">
      <c r="B3675" s="31"/>
      <c r="F3675" s="32"/>
      <c r="I3675" s="32"/>
    </row>
    <row r="3676" spans="2:9" x14ac:dyDescent="0.25">
      <c r="B3676" s="31"/>
      <c r="F3676" s="32"/>
      <c r="I3676" s="32"/>
    </row>
    <row r="3677" spans="2:9" x14ac:dyDescent="0.25">
      <c r="B3677" s="31"/>
      <c r="F3677" s="32"/>
      <c r="I3677" s="32"/>
    </row>
    <row r="3678" spans="2:9" x14ac:dyDescent="0.25">
      <c r="B3678" s="31"/>
      <c r="F3678" s="32"/>
      <c r="I3678" s="32"/>
    </row>
    <row r="3679" spans="2:9" x14ac:dyDescent="0.25">
      <c r="B3679" s="31"/>
      <c r="F3679" s="32"/>
      <c r="I3679" s="32"/>
    </row>
    <row r="3680" spans="2:9" x14ac:dyDescent="0.25">
      <c r="B3680" s="31"/>
      <c r="F3680" s="32"/>
      <c r="I3680" s="32"/>
    </row>
    <row r="3681" spans="2:9" x14ac:dyDescent="0.25">
      <c r="B3681" s="31"/>
      <c r="F3681" s="32"/>
      <c r="I3681" s="32"/>
    </row>
    <row r="3682" spans="2:9" x14ac:dyDescent="0.25">
      <c r="B3682" s="31"/>
      <c r="F3682" s="32"/>
      <c r="I3682" s="32"/>
    </row>
    <row r="3683" spans="2:9" x14ac:dyDescent="0.25">
      <c r="B3683" s="31"/>
      <c r="F3683" s="32"/>
      <c r="I3683" s="32"/>
    </row>
    <row r="3684" spans="2:9" x14ac:dyDescent="0.25">
      <c r="B3684" s="31"/>
      <c r="F3684" s="32"/>
      <c r="I3684" s="32"/>
    </row>
    <row r="3685" spans="2:9" x14ac:dyDescent="0.25">
      <c r="B3685" s="31"/>
      <c r="F3685" s="32"/>
      <c r="I3685" s="32"/>
    </row>
    <row r="3686" spans="2:9" x14ac:dyDescent="0.25">
      <c r="B3686" s="31"/>
      <c r="F3686" s="32"/>
      <c r="I3686" s="32"/>
    </row>
    <row r="3687" spans="2:9" x14ac:dyDescent="0.25">
      <c r="B3687" s="31"/>
      <c r="F3687" s="32"/>
      <c r="I3687" s="32"/>
    </row>
    <row r="3688" spans="2:9" x14ac:dyDescent="0.25">
      <c r="B3688" s="31"/>
      <c r="F3688" s="32"/>
      <c r="I3688" s="32"/>
    </row>
    <row r="3689" spans="2:9" x14ac:dyDescent="0.25">
      <c r="B3689" s="31"/>
      <c r="F3689" s="32"/>
      <c r="I3689" s="32"/>
    </row>
    <row r="3690" spans="2:9" x14ac:dyDescent="0.25">
      <c r="B3690" s="31"/>
      <c r="F3690" s="32"/>
      <c r="I3690" s="32"/>
    </row>
    <row r="3691" spans="2:9" x14ac:dyDescent="0.25">
      <c r="B3691" s="31"/>
      <c r="F3691" s="32"/>
      <c r="I3691" s="32"/>
    </row>
    <row r="3692" spans="2:9" x14ac:dyDescent="0.25">
      <c r="B3692" s="31"/>
      <c r="F3692" s="32"/>
      <c r="I3692" s="32"/>
    </row>
    <row r="3693" spans="2:9" x14ac:dyDescent="0.25">
      <c r="B3693" s="31"/>
      <c r="F3693" s="32"/>
      <c r="I3693" s="32"/>
    </row>
    <row r="3694" spans="2:9" x14ac:dyDescent="0.25">
      <c r="B3694" s="31"/>
      <c r="F3694" s="32"/>
      <c r="I3694" s="32"/>
    </row>
    <row r="3695" spans="2:9" x14ac:dyDescent="0.25">
      <c r="B3695" s="31"/>
      <c r="F3695" s="32"/>
      <c r="I3695" s="32"/>
    </row>
    <row r="3696" spans="2:9" x14ac:dyDescent="0.25">
      <c r="B3696" s="31"/>
      <c r="F3696" s="32"/>
      <c r="I3696" s="32"/>
    </row>
    <row r="3697" spans="2:9" x14ac:dyDescent="0.25">
      <c r="B3697" s="31"/>
      <c r="F3697" s="32"/>
      <c r="I3697" s="32"/>
    </row>
    <row r="3698" spans="2:9" x14ac:dyDescent="0.25">
      <c r="B3698" s="31"/>
      <c r="F3698" s="32"/>
      <c r="I3698" s="32"/>
    </row>
    <row r="3699" spans="2:9" x14ac:dyDescent="0.25">
      <c r="B3699" s="31"/>
      <c r="F3699" s="32"/>
      <c r="I3699" s="32"/>
    </row>
    <row r="3700" spans="2:9" x14ac:dyDescent="0.25">
      <c r="B3700" s="31"/>
      <c r="F3700" s="32"/>
      <c r="I3700" s="32"/>
    </row>
    <row r="3701" spans="2:9" x14ac:dyDescent="0.25">
      <c r="B3701" s="31"/>
      <c r="F3701" s="32"/>
      <c r="I3701" s="32"/>
    </row>
    <row r="3702" spans="2:9" x14ac:dyDescent="0.25">
      <c r="B3702" s="31"/>
      <c r="F3702" s="32"/>
      <c r="I3702" s="32"/>
    </row>
    <row r="3703" spans="2:9" x14ac:dyDescent="0.25">
      <c r="B3703" s="31"/>
      <c r="F3703" s="32"/>
      <c r="I3703" s="32"/>
    </row>
    <row r="3704" spans="2:9" x14ac:dyDescent="0.25">
      <c r="B3704" s="31"/>
      <c r="F3704" s="32"/>
      <c r="I3704" s="32"/>
    </row>
    <row r="3705" spans="2:9" x14ac:dyDescent="0.25">
      <c r="B3705" s="31"/>
      <c r="F3705" s="32"/>
      <c r="I3705" s="32"/>
    </row>
    <row r="3706" spans="2:9" x14ac:dyDescent="0.25">
      <c r="B3706" s="31"/>
      <c r="F3706" s="32"/>
      <c r="I3706" s="32"/>
    </row>
    <row r="3707" spans="2:9" x14ac:dyDescent="0.25">
      <c r="B3707" s="31"/>
      <c r="F3707" s="32"/>
      <c r="I3707" s="32"/>
    </row>
    <row r="3708" spans="2:9" x14ac:dyDescent="0.25">
      <c r="B3708" s="31"/>
      <c r="F3708" s="32"/>
      <c r="I3708" s="32"/>
    </row>
    <row r="3709" spans="2:9" x14ac:dyDescent="0.25">
      <c r="B3709" s="31"/>
      <c r="F3709" s="32"/>
      <c r="I3709" s="32"/>
    </row>
    <row r="3710" spans="2:9" x14ac:dyDescent="0.25">
      <c r="B3710" s="31"/>
      <c r="F3710" s="32"/>
      <c r="I3710" s="32"/>
    </row>
    <row r="3711" spans="2:9" x14ac:dyDescent="0.25">
      <c r="B3711" s="31"/>
      <c r="F3711" s="32"/>
      <c r="I3711" s="32"/>
    </row>
    <row r="3712" spans="2:9" x14ac:dyDescent="0.25">
      <c r="B3712" s="31"/>
      <c r="F3712" s="32"/>
      <c r="I3712" s="32"/>
    </row>
    <row r="3713" spans="2:9" x14ac:dyDescent="0.25">
      <c r="B3713" s="31"/>
      <c r="F3713" s="32"/>
      <c r="I3713" s="32"/>
    </row>
    <row r="3714" spans="2:9" x14ac:dyDescent="0.25">
      <c r="B3714" s="31"/>
      <c r="F3714" s="32"/>
      <c r="I3714" s="32"/>
    </row>
    <row r="3715" spans="2:9" x14ac:dyDescent="0.25">
      <c r="B3715" s="31"/>
      <c r="F3715" s="32"/>
      <c r="I3715" s="32"/>
    </row>
    <row r="3716" spans="2:9" x14ac:dyDescent="0.25">
      <c r="B3716" s="31"/>
      <c r="F3716" s="32"/>
      <c r="I3716" s="32"/>
    </row>
    <row r="3717" spans="2:9" x14ac:dyDescent="0.25">
      <c r="B3717" s="31"/>
      <c r="F3717" s="32"/>
      <c r="I3717" s="32"/>
    </row>
    <row r="3718" spans="2:9" x14ac:dyDescent="0.25">
      <c r="B3718" s="31"/>
      <c r="F3718" s="32"/>
      <c r="I3718" s="32"/>
    </row>
    <row r="3719" spans="2:9" x14ac:dyDescent="0.25">
      <c r="B3719" s="31"/>
      <c r="F3719" s="32"/>
      <c r="I3719" s="32"/>
    </row>
    <row r="3720" spans="2:9" x14ac:dyDescent="0.25">
      <c r="B3720" s="31"/>
      <c r="F3720" s="32"/>
      <c r="I3720" s="32"/>
    </row>
    <row r="3721" spans="2:9" x14ac:dyDescent="0.25">
      <c r="B3721" s="31"/>
      <c r="F3721" s="32"/>
      <c r="I3721" s="32"/>
    </row>
    <row r="3722" spans="2:9" x14ac:dyDescent="0.25">
      <c r="B3722" s="31"/>
      <c r="F3722" s="32"/>
      <c r="I3722" s="32"/>
    </row>
    <row r="3723" spans="2:9" x14ac:dyDescent="0.25">
      <c r="B3723" s="31"/>
      <c r="F3723" s="32"/>
      <c r="I3723" s="32"/>
    </row>
    <row r="3724" spans="2:9" x14ac:dyDescent="0.25">
      <c r="B3724" s="31"/>
      <c r="F3724" s="32"/>
      <c r="I3724" s="32"/>
    </row>
    <row r="3725" spans="2:9" x14ac:dyDescent="0.25">
      <c r="B3725" s="31"/>
      <c r="F3725" s="32"/>
      <c r="I3725" s="32"/>
    </row>
    <row r="3726" spans="2:9" x14ac:dyDescent="0.25">
      <c r="B3726" s="31"/>
      <c r="F3726" s="32"/>
      <c r="I3726" s="32"/>
    </row>
    <row r="3727" spans="2:9" x14ac:dyDescent="0.25">
      <c r="B3727" s="31"/>
      <c r="F3727" s="32"/>
      <c r="I3727" s="32"/>
    </row>
    <row r="3728" spans="2:9" x14ac:dyDescent="0.25">
      <c r="B3728" s="31"/>
      <c r="F3728" s="32"/>
      <c r="I3728" s="32"/>
    </row>
    <row r="3729" spans="2:9" x14ac:dyDescent="0.25">
      <c r="B3729" s="31"/>
      <c r="F3729" s="32"/>
      <c r="I3729" s="32"/>
    </row>
    <row r="3730" spans="2:9" x14ac:dyDescent="0.25">
      <c r="B3730" s="31"/>
      <c r="F3730" s="32"/>
      <c r="I3730" s="32"/>
    </row>
    <row r="3731" spans="2:9" x14ac:dyDescent="0.25">
      <c r="B3731" s="31"/>
      <c r="F3731" s="32"/>
      <c r="I3731" s="32"/>
    </row>
    <row r="3732" spans="2:9" x14ac:dyDescent="0.25">
      <c r="B3732" s="31"/>
      <c r="F3732" s="32"/>
      <c r="I3732" s="32"/>
    </row>
    <row r="3733" spans="2:9" x14ac:dyDescent="0.25">
      <c r="B3733" s="31"/>
      <c r="F3733" s="32"/>
      <c r="I3733" s="32"/>
    </row>
    <row r="3734" spans="2:9" x14ac:dyDescent="0.25">
      <c r="B3734" s="31"/>
      <c r="F3734" s="32"/>
      <c r="I3734" s="32"/>
    </row>
    <row r="3735" spans="2:9" x14ac:dyDescent="0.25">
      <c r="B3735" s="31"/>
      <c r="F3735" s="32"/>
      <c r="I3735" s="32"/>
    </row>
    <row r="3736" spans="2:9" x14ac:dyDescent="0.25">
      <c r="B3736" s="31"/>
      <c r="F3736" s="32"/>
      <c r="I3736" s="32"/>
    </row>
    <row r="3737" spans="2:9" x14ac:dyDescent="0.25">
      <c r="B3737" s="31"/>
      <c r="F3737" s="32"/>
      <c r="I3737" s="32"/>
    </row>
    <row r="3738" spans="2:9" x14ac:dyDescent="0.25">
      <c r="B3738" s="31"/>
      <c r="F3738" s="32"/>
      <c r="I3738" s="32"/>
    </row>
    <row r="3739" spans="2:9" x14ac:dyDescent="0.25">
      <c r="B3739" s="31"/>
      <c r="F3739" s="32"/>
      <c r="I3739" s="32"/>
    </row>
    <row r="3740" spans="2:9" x14ac:dyDescent="0.25">
      <c r="B3740" s="31"/>
      <c r="F3740" s="32"/>
      <c r="I3740" s="32"/>
    </row>
    <row r="3741" spans="2:9" x14ac:dyDescent="0.25">
      <c r="B3741" s="31"/>
      <c r="F3741" s="32"/>
      <c r="I3741" s="32"/>
    </row>
    <row r="3742" spans="2:9" x14ac:dyDescent="0.25">
      <c r="B3742" s="31"/>
      <c r="F3742" s="32"/>
      <c r="I3742" s="32"/>
    </row>
    <row r="3743" spans="2:9" x14ac:dyDescent="0.25">
      <c r="B3743" s="31"/>
      <c r="F3743" s="32"/>
      <c r="I3743" s="32"/>
    </row>
    <row r="3744" spans="2:9" x14ac:dyDescent="0.25">
      <c r="B3744" s="31"/>
      <c r="F3744" s="32"/>
      <c r="I3744" s="32"/>
    </row>
    <row r="3745" spans="2:9" x14ac:dyDescent="0.25">
      <c r="B3745" s="31"/>
      <c r="F3745" s="32"/>
      <c r="I3745" s="32"/>
    </row>
    <row r="3746" spans="2:9" x14ac:dyDescent="0.25">
      <c r="B3746" s="31"/>
      <c r="F3746" s="32"/>
      <c r="I3746" s="32"/>
    </row>
    <row r="3747" spans="2:9" x14ac:dyDescent="0.25">
      <c r="B3747" s="31"/>
      <c r="F3747" s="32"/>
      <c r="I3747" s="32"/>
    </row>
    <row r="3748" spans="2:9" x14ac:dyDescent="0.25">
      <c r="B3748" s="31"/>
      <c r="F3748" s="32"/>
      <c r="I3748" s="32"/>
    </row>
    <row r="3749" spans="2:9" x14ac:dyDescent="0.25">
      <c r="B3749" s="31"/>
      <c r="F3749" s="32"/>
      <c r="I3749" s="32"/>
    </row>
    <row r="3750" spans="2:9" x14ac:dyDescent="0.25">
      <c r="B3750" s="31"/>
      <c r="F3750" s="32"/>
      <c r="I3750" s="32"/>
    </row>
    <row r="3751" spans="2:9" x14ac:dyDescent="0.25">
      <c r="B3751" s="31"/>
      <c r="F3751" s="32"/>
      <c r="I3751" s="32"/>
    </row>
    <row r="3752" spans="2:9" x14ac:dyDescent="0.25">
      <c r="B3752" s="31"/>
      <c r="F3752" s="32"/>
      <c r="I3752" s="32"/>
    </row>
    <row r="3753" spans="2:9" x14ac:dyDescent="0.25">
      <c r="B3753" s="31"/>
      <c r="F3753" s="32"/>
      <c r="I3753" s="32"/>
    </row>
    <row r="3754" spans="2:9" x14ac:dyDescent="0.25">
      <c r="B3754" s="31"/>
      <c r="F3754" s="32"/>
      <c r="I3754" s="32"/>
    </row>
    <row r="3755" spans="2:9" x14ac:dyDescent="0.25">
      <c r="B3755" s="31"/>
      <c r="F3755" s="32"/>
      <c r="I3755" s="32"/>
    </row>
    <row r="3756" spans="2:9" x14ac:dyDescent="0.25">
      <c r="B3756" s="31"/>
      <c r="F3756" s="32"/>
      <c r="I3756" s="32"/>
    </row>
    <row r="3757" spans="2:9" x14ac:dyDescent="0.25">
      <c r="B3757" s="31"/>
      <c r="F3757" s="32"/>
      <c r="I3757" s="32"/>
    </row>
    <row r="3758" spans="2:9" x14ac:dyDescent="0.25">
      <c r="B3758" s="31"/>
      <c r="F3758" s="32"/>
      <c r="I3758" s="32"/>
    </row>
    <row r="3759" spans="2:9" x14ac:dyDescent="0.25">
      <c r="B3759" s="31"/>
      <c r="F3759" s="32"/>
      <c r="I3759" s="32"/>
    </row>
    <row r="3760" spans="2:9" x14ac:dyDescent="0.25">
      <c r="B3760" s="31"/>
      <c r="F3760" s="32"/>
      <c r="I3760" s="32"/>
    </row>
    <row r="3761" spans="2:9" x14ac:dyDescent="0.25">
      <c r="B3761" s="31"/>
      <c r="F3761" s="32"/>
      <c r="I3761" s="32"/>
    </row>
    <row r="3762" spans="2:9" x14ac:dyDescent="0.25">
      <c r="B3762" s="31"/>
      <c r="F3762" s="32"/>
      <c r="I3762" s="32"/>
    </row>
    <row r="3763" spans="2:9" x14ac:dyDescent="0.25">
      <c r="B3763" s="31"/>
      <c r="F3763" s="32"/>
      <c r="I3763" s="32"/>
    </row>
    <row r="3764" spans="2:9" x14ac:dyDescent="0.25">
      <c r="B3764" s="31"/>
      <c r="F3764" s="32"/>
      <c r="I3764" s="32"/>
    </row>
    <row r="3765" spans="2:9" x14ac:dyDescent="0.25">
      <c r="B3765" s="31"/>
      <c r="F3765" s="32"/>
      <c r="I3765" s="32"/>
    </row>
    <row r="3766" spans="2:9" x14ac:dyDescent="0.25">
      <c r="B3766" s="31"/>
      <c r="F3766" s="32"/>
      <c r="I3766" s="32"/>
    </row>
    <row r="3767" spans="2:9" x14ac:dyDescent="0.25">
      <c r="B3767" s="31"/>
      <c r="F3767" s="32"/>
      <c r="I3767" s="32"/>
    </row>
    <row r="3768" spans="2:9" x14ac:dyDescent="0.25">
      <c r="B3768" s="31"/>
      <c r="F3768" s="32"/>
      <c r="I3768" s="32"/>
    </row>
    <row r="3769" spans="2:9" x14ac:dyDescent="0.25">
      <c r="B3769" s="31"/>
      <c r="F3769" s="32"/>
      <c r="I3769" s="32"/>
    </row>
    <row r="3770" spans="2:9" x14ac:dyDescent="0.25">
      <c r="B3770" s="31"/>
      <c r="F3770" s="32"/>
      <c r="I3770" s="32"/>
    </row>
    <row r="3771" spans="2:9" x14ac:dyDescent="0.25">
      <c r="B3771" s="31"/>
      <c r="F3771" s="32"/>
      <c r="I3771" s="32"/>
    </row>
    <row r="3772" spans="2:9" x14ac:dyDescent="0.25">
      <c r="B3772" s="31"/>
      <c r="F3772" s="32"/>
      <c r="I3772" s="32"/>
    </row>
    <row r="3773" spans="2:9" x14ac:dyDescent="0.25">
      <c r="B3773" s="31"/>
      <c r="F3773" s="32"/>
      <c r="I3773" s="32"/>
    </row>
    <row r="3774" spans="2:9" x14ac:dyDescent="0.25">
      <c r="B3774" s="31"/>
      <c r="F3774" s="32"/>
      <c r="I3774" s="32"/>
    </row>
    <row r="3775" spans="2:9" x14ac:dyDescent="0.25">
      <c r="B3775" s="31"/>
      <c r="F3775" s="32"/>
      <c r="I3775" s="32"/>
    </row>
    <row r="3776" spans="2:9" x14ac:dyDescent="0.25">
      <c r="B3776" s="31"/>
      <c r="F3776" s="32"/>
      <c r="I3776" s="32"/>
    </row>
    <row r="3777" spans="2:9" x14ac:dyDescent="0.25">
      <c r="B3777" s="31"/>
      <c r="F3777" s="32"/>
      <c r="I3777" s="32"/>
    </row>
    <row r="3778" spans="2:9" x14ac:dyDescent="0.25">
      <c r="B3778" s="31"/>
      <c r="F3778" s="32"/>
      <c r="I3778" s="32"/>
    </row>
    <row r="3779" spans="2:9" x14ac:dyDescent="0.25">
      <c r="B3779" s="31"/>
      <c r="F3779" s="32"/>
      <c r="I3779" s="32"/>
    </row>
    <row r="3780" spans="2:9" x14ac:dyDescent="0.25">
      <c r="B3780" s="31"/>
      <c r="F3780" s="32"/>
      <c r="I3780" s="32"/>
    </row>
    <row r="3781" spans="2:9" x14ac:dyDescent="0.25">
      <c r="B3781" s="31"/>
      <c r="F3781" s="32"/>
      <c r="I3781" s="32"/>
    </row>
    <row r="3782" spans="2:9" x14ac:dyDescent="0.25">
      <c r="B3782" s="31"/>
      <c r="F3782" s="32"/>
      <c r="I3782" s="32"/>
    </row>
    <row r="3783" spans="2:9" x14ac:dyDescent="0.25">
      <c r="B3783" s="31"/>
      <c r="F3783" s="32"/>
      <c r="I3783" s="32"/>
    </row>
    <row r="3784" spans="2:9" x14ac:dyDescent="0.25">
      <c r="B3784" s="31"/>
      <c r="F3784" s="32"/>
      <c r="I3784" s="32"/>
    </row>
    <row r="3785" spans="2:9" x14ac:dyDescent="0.25">
      <c r="B3785" s="31"/>
      <c r="F3785" s="32"/>
      <c r="I3785" s="32"/>
    </row>
    <row r="3786" spans="2:9" x14ac:dyDescent="0.25">
      <c r="B3786" s="31"/>
      <c r="F3786" s="32"/>
      <c r="I3786" s="32"/>
    </row>
    <row r="3787" spans="2:9" x14ac:dyDescent="0.25">
      <c r="B3787" s="31"/>
      <c r="F3787" s="32"/>
      <c r="I3787" s="32"/>
    </row>
    <row r="3788" spans="2:9" x14ac:dyDescent="0.25">
      <c r="B3788" s="31"/>
      <c r="F3788" s="32"/>
      <c r="I3788" s="32"/>
    </row>
    <row r="3789" spans="2:9" x14ac:dyDescent="0.25">
      <c r="B3789" s="31"/>
      <c r="F3789" s="32"/>
      <c r="I3789" s="32"/>
    </row>
    <row r="3790" spans="2:9" x14ac:dyDescent="0.25">
      <c r="B3790" s="31"/>
      <c r="F3790" s="32"/>
      <c r="I3790" s="32"/>
    </row>
    <row r="3791" spans="2:9" x14ac:dyDescent="0.25">
      <c r="B3791" s="31"/>
      <c r="F3791" s="32"/>
      <c r="I3791" s="32"/>
    </row>
    <row r="3792" spans="2:9" x14ac:dyDescent="0.25">
      <c r="B3792" s="31"/>
      <c r="F3792" s="32"/>
      <c r="I3792" s="32"/>
    </row>
    <row r="3793" spans="2:9" x14ac:dyDescent="0.25">
      <c r="B3793" s="31"/>
      <c r="F3793" s="32"/>
      <c r="I3793" s="32"/>
    </row>
    <row r="3794" spans="2:9" x14ac:dyDescent="0.25">
      <c r="B3794" s="31"/>
      <c r="F3794" s="32"/>
      <c r="I3794" s="32"/>
    </row>
    <row r="3795" spans="2:9" x14ac:dyDescent="0.25">
      <c r="B3795" s="31"/>
      <c r="F3795" s="32"/>
      <c r="I3795" s="32"/>
    </row>
    <row r="3796" spans="2:9" x14ac:dyDescent="0.25">
      <c r="B3796" s="31"/>
      <c r="F3796" s="32"/>
      <c r="I3796" s="32"/>
    </row>
    <row r="3797" spans="2:9" x14ac:dyDescent="0.25">
      <c r="B3797" s="31"/>
      <c r="F3797" s="32"/>
      <c r="I3797" s="32"/>
    </row>
    <row r="3798" spans="2:9" x14ac:dyDescent="0.25">
      <c r="B3798" s="31"/>
      <c r="F3798" s="32"/>
      <c r="I3798" s="32"/>
    </row>
    <row r="3799" spans="2:9" x14ac:dyDescent="0.25">
      <c r="B3799" s="31"/>
      <c r="F3799" s="32"/>
      <c r="I3799" s="32"/>
    </row>
    <row r="3800" spans="2:9" x14ac:dyDescent="0.25">
      <c r="B3800" s="31"/>
      <c r="F3800" s="32"/>
      <c r="I3800" s="32"/>
    </row>
    <row r="3801" spans="2:9" x14ac:dyDescent="0.25">
      <c r="B3801" s="31"/>
      <c r="F3801" s="32"/>
      <c r="I3801" s="32"/>
    </row>
    <row r="3802" spans="2:9" x14ac:dyDescent="0.25">
      <c r="B3802" s="31"/>
      <c r="F3802" s="32"/>
      <c r="I3802" s="32"/>
    </row>
    <row r="3803" spans="2:9" x14ac:dyDescent="0.25">
      <c r="B3803" s="31"/>
      <c r="F3803" s="32"/>
      <c r="I3803" s="32"/>
    </row>
    <row r="3804" spans="2:9" x14ac:dyDescent="0.25">
      <c r="B3804" s="31"/>
      <c r="F3804" s="32"/>
      <c r="I3804" s="32"/>
    </row>
    <row r="3805" spans="2:9" x14ac:dyDescent="0.25">
      <c r="B3805" s="31"/>
      <c r="F3805" s="32"/>
      <c r="I3805" s="32"/>
    </row>
    <row r="3806" spans="2:9" x14ac:dyDescent="0.25">
      <c r="B3806" s="31"/>
      <c r="F3806" s="32"/>
      <c r="I3806" s="32"/>
    </row>
    <row r="3807" spans="2:9" x14ac:dyDescent="0.25">
      <c r="B3807" s="31"/>
      <c r="F3807" s="32"/>
      <c r="I3807" s="32"/>
    </row>
    <row r="3808" spans="2:9" x14ac:dyDescent="0.25">
      <c r="B3808" s="31"/>
      <c r="F3808" s="32"/>
      <c r="I3808" s="32"/>
    </row>
    <row r="3809" spans="2:9" x14ac:dyDescent="0.25">
      <c r="B3809" s="31"/>
      <c r="F3809" s="32"/>
      <c r="I3809" s="32"/>
    </row>
    <row r="3810" spans="2:9" x14ac:dyDescent="0.25">
      <c r="B3810" s="31"/>
      <c r="F3810" s="32"/>
      <c r="I3810" s="32"/>
    </row>
    <row r="3811" spans="2:9" x14ac:dyDescent="0.25">
      <c r="B3811" s="31"/>
      <c r="F3811" s="32"/>
      <c r="I3811" s="32"/>
    </row>
    <row r="3812" spans="2:9" x14ac:dyDescent="0.25">
      <c r="B3812" s="31"/>
      <c r="F3812" s="32"/>
      <c r="I3812" s="32"/>
    </row>
    <row r="3813" spans="2:9" x14ac:dyDescent="0.25">
      <c r="B3813" s="31"/>
      <c r="F3813" s="32"/>
      <c r="I3813" s="32"/>
    </row>
    <row r="3814" spans="2:9" x14ac:dyDescent="0.25">
      <c r="B3814" s="31"/>
      <c r="F3814" s="32"/>
      <c r="I3814" s="32"/>
    </row>
    <row r="3815" spans="2:9" x14ac:dyDescent="0.25">
      <c r="B3815" s="31"/>
      <c r="F3815" s="32"/>
      <c r="I3815" s="32"/>
    </row>
    <row r="3816" spans="2:9" x14ac:dyDescent="0.25">
      <c r="B3816" s="31"/>
      <c r="F3816" s="32"/>
      <c r="I3816" s="32"/>
    </row>
    <row r="3817" spans="2:9" x14ac:dyDescent="0.25">
      <c r="B3817" s="31"/>
      <c r="F3817" s="32"/>
      <c r="I3817" s="32"/>
    </row>
    <row r="3818" spans="2:9" x14ac:dyDescent="0.25">
      <c r="B3818" s="31"/>
      <c r="F3818" s="32"/>
      <c r="I3818" s="32"/>
    </row>
    <row r="3819" spans="2:9" x14ac:dyDescent="0.25">
      <c r="B3819" s="31"/>
      <c r="F3819" s="32"/>
      <c r="I3819" s="32"/>
    </row>
    <row r="3820" spans="2:9" x14ac:dyDescent="0.25">
      <c r="B3820" s="31"/>
      <c r="F3820" s="32"/>
      <c r="I3820" s="32"/>
    </row>
    <row r="3821" spans="2:9" x14ac:dyDescent="0.25">
      <c r="B3821" s="31"/>
      <c r="F3821" s="32"/>
      <c r="I3821" s="32"/>
    </row>
    <row r="3822" spans="2:9" x14ac:dyDescent="0.25">
      <c r="B3822" s="31"/>
      <c r="F3822" s="32"/>
      <c r="I3822" s="32"/>
    </row>
    <row r="3823" spans="2:9" x14ac:dyDescent="0.25">
      <c r="B3823" s="31"/>
      <c r="F3823" s="32"/>
      <c r="I3823" s="32"/>
    </row>
    <row r="3824" spans="2:9" x14ac:dyDescent="0.25">
      <c r="B3824" s="31"/>
      <c r="F3824" s="32"/>
      <c r="I3824" s="32"/>
    </row>
    <row r="3825" spans="2:9" x14ac:dyDescent="0.25">
      <c r="B3825" s="31"/>
      <c r="F3825" s="32"/>
      <c r="I3825" s="32"/>
    </row>
    <row r="3826" spans="2:9" x14ac:dyDescent="0.25">
      <c r="B3826" s="31"/>
      <c r="F3826" s="32"/>
      <c r="I3826" s="32"/>
    </row>
    <row r="3827" spans="2:9" x14ac:dyDescent="0.25">
      <c r="B3827" s="31"/>
      <c r="F3827" s="32"/>
      <c r="I3827" s="32"/>
    </row>
    <row r="3828" spans="2:9" x14ac:dyDescent="0.25">
      <c r="B3828" s="31"/>
      <c r="F3828" s="32"/>
      <c r="I3828" s="32"/>
    </row>
    <row r="3829" spans="2:9" x14ac:dyDescent="0.25">
      <c r="B3829" s="31"/>
      <c r="F3829" s="32"/>
      <c r="I3829" s="32"/>
    </row>
    <row r="3830" spans="2:9" x14ac:dyDescent="0.25">
      <c r="B3830" s="31"/>
      <c r="F3830" s="32"/>
      <c r="I3830" s="32"/>
    </row>
    <row r="3831" spans="2:9" x14ac:dyDescent="0.25">
      <c r="B3831" s="31"/>
      <c r="F3831" s="32"/>
      <c r="I3831" s="32"/>
    </row>
    <row r="3832" spans="2:9" x14ac:dyDescent="0.25">
      <c r="B3832" s="31"/>
      <c r="F3832" s="32"/>
      <c r="I3832" s="32"/>
    </row>
    <row r="3833" spans="2:9" x14ac:dyDescent="0.25">
      <c r="B3833" s="31"/>
      <c r="F3833" s="32"/>
      <c r="I3833" s="32"/>
    </row>
    <row r="3834" spans="2:9" x14ac:dyDescent="0.25">
      <c r="B3834" s="31"/>
      <c r="F3834" s="32"/>
      <c r="I3834" s="32"/>
    </row>
    <row r="3835" spans="2:9" x14ac:dyDescent="0.25">
      <c r="B3835" s="31"/>
      <c r="F3835" s="32"/>
      <c r="I3835" s="32"/>
    </row>
    <row r="3836" spans="2:9" x14ac:dyDescent="0.25">
      <c r="B3836" s="31"/>
      <c r="F3836" s="32"/>
      <c r="I3836" s="32"/>
    </row>
    <row r="3837" spans="2:9" x14ac:dyDescent="0.25">
      <c r="B3837" s="31"/>
      <c r="F3837" s="32"/>
      <c r="I3837" s="32"/>
    </row>
    <row r="3838" spans="2:9" x14ac:dyDescent="0.25">
      <c r="B3838" s="31"/>
      <c r="F3838" s="32"/>
      <c r="I3838" s="32"/>
    </row>
    <row r="3839" spans="2:9" x14ac:dyDescent="0.25">
      <c r="B3839" s="31"/>
      <c r="F3839" s="32"/>
      <c r="I3839" s="32"/>
    </row>
    <row r="3840" spans="2:9" x14ac:dyDescent="0.25">
      <c r="B3840" s="31"/>
      <c r="F3840" s="32"/>
      <c r="I3840" s="32"/>
    </row>
    <row r="3841" spans="2:9" x14ac:dyDescent="0.25">
      <c r="B3841" s="31"/>
      <c r="F3841" s="32"/>
      <c r="I3841" s="32"/>
    </row>
    <row r="3842" spans="2:9" x14ac:dyDescent="0.25">
      <c r="B3842" s="31"/>
      <c r="F3842" s="32"/>
      <c r="I3842" s="32"/>
    </row>
    <row r="3843" spans="2:9" x14ac:dyDescent="0.25">
      <c r="B3843" s="31"/>
      <c r="F3843" s="32"/>
      <c r="I3843" s="32"/>
    </row>
    <row r="3844" spans="2:9" x14ac:dyDescent="0.25">
      <c r="B3844" s="31"/>
      <c r="F3844" s="32"/>
      <c r="I3844" s="32"/>
    </row>
    <row r="3845" spans="2:9" x14ac:dyDescent="0.25">
      <c r="B3845" s="31"/>
      <c r="F3845" s="32"/>
      <c r="I3845" s="32"/>
    </row>
    <row r="3846" spans="2:9" x14ac:dyDescent="0.25">
      <c r="B3846" s="31"/>
      <c r="F3846" s="32"/>
      <c r="I3846" s="32"/>
    </row>
    <row r="3847" spans="2:9" x14ac:dyDescent="0.25">
      <c r="B3847" s="31"/>
      <c r="F3847" s="32"/>
      <c r="I3847" s="32"/>
    </row>
    <row r="3848" spans="2:9" x14ac:dyDescent="0.25">
      <c r="B3848" s="31"/>
      <c r="F3848" s="32"/>
      <c r="I3848" s="32"/>
    </row>
    <row r="3849" spans="2:9" x14ac:dyDescent="0.25">
      <c r="B3849" s="31"/>
      <c r="F3849" s="32"/>
      <c r="I3849" s="32"/>
    </row>
    <row r="3850" spans="2:9" x14ac:dyDescent="0.25">
      <c r="B3850" s="31"/>
      <c r="F3850" s="32"/>
      <c r="I3850" s="32"/>
    </row>
    <row r="3851" spans="2:9" x14ac:dyDescent="0.25">
      <c r="B3851" s="31"/>
      <c r="F3851" s="32"/>
      <c r="I3851" s="32"/>
    </row>
    <row r="3852" spans="2:9" x14ac:dyDescent="0.25">
      <c r="B3852" s="31"/>
      <c r="F3852" s="32"/>
      <c r="I3852" s="32"/>
    </row>
    <row r="3853" spans="2:9" x14ac:dyDescent="0.25">
      <c r="B3853" s="31"/>
      <c r="F3853" s="32"/>
      <c r="I3853" s="32"/>
    </row>
    <row r="3854" spans="2:9" x14ac:dyDescent="0.25">
      <c r="B3854" s="31"/>
      <c r="F3854" s="32"/>
      <c r="I3854" s="32"/>
    </row>
    <row r="3855" spans="2:9" x14ac:dyDescent="0.25">
      <c r="B3855" s="31"/>
      <c r="F3855" s="32"/>
      <c r="I3855" s="32"/>
    </row>
    <row r="3856" spans="2:9" x14ac:dyDescent="0.25">
      <c r="B3856" s="31"/>
      <c r="F3856" s="32"/>
      <c r="I3856" s="32"/>
    </row>
    <row r="3857" spans="2:9" x14ac:dyDescent="0.25">
      <c r="B3857" s="31"/>
      <c r="F3857" s="32"/>
      <c r="I3857" s="32"/>
    </row>
    <row r="3858" spans="2:9" x14ac:dyDescent="0.25">
      <c r="B3858" s="31"/>
      <c r="F3858" s="32"/>
      <c r="I3858" s="32"/>
    </row>
    <row r="3859" spans="2:9" x14ac:dyDescent="0.25">
      <c r="B3859" s="31"/>
      <c r="F3859" s="32"/>
      <c r="I3859" s="32"/>
    </row>
    <row r="3860" spans="2:9" x14ac:dyDescent="0.25">
      <c r="B3860" s="31"/>
      <c r="F3860" s="32"/>
      <c r="I3860" s="32"/>
    </row>
    <row r="3861" spans="2:9" x14ac:dyDescent="0.25">
      <c r="B3861" s="31"/>
      <c r="F3861" s="32"/>
      <c r="I3861" s="32"/>
    </row>
    <row r="3862" spans="2:9" x14ac:dyDescent="0.25">
      <c r="B3862" s="31"/>
      <c r="F3862" s="32"/>
      <c r="I3862" s="32"/>
    </row>
    <row r="3863" spans="2:9" x14ac:dyDescent="0.25">
      <c r="B3863" s="31"/>
      <c r="F3863" s="32"/>
      <c r="I3863" s="32"/>
    </row>
    <row r="3864" spans="2:9" x14ac:dyDescent="0.25">
      <c r="B3864" s="31"/>
      <c r="F3864" s="32"/>
      <c r="I3864" s="32"/>
    </row>
    <row r="3865" spans="2:9" x14ac:dyDescent="0.25">
      <c r="B3865" s="31"/>
      <c r="F3865" s="32"/>
      <c r="I3865" s="32"/>
    </row>
    <row r="3866" spans="2:9" x14ac:dyDescent="0.25">
      <c r="B3866" s="31"/>
      <c r="F3866" s="32"/>
      <c r="I3866" s="32"/>
    </row>
    <row r="3867" spans="2:9" x14ac:dyDescent="0.25">
      <c r="B3867" s="31"/>
      <c r="F3867" s="32"/>
      <c r="I3867" s="32"/>
    </row>
    <row r="3868" spans="2:9" x14ac:dyDescent="0.25">
      <c r="B3868" s="31"/>
      <c r="F3868" s="32"/>
      <c r="I3868" s="32"/>
    </row>
    <row r="3869" spans="2:9" x14ac:dyDescent="0.25">
      <c r="B3869" s="31"/>
      <c r="F3869" s="32"/>
      <c r="I3869" s="32"/>
    </row>
    <row r="3870" spans="2:9" x14ac:dyDescent="0.25">
      <c r="B3870" s="31"/>
      <c r="F3870" s="32"/>
      <c r="I3870" s="32"/>
    </row>
    <row r="3871" spans="2:9" x14ac:dyDescent="0.25">
      <c r="B3871" s="31"/>
      <c r="F3871" s="32"/>
      <c r="I3871" s="32"/>
    </row>
    <row r="3872" spans="2:9" x14ac:dyDescent="0.25">
      <c r="B3872" s="31"/>
      <c r="F3872" s="32"/>
      <c r="I3872" s="32"/>
    </row>
    <row r="3873" spans="2:9" x14ac:dyDescent="0.25">
      <c r="B3873" s="31"/>
      <c r="F3873" s="32"/>
      <c r="I3873" s="32"/>
    </row>
    <row r="3874" spans="2:9" x14ac:dyDescent="0.25">
      <c r="B3874" s="31"/>
      <c r="F3874" s="32"/>
      <c r="I3874" s="32"/>
    </row>
    <row r="3875" spans="2:9" x14ac:dyDescent="0.25">
      <c r="B3875" s="31"/>
      <c r="F3875" s="32"/>
      <c r="I3875" s="32"/>
    </row>
    <row r="3876" spans="2:9" x14ac:dyDescent="0.25">
      <c r="B3876" s="31"/>
      <c r="F3876" s="32"/>
      <c r="I3876" s="32"/>
    </row>
    <row r="3877" spans="2:9" x14ac:dyDescent="0.25">
      <c r="B3877" s="31"/>
      <c r="F3877" s="32"/>
      <c r="I3877" s="32"/>
    </row>
    <row r="3878" spans="2:9" x14ac:dyDescent="0.25">
      <c r="B3878" s="31"/>
      <c r="F3878" s="32"/>
      <c r="I3878" s="32"/>
    </row>
    <row r="3879" spans="2:9" x14ac:dyDescent="0.25">
      <c r="B3879" s="31"/>
      <c r="F3879" s="32"/>
      <c r="I3879" s="32"/>
    </row>
    <row r="3880" spans="2:9" x14ac:dyDescent="0.25">
      <c r="B3880" s="31"/>
      <c r="F3880" s="32"/>
      <c r="I3880" s="32"/>
    </row>
    <row r="3881" spans="2:9" x14ac:dyDescent="0.25">
      <c r="B3881" s="31"/>
      <c r="F3881" s="32"/>
      <c r="I3881" s="32"/>
    </row>
    <row r="3882" spans="2:9" x14ac:dyDescent="0.25">
      <c r="B3882" s="31"/>
      <c r="F3882" s="32"/>
      <c r="I3882" s="32"/>
    </row>
    <row r="3883" spans="2:9" x14ac:dyDescent="0.25">
      <c r="B3883" s="31"/>
      <c r="F3883" s="32"/>
      <c r="I3883" s="32"/>
    </row>
    <row r="3884" spans="2:9" x14ac:dyDescent="0.25">
      <c r="B3884" s="31"/>
      <c r="F3884" s="32"/>
      <c r="I3884" s="32"/>
    </row>
    <row r="3885" spans="2:9" x14ac:dyDescent="0.25">
      <c r="B3885" s="31"/>
      <c r="F3885" s="32"/>
      <c r="I3885" s="32"/>
    </row>
    <row r="3886" spans="2:9" x14ac:dyDescent="0.25">
      <c r="B3886" s="31"/>
      <c r="F3886" s="32"/>
      <c r="I3886" s="32"/>
    </row>
    <row r="3887" spans="2:9" x14ac:dyDescent="0.25">
      <c r="B3887" s="31"/>
      <c r="F3887" s="32"/>
      <c r="I3887" s="32"/>
    </row>
    <row r="3888" spans="2:9" x14ac:dyDescent="0.25">
      <c r="B3888" s="31"/>
      <c r="F3888" s="32"/>
      <c r="I3888" s="32"/>
    </row>
    <row r="3889" spans="2:9" x14ac:dyDescent="0.25">
      <c r="B3889" s="31"/>
      <c r="F3889" s="32"/>
      <c r="I3889" s="32"/>
    </row>
    <row r="3890" spans="2:9" x14ac:dyDescent="0.25">
      <c r="B3890" s="31"/>
      <c r="F3890" s="32"/>
      <c r="I3890" s="32"/>
    </row>
    <row r="3891" spans="2:9" x14ac:dyDescent="0.25">
      <c r="B3891" s="31"/>
      <c r="F3891" s="32"/>
      <c r="I3891" s="32"/>
    </row>
    <row r="3892" spans="2:9" x14ac:dyDescent="0.25">
      <c r="B3892" s="31"/>
      <c r="F3892" s="32"/>
      <c r="I3892" s="32"/>
    </row>
    <row r="3893" spans="2:9" x14ac:dyDescent="0.25">
      <c r="B3893" s="31"/>
      <c r="F3893" s="32"/>
      <c r="I3893" s="32"/>
    </row>
    <row r="3894" spans="2:9" x14ac:dyDescent="0.25">
      <c r="B3894" s="31"/>
      <c r="F3894" s="32"/>
      <c r="I3894" s="32"/>
    </row>
    <row r="3895" spans="2:9" x14ac:dyDescent="0.25">
      <c r="B3895" s="31"/>
      <c r="F3895" s="32"/>
      <c r="I3895" s="32"/>
    </row>
    <row r="3896" spans="2:9" x14ac:dyDescent="0.25">
      <c r="B3896" s="31"/>
      <c r="F3896" s="32"/>
      <c r="I3896" s="32"/>
    </row>
    <row r="3897" spans="2:9" x14ac:dyDescent="0.25">
      <c r="B3897" s="31"/>
      <c r="F3897" s="32"/>
      <c r="I3897" s="32"/>
    </row>
    <row r="3898" spans="2:9" x14ac:dyDescent="0.25">
      <c r="B3898" s="31"/>
      <c r="F3898" s="32"/>
      <c r="I3898" s="32"/>
    </row>
    <row r="3899" spans="2:9" x14ac:dyDescent="0.25">
      <c r="B3899" s="31"/>
      <c r="F3899" s="32"/>
      <c r="I3899" s="32"/>
    </row>
    <row r="3900" spans="2:9" x14ac:dyDescent="0.25">
      <c r="B3900" s="31"/>
      <c r="F3900" s="32"/>
      <c r="I3900" s="32"/>
    </row>
    <row r="3901" spans="2:9" x14ac:dyDescent="0.25">
      <c r="B3901" s="31"/>
      <c r="F3901" s="32"/>
      <c r="I3901" s="32"/>
    </row>
    <row r="3902" spans="2:9" x14ac:dyDescent="0.25">
      <c r="B3902" s="31"/>
      <c r="F3902" s="32"/>
      <c r="I3902" s="32"/>
    </row>
    <row r="3903" spans="2:9" x14ac:dyDescent="0.25">
      <c r="B3903" s="31"/>
      <c r="F3903" s="32"/>
      <c r="I3903" s="32"/>
    </row>
    <row r="3904" spans="2:9" x14ac:dyDescent="0.25">
      <c r="B3904" s="31"/>
      <c r="F3904" s="32"/>
      <c r="I3904" s="32"/>
    </row>
    <row r="3905" spans="2:9" x14ac:dyDescent="0.25">
      <c r="B3905" s="31"/>
      <c r="F3905" s="32"/>
      <c r="I3905" s="32"/>
    </row>
    <row r="3906" spans="2:9" x14ac:dyDescent="0.25">
      <c r="B3906" s="31"/>
      <c r="F3906" s="32"/>
      <c r="I3906" s="32"/>
    </row>
    <row r="3907" spans="2:9" x14ac:dyDescent="0.25">
      <c r="B3907" s="31"/>
      <c r="F3907" s="32"/>
      <c r="I3907" s="32"/>
    </row>
    <row r="3908" spans="2:9" x14ac:dyDescent="0.25">
      <c r="B3908" s="31"/>
      <c r="F3908" s="32"/>
      <c r="I3908" s="32"/>
    </row>
    <row r="3909" spans="2:9" x14ac:dyDescent="0.25">
      <c r="B3909" s="31"/>
      <c r="F3909" s="32"/>
      <c r="I3909" s="32"/>
    </row>
    <row r="3910" spans="2:9" x14ac:dyDescent="0.25">
      <c r="B3910" s="31"/>
      <c r="F3910" s="32"/>
      <c r="I3910" s="32"/>
    </row>
    <row r="3911" spans="2:9" x14ac:dyDescent="0.25">
      <c r="B3911" s="31"/>
      <c r="F3911" s="32"/>
      <c r="I3911" s="32"/>
    </row>
    <row r="3912" spans="2:9" x14ac:dyDescent="0.25">
      <c r="B3912" s="31"/>
      <c r="F3912" s="32"/>
      <c r="I3912" s="32"/>
    </row>
    <row r="3913" spans="2:9" x14ac:dyDescent="0.25">
      <c r="B3913" s="31"/>
      <c r="F3913" s="32"/>
      <c r="I3913" s="32"/>
    </row>
    <row r="3914" spans="2:9" x14ac:dyDescent="0.25">
      <c r="B3914" s="31"/>
      <c r="F3914" s="32"/>
      <c r="I3914" s="32"/>
    </row>
    <row r="3915" spans="2:9" x14ac:dyDescent="0.25">
      <c r="B3915" s="31"/>
      <c r="F3915" s="32"/>
      <c r="I3915" s="32"/>
    </row>
    <row r="3916" spans="2:9" x14ac:dyDescent="0.25">
      <c r="B3916" s="31"/>
      <c r="F3916" s="32"/>
      <c r="I3916" s="32"/>
    </row>
    <row r="3917" spans="2:9" x14ac:dyDescent="0.25">
      <c r="B3917" s="31"/>
      <c r="F3917" s="32"/>
      <c r="I3917" s="32"/>
    </row>
    <row r="3918" spans="2:9" x14ac:dyDescent="0.25">
      <c r="B3918" s="31"/>
      <c r="F3918" s="32"/>
      <c r="I3918" s="32"/>
    </row>
    <row r="3919" spans="2:9" x14ac:dyDescent="0.25">
      <c r="B3919" s="31"/>
      <c r="F3919" s="32"/>
      <c r="I3919" s="32"/>
    </row>
    <row r="3920" spans="2:9" x14ac:dyDescent="0.25">
      <c r="B3920" s="31"/>
      <c r="F3920" s="32"/>
      <c r="I3920" s="32"/>
    </row>
    <row r="3921" spans="2:9" x14ac:dyDescent="0.25">
      <c r="B3921" s="31"/>
      <c r="F3921" s="32"/>
      <c r="I3921" s="32"/>
    </row>
    <row r="3922" spans="2:9" x14ac:dyDescent="0.25">
      <c r="B3922" s="31"/>
      <c r="F3922" s="32"/>
      <c r="I3922" s="32"/>
    </row>
    <row r="3923" spans="2:9" x14ac:dyDescent="0.25">
      <c r="B3923" s="31"/>
      <c r="F3923" s="32"/>
      <c r="I3923" s="32"/>
    </row>
    <row r="3924" spans="2:9" x14ac:dyDescent="0.25">
      <c r="B3924" s="31"/>
      <c r="F3924" s="32"/>
      <c r="I3924" s="32"/>
    </row>
    <row r="3925" spans="2:9" x14ac:dyDescent="0.25">
      <c r="B3925" s="31"/>
      <c r="F3925" s="32"/>
      <c r="I3925" s="32"/>
    </row>
    <row r="3926" spans="2:9" x14ac:dyDescent="0.25">
      <c r="B3926" s="31"/>
      <c r="F3926" s="32"/>
      <c r="I3926" s="32"/>
    </row>
    <row r="3927" spans="2:9" x14ac:dyDescent="0.25">
      <c r="B3927" s="31"/>
      <c r="F3927" s="32"/>
      <c r="I3927" s="32"/>
    </row>
    <row r="3928" spans="2:9" x14ac:dyDescent="0.25">
      <c r="B3928" s="31"/>
      <c r="F3928" s="32"/>
      <c r="I3928" s="32"/>
    </row>
    <row r="3929" spans="2:9" x14ac:dyDescent="0.25">
      <c r="B3929" s="31"/>
      <c r="F3929" s="32"/>
      <c r="I3929" s="32"/>
    </row>
    <row r="3930" spans="2:9" x14ac:dyDescent="0.25">
      <c r="B3930" s="31"/>
      <c r="F3930" s="32"/>
      <c r="I3930" s="32"/>
    </row>
    <row r="3931" spans="2:9" x14ac:dyDescent="0.25">
      <c r="B3931" s="31"/>
      <c r="F3931" s="32"/>
      <c r="I3931" s="32"/>
    </row>
    <row r="3932" spans="2:9" x14ac:dyDescent="0.25">
      <c r="B3932" s="31"/>
      <c r="F3932" s="32"/>
      <c r="I3932" s="32"/>
    </row>
    <row r="3933" spans="2:9" x14ac:dyDescent="0.25">
      <c r="B3933" s="31"/>
      <c r="F3933" s="32"/>
      <c r="I3933" s="32"/>
    </row>
    <row r="3934" spans="2:9" x14ac:dyDescent="0.25">
      <c r="B3934" s="31"/>
      <c r="F3934" s="32"/>
      <c r="I3934" s="32"/>
    </row>
    <row r="3935" spans="2:9" x14ac:dyDescent="0.25">
      <c r="B3935" s="31"/>
      <c r="F3935" s="32"/>
      <c r="I3935" s="32"/>
    </row>
    <row r="3936" spans="2:9" x14ac:dyDescent="0.25">
      <c r="B3936" s="31"/>
      <c r="F3936" s="32"/>
      <c r="I3936" s="32"/>
    </row>
    <row r="3937" spans="2:9" x14ac:dyDescent="0.25">
      <c r="B3937" s="31"/>
      <c r="F3937" s="32"/>
      <c r="I3937" s="32"/>
    </row>
    <row r="3938" spans="2:9" x14ac:dyDescent="0.25">
      <c r="B3938" s="31"/>
      <c r="F3938" s="32"/>
      <c r="I3938" s="32"/>
    </row>
    <row r="3939" spans="2:9" x14ac:dyDescent="0.25">
      <c r="B3939" s="31"/>
      <c r="F3939" s="32"/>
      <c r="I3939" s="32"/>
    </row>
    <row r="3940" spans="2:9" x14ac:dyDescent="0.25">
      <c r="B3940" s="31"/>
      <c r="F3940" s="32"/>
      <c r="I3940" s="32"/>
    </row>
    <row r="3941" spans="2:9" x14ac:dyDescent="0.25">
      <c r="B3941" s="31"/>
      <c r="F3941" s="32"/>
      <c r="I3941" s="32"/>
    </row>
    <row r="3942" spans="2:9" x14ac:dyDescent="0.25">
      <c r="B3942" s="31"/>
      <c r="F3942" s="32"/>
      <c r="I3942" s="32"/>
    </row>
    <row r="3943" spans="2:9" x14ac:dyDescent="0.25">
      <c r="B3943" s="31"/>
      <c r="F3943" s="32"/>
      <c r="I3943" s="32"/>
    </row>
    <row r="3944" spans="2:9" x14ac:dyDescent="0.25">
      <c r="B3944" s="31"/>
      <c r="F3944" s="32"/>
      <c r="I3944" s="32"/>
    </row>
    <row r="3945" spans="2:9" x14ac:dyDescent="0.25">
      <c r="B3945" s="31"/>
      <c r="F3945" s="32"/>
      <c r="I3945" s="32"/>
    </row>
    <row r="3946" spans="2:9" x14ac:dyDescent="0.25">
      <c r="B3946" s="31"/>
      <c r="F3946" s="32"/>
      <c r="I3946" s="32"/>
    </row>
    <row r="3947" spans="2:9" x14ac:dyDescent="0.25">
      <c r="B3947" s="31"/>
      <c r="F3947" s="32"/>
      <c r="I3947" s="32"/>
    </row>
    <row r="3948" spans="2:9" x14ac:dyDescent="0.25">
      <c r="B3948" s="31"/>
      <c r="F3948" s="32"/>
      <c r="I3948" s="32"/>
    </row>
    <row r="3949" spans="2:9" x14ac:dyDescent="0.25">
      <c r="B3949" s="31"/>
      <c r="F3949" s="32"/>
      <c r="I3949" s="32"/>
    </row>
    <row r="3950" spans="2:9" x14ac:dyDescent="0.25">
      <c r="B3950" s="31"/>
      <c r="F3950" s="32"/>
      <c r="I3950" s="32"/>
    </row>
    <row r="3951" spans="2:9" x14ac:dyDescent="0.25">
      <c r="B3951" s="31"/>
      <c r="F3951" s="32"/>
      <c r="I3951" s="32"/>
    </row>
    <row r="3952" spans="2:9" x14ac:dyDescent="0.25">
      <c r="B3952" s="31"/>
      <c r="F3952" s="32"/>
      <c r="I3952" s="32"/>
    </row>
    <row r="3953" spans="2:9" x14ac:dyDescent="0.25">
      <c r="B3953" s="31"/>
      <c r="F3953" s="32"/>
      <c r="I3953" s="32"/>
    </row>
    <row r="3954" spans="2:9" x14ac:dyDescent="0.25">
      <c r="B3954" s="31"/>
      <c r="F3954" s="32"/>
      <c r="I3954" s="32"/>
    </row>
    <row r="3955" spans="2:9" x14ac:dyDescent="0.25">
      <c r="B3955" s="31"/>
      <c r="F3955" s="32"/>
      <c r="I3955" s="32"/>
    </row>
    <row r="3956" spans="2:9" x14ac:dyDescent="0.25">
      <c r="B3956" s="31"/>
      <c r="F3956" s="32"/>
      <c r="I3956" s="32"/>
    </row>
    <row r="3957" spans="2:9" x14ac:dyDescent="0.25">
      <c r="B3957" s="31"/>
      <c r="F3957" s="32"/>
      <c r="I3957" s="32"/>
    </row>
    <row r="3958" spans="2:9" x14ac:dyDescent="0.25">
      <c r="B3958" s="31"/>
      <c r="F3958" s="32"/>
      <c r="I3958" s="32"/>
    </row>
    <row r="3959" spans="2:9" x14ac:dyDescent="0.25">
      <c r="B3959" s="31"/>
      <c r="F3959" s="32"/>
      <c r="I3959" s="32"/>
    </row>
    <row r="3960" spans="2:9" x14ac:dyDescent="0.25">
      <c r="B3960" s="31"/>
      <c r="F3960" s="32"/>
      <c r="I3960" s="32"/>
    </row>
    <row r="3961" spans="2:9" x14ac:dyDescent="0.25">
      <c r="B3961" s="31"/>
      <c r="F3961" s="32"/>
      <c r="I3961" s="32"/>
    </row>
    <row r="3962" spans="2:9" x14ac:dyDescent="0.25">
      <c r="B3962" s="31"/>
      <c r="F3962" s="32"/>
      <c r="I3962" s="32"/>
    </row>
    <row r="3963" spans="2:9" x14ac:dyDescent="0.25">
      <c r="B3963" s="31"/>
      <c r="F3963" s="32"/>
      <c r="I3963" s="32"/>
    </row>
    <row r="3964" spans="2:9" x14ac:dyDescent="0.25">
      <c r="B3964" s="31"/>
      <c r="F3964" s="32"/>
      <c r="I3964" s="32"/>
    </row>
    <row r="3965" spans="2:9" x14ac:dyDescent="0.25">
      <c r="B3965" s="31"/>
      <c r="F3965" s="32"/>
      <c r="I3965" s="32"/>
    </row>
    <row r="3966" spans="2:9" x14ac:dyDescent="0.25">
      <c r="B3966" s="31"/>
      <c r="F3966" s="32"/>
      <c r="I3966" s="32"/>
    </row>
    <row r="3967" spans="2:9" x14ac:dyDescent="0.25">
      <c r="B3967" s="31"/>
      <c r="F3967" s="32"/>
      <c r="I3967" s="32"/>
    </row>
    <row r="3968" spans="2:9" x14ac:dyDescent="0.25">
      <c r="B3968" s="31"/>
      <c r="F3968" s="32"/>
      <c r="I3968" s="32"/>
    </row>
    <row r="3969" spans="2:9" x14ac:dyDescent="0.25">
      <c r="B3969" s="31"/>
      <c r="F3969" s="32"/>
      <c r="I3969" s="32"/>
    </row>
    <row r="3970" spans="2:9" x14ac:dyDescent="0.25">
      <c r="B3970" s="31"/>
      <c r="F3970" s="32"/>
      <c r="I3970" s="32"/>
    </row>
    <row r="3971" spans="2:9" x14ac:dyDescent="0.25">
      <c r="B3971" s="31"/>
      <c r="F3971" s="32"/>
      <c r="I3971" s="32"/>
    </row>
    <row r="3972" spans="2:9" x14ac:dyDescent="0.25">
      <c r="B3972" s="31"/>
      <c r="F3972" s="32"/>
      <c r="I3972" s="32"/>
    </row>
    <row r="3973" spans="2:9" x14ac:dyDescent="0.25">
      <c r="B3973" s="31"/>
      <c r="F3973" s="32"/>
      <c r="I3973" s="32"/>
    </row>
    <row r="3974" spans="2:9" x14ac:dyDescent="0.25">
      <c r="B3974" s="31"/>
      <c r="F3974" s="32"/>
      <c r="I3974" s="32"/>
    </row>
    <row r="3975" spans="2:9" x14ac:dyDescent="0.25">
      <c r="B3975" s="31"/>
      <c r="F3975" s="32"/>
      <c r="I3975" s="32"/>
    </row>
    <row r="3976" spans="2:9" x14ac:dyDescent="0.25">
      <c r="B3976" s="31"/>
      <c r="F3976" s="32"/>
      <c r="I3976" s="32"/>
    </row>
    <row r="3977" spans="2:9" x14ac:dyDescent="0.25">
      <c r="B3977" s="31"/>
      <c r="F3977" s="32"/>
      <c r="I3977" s="32"/>
    </row>
    <row r="3978" spans="2:9" x14ac:dyDescent="0.25">
      <c r="B3978" s="31"/>
      <c r="F3978" s="32"/>
      <c r="I3978" s="32"/>
    </row>
    <row r="3979" spans="2:9" x14ac:dyDescent="0.25">
      <c r="B3979" s="31"/>
      <c r="F3979" s="32"/>
      <c r="I3979" s="32"/>
    </row>
    <row r="3980" spans="2:9" x14ac:dyDescent="0.25">
      <c r="B3980" s="31"/>
      <c r="F3980" s="32"/>
      <c r="I3980" s="32"/>
    </row>
    <row r="3981" spans="2:9" x14ac:dyDescent="0.25">
      <c r="B3981" s="31"/>
      <c r="F3981" s="32"/>
      <c r="I3981" s="32"/>
    </row>
    <row r="3982" spans="2:9" x14ac:dyDescent="0.25">
      <c r="B3982" s="31"/>
      <c r="F3982" s="32"/>
      <c r="I3982" s="32"/>
    </row>
    <row r="3983" spans="2:9" x14ac:dyDescent="0.25">
      <c r="B3983" s="31"/>
      <c r="F3983" s="32"/>
      <c r="I3983" s="32"/>
    </row>
    <row r="3984" spans="2:9" x14ac:dyDescent="0.25">
      <c r="B3984" s="31"/>
      <c r="F3984" s="32"/>
      <c r="I3984" s="32"/>
    </row>
    <row r="3985" spans="2:9" x14ac:dyDescent="0.25">
      <c r="B3985" s="31"/>
      <c r="F3985" s="32"/>
      <c r="I3985" s="32"/>
    </row>
    <row r="3986" spans="2:9" x14ac:dyDescent="0.25">
      <c r="B3986" s="31"/>
      <c r="F3986" s="32"/>
      <c r="I3986" s="32"/>
    </row>
    <row r="3987" spans="2:9" x14ac:dyDescent="0.25">
      <c r="B3987" s="31"/>
      <c r="F3987" s="32"/>
      <c r="I3987" s="32"/>
    </row>
    <row r="3988" spans="2:9" x14ac:dyDescent="0.25">
      <c r="B3988" s="31"/>
      <c r="F3988" s="32"/>
      <c r="I3988" s="32"/>
    </row>
    <row r="3989" spans="2:9" x14ac:dyDescent="0.25">
      <c r="B3989" s="31"/>
      <c r="F3989" s="32"/>
      <c r="I3989" s="32"/>
    </row>
    <row r="3990" spans="2:9" x14ac:dyDescent="0.25">
      <c r="B3990" s="31"/>
      <c r="F3990" s="32"/>
      <c r="I3990" s="32"/>
    </row>
    <row r="3991" spans="2:9" x14ac:dyDescent="0.25">
      <c r="B3991" s="31"/>
      <c r="F3991" s="32"/>
      <c r="I3991" s="32"/>
    </row>
    <row r="3992" spans="2:9" x14ac:dyDescent="0.25">
      <c r="B3992" s="31"/>
      <c r="F3992" s="32"/>
      <c r="I3992" s="32"/>
    </row>
    <row r="3993" spans="2:9" x14ac:dyDescent="0.25">
      <c r="B3993" s="31"/>
      <c r="F3993" s="32"/>
      <c r="I3993" s="32"/>
    </row>
    <row r="3994" spans="2:9" x14ac:dyDescent="0.25">
      <c r="B3994" s="31"/>
      <c r="F3994" s="32"/>
      <c r="I3994" s="32"/>
    </row>
    <row r="3995" spans="2:9" x14ac:dyDescent="0.25">
      <c r="B3995" s="31"/>
      <c r="F3995" s="32"/>
      <c r="I3995" s="32"/>
    </row>
    <row r="3996" spans="2:9" x14ac:dyDescent="0.25">
      <c r="B3996" s="31"/>
      <c r="F3996" s="32"/>
      <c r="I3996" s="32"/>
    </row>
    <row r="3997" spans="2:9" x14ac:dyDescent="0.25">
      <c r="B3997" s="31"/>
      <c r="F3997" s="32"/>
      <c r="I3997" s="32"/>
    </row>
    <row r="3998" spans="2:9" x14ac:dyDescent="0.25">
      <c r="B3998" s="31"/>
      <c r="F3998" s="32"/>
      <c r="I3998" s="32"/>
    </row>
    <row r="3999" spans="2:9" x14ac:dyDescent="0.25">
      <c r="B3999" s="31"/>
      <c r="F3999" s="32"/>
      <c r="I3999" s="32"/>
    </row>
    <row r="4000" spans="2:9" x14ac:dyDescent="0.25">
      <c r="B4000" s="31"/>
      <c r="F4000" s="32"/>
      <c r="I4000" s="32"/>
    </row>
    <row r="4001" spans="2:9" x14ac:dyDescent="0.25">
      <c r="B4001" s="31"/>
      <c r="F4001" s="32"/>
      <c r="I4001" s="32"/>
    </row>
    <row r="4002" spans="2:9" x14ac:dyDescent="0.25">
      <c r="B4002" s="31"/>
      <c r="F4002" s="32"/>
      <c r="I4002" s="32"/>
    </row>
    <row r="4003" spans="2:9" x14ac:dyDescent="0.25">
      <c r="B4003" s="31"/>
      <c r="F4003" s="32"/>
      <c r="I4003" s="32"/>
    </row>
    <row r="4004" spans="2:9" x14ac:dyDescent="0.25">
      <c r="B4004" s="31"/>
      <c r="F4004" s="32"/>
      <c r="I4004" s="32"/>
    </row>
    <row r="4005" spans="2:9" x14ac:dyDescent="0.25">
      <c r="B4005" s="31"/>
      <c r="F4005" s="32"/>
      <c r="I4005" s="32"/>
    </row>
    <row r="4006" spans="2:9" x14ac:dyDescent="0.25">
      <c r="B4006" s="31"/>
      <c r="F4006" s="32"/>
      <c r="I4006" s="32"/>
    </row>
    <row r="4007" spans="2:9" x14ac:dyDescent="0.25">
      <c r="B4007" s="31"/>
      <c r="F4007" s="32"/>
      <c r="I4007" s="32"/>
    </row>
    <row r="4008" spans="2:9" x14ac:dyDescent="0.25">
      <c r="B4008" s="31"/>
      <c r="F4008" s="32"/>
      <c r="I4008" s="32"/>
    </row>
    <row r="4009" spans="2:9" x14ac:dyDescent="0.25">
      <c r="B4009" s="31"/>
      <c r="F4009" s="32"/>
      <c r="I4009" s="32"/>
    </row>
    <row r="4010" spans="2:9" x14ac:dyDescent="0.25">
      <c r="B4010" s="31"/>
      <c r="F4010" s="32"/>
      <c r="I4010" s="32"/>
    </row>
    <row r="4011" spans="2:9" x14ac:dyDescent="0.25">
      <c r="B4011" s="31"/>
      <c r="F4011" s="32"/>
      <c r="I4011" s="32"/>
    </row>
    <row r="4012" spans="2:9" x14ac:dyDescent="0.25">
      <c r="B4012" s="31"/>
      <c r="F4012" s="32"/>
      <c r="I4012" s="32"/>
    </row>
    <row r="4013" spans="2:9" x14ac:dyDescent="0.25">
      <c r="B4013" s="31"/>
      <c r="F4013" s="32"/>
      <c r="I4013" s="32"/>
    </row>
    <row r="4014" spans="2:9" x14ac:dyDescent="0.25">
      <c r="B4014" s="31"/>
      <c r="F4014" s="32"/>
      <c r="I4014" s="32"/>
    </row>
    <row r="4015" spans="2:9" x14ac:dyDescent="0.25">
      <c r="B4015" s="31"/>
      <c r="F4015" s="32"/>
      <c r="I4015" s="32"/>
    </row>
    <row r="4016" spans="2:9" x14ac:dyDescent="0.25">
      <c r="B4016" s="31"/>
      <c r="F4016" s="32"/>
      <c r="I4016" s="32"/>
    </row>
    <row r="4017" spans="2:9" x14ac:dyDescent="0.25">
      <c r="B4017" s="31"/>
      <c r="F4017" s="32"/>
      <c r="I4017" s="32"/>
    </row>
    <row r="4018" spans="2:9" x14ac:dyDescent="0.25">
      <c r="B4018" s="31"/>
      <c r="F4018" s="32"/>
      <c r="I4018" s="32"/>
    </row>
    <row r="4019" spans="2:9" x14ac:dyDescent="0.25">
      <c r="B4019" s="31"/>
      <c r="F4019" s="32"/>
      <c r="I4019" s="32"/>
    </row>
    <row r="4020" spans="2:9" x14ac:dyDescent="0.25">
      <c r="B4020" s="31"/>
      <c r="F4020" s="32"/>
      <c r="I4020" s="32"/>
    </row>
    <row r="4021" spans="2:9" x14ac:dyDescent="0.25">
      <c r="B4021" s="31"/>
      <c r="F4021" s="32"/>
      <c r="I4021" s="32"/>
    </row>
    <row r="4022" spans="2:9" x14ac:dyDescent="0.25">
      <c r="B4022" s="31"/>
      <c r="F4022" s="32"/>
      <c r="I4022" s="32"/>
    </row>
    <row r="4023" spans="2:9" x14ac:dyDescent="0.25">
      <c r="B4023" s="31"/>
      <c r="F4023" s="32"/>
      <c r="I4023" s="32"/>
    </row>
    <row r="4024" spans="2:9" x14ac:dyDescent="0.25">
      <c r="B4024" s="31"/>
      <c r="F4024" s="32"/>
      <c r="I4024" s="32"/>
    </row>
    <row r="4025" spans="2:9" x14ac:dyDescent="0.25">
      <c r="B4025" s="31"/>
      <c r="F4025" s="32"/>
      <c r="I4025" s="32"/>
    </row>
    <row r="4026" spans="2:9" x14ac:dyDescent="0.25">
      <c r="B4026" s="31"/>
      <c r="F4026" s="32"/>
      <c r="I4026" s="32"/>
    </row>
    <row r="4027" spans="2:9" x14ac:dyDescent="0.25">
      <c r="B4027" s="31"/>
      <c r="F4027" s="32"/>
      <c r="I4027" s="32"/>
    </row>
    <row r="4028" spans="2:9" x14ac:dyDescent="0.25">
      <c r="B4028" s="31"/>
      <c r="F4028" s="32"/>
      <c r="I4028" s="32"/>
    </row>
    <row r="4029" spans="2:9" x14ac:dyDescent="0.25">
      <c r="B4029" s="31"/>
      <c r="F4029" s="32"/>
      <c r="I4029" s="32"/>
    </row>
    <row r="4030" spans="2:9" x14ac:dyDescent="0.25">
      <c r="B4030" s="31"/>
      <c r="F4030" s="32"/>
      <c r="I4030" s="32"/>
    </row>
    <row r="4031" spans="2:9" x14ac:dyDescent="0.25">
      <c r="B4031" s="31"/>
      <c r="F4031" s="32"/>
      <c r="I4031" s="32"/>
    </row>
    <row r="4032" spans="2:9" x14ac:dyDescent="0.25">
      <c r="B4032" s="31"/>
      <c r="F4032" s="32"/>
      <c r="I4032" s="32"/>
    </row>
    <row r="4033" spans="2:9" x14ac:dyDescent="0.25">
      <c r="B4033" s="31"/>
      <c r="F4033" s="32"/>
      <c r="I4033" s="32"/>
    </row>
    <row r="4034" spans="2:9" x14ac:dyDescent="0.25">
      <c r="B4034" s="31"/>
      <c r="F4034" s="32"/>
      <c r="I4034" s="32"/>
    </row>
    <row r="4035" spans="2:9" x14ac:dyDescent="0.25">
      <c r="B4035" s="31"/>
      <c r="F4035" s="32"/>
      <c r="I4035" s="32"/>
    </row>
    <row r="4036" spans="2:9" x14ac:dyDescent="0.25">
      <c r="B4036" s="31"/>
      <c r="F4036" s="32"/>
      <c r="I4036" s="32"/>
    </row>
    <row r="4037" spans="2:9" x14ac:dyDescent="0.25">
      <c r="B4037" s="31"/>
      <c r="F4037" s="32"/>
      <c r="I4037" s="32"/>
    </row>
    <row r="4038" spans="2:9" x14ac:dyDescent="0.25">
      <c r="B4038" s="31"/>
      <c r="F4038" s="32"/>
      <c r="I4038" s="32"/>
    </row>
    <row r="4039" spans="2:9" x14ac:dyDescent="0.25">
      <c r="B4039" s="31"/>
      <c r="F4039" s="32"/>
      <c r="I4039" s="32"/>
    </row>
    <row r="4040" spans="2:9" x14ac:dyDescent="0.25">
      <c r="B4040" s="31"/>
      <c r="F4040" s="32"/>
      <c r="I4040" s="32"/>
    </row>
    <row r="4041" spans="2:9" x14ac:dyDescent="0.25">
      <c r="B4041" s="31"/>
      <c r="F4041" s="32"/>
      <c r="I4041" s="32"/>
    </row>
    <row r="4042" spans="2:9" x14ac:dyDescent="0.25">
      <c r="B4042" s="31"/>
      <c r="F4042" s="32"/>
      <c r="I4042" s="32"/>
    </row>
    <row r="4043" spans="2:9" x14ac:dyDescent="0.25">
      <c r="B4043" s="31"/>
      <c r="F4043" s="32"/>
      <c r="I4043" s="32"/>
    </row>
    <row r="4044" spans="2:9" x14ac:dyDescent="0.25">
      <c r="B4044" s="31"/>
      <c r="F4044" s="32"/>
      <c r="I4044" s="32"/>
    </row>
    <row r="4045" spans="2:9" x14ac:dyDescent="0.25">
      <c r="B4045" s="31"/>
      <c r="F4045" s="32"/>
      <c r="I4045" s="32"/>
    </row>
    <row r="4046" spans="2:9" x14ac:dyDescent="0.25">
      <c r="B4046" s="31"/>
      <c r="F4046" s="32"/>
      <c r="I4046" s="32"/>
    </row>
    <row r="4047" spans="2:9" x14ac:dyDescent="0.25">
      <c r="B4047" s="31"/>
      <c r="F4047" s="32"/>
      <c r="I4047" s="32"/>
    </row>
    <row r="4048" spans="2:9" x14ac:dyDescent="0.25">
      <c r="B4048" s="31"/>
      <c r="F4048" s="32"/>
      <c r="I4048" s="32"/>
    </row>
    <row r="4049" spans="2:9" x14ac:dyDescent="0.25">
      <c r="B4049" s="31"/>
      <c r="F4049" s="32"/>
      <c r="I4049" s="32"/>
    </row>
    <row r="4050" spans="2:9" x14ac:dyDescent="0.25">
      <c r="B4050" s="31"/>
      <c r="F4050" s="32"/>
      <c r="I4050" s="32"/>
    </row>
    <row r="4051" spans="2:9" x14ac:dyDescent="0.25">
      <c r="B4051" s="31"/>
      <c r="F4051" s="32"/>
      <c r="I4051" s="32"/>
    </row>
    <row r="4052" spans="2:9" x14ac:dyDescent="0.25">
      <c r="B4052" s="31"/>
      <c r="F4052" s="32"/>
      <c r="I4052" s="32"/>
    </row>
    <row r="4053" spans="2:9" x14ac:dyDescent="0.25">
      <c r="B4053" s="31"/>
      <c r="F4053" s="32"/>
      <c r="I4053" s="32"/>
    </row>
    <row r="4054" spans="2:9" x14ac:dyDescent="0.25">
      <c r="B4054" s="31"/>
      <c r="F4054" s="32"/>
      <c r="I4054" s="32"/>
    </row>
    <row r="4055" spans="2:9" x14ac:dyDescent="0.25">
      <c r="B4055" s="31"/>
      <c r="F4055" s="32"/>
      <c r="I4055" s="32"/>
    </row>
    <row r="4056" spans="2:9" x14ac:dyDescent="0.25">
      <c r="B4056" s="31"/>
      <c r="F4056" s="32"/>
      <c r="I4056" s="32"/>
    </row>
    <row r="4057" spans="2:9" x14ac:dyDescent="0.25">
      <c r="B4057" s="31"/>
      <c r="F4057" s="32"/>
      <c r="I4057" s="32"/>
    </row>
    <row r="4058" spans="2:9" x14ac:dyDescent="0.25">
      <c r="B4058" s="31"/>
      <c r="F4058" s="32"/>
      <c r="I4058" s="32"/>
    </row>
    <row r="4059" spans="2:9" x14ac:dyDescent="0.25">
      <c r="B4059" s="31"/>
      <c r="F4059" s="32"/>
      <c r="I4059" s="32"/>
    </row>
    <row r="4060" spans="2:9" x14ac:dyDescent="0.25">
      <c r="B4060" s="31"/>
      <c r="F4060" s="32"/>
      <c r="I4060" s="32"/>
    </row>
    <row r="4061" spans="2:9" x14ac:dyDescent="0.25">
      <c r="B4061" s="31"/>
      <c r="F4061" s="32"/>
      <c r="I4061" s="32"/>
    </row>
    <row r="4062" spans="2:9" x14ac:dyDescent="0.25">
      <c r="B4062" s="31"/>
      <c r="F4062" s="32"/>
      <c r="I4062" s="32"/>
    </row>
    <row r="4063" spans="2:9" x14ac:dyDescent="0.25">
      <c r="B4063" s="31"/>
      <c r="F4063" s="32"/>
      <c r="I4063" s="32"/>
    </row>
    <row r="4064" spans="2:9" x14ac:dyDescent="0.25">
      <c r="B4064" s="31"/>
      <c r="F4064" s="32"/>
      <c r="I4064" s="32"/>
    </row>
    <row r="4065" spans="2:9" x14ac:dyDescent="0.25">
      <c r="B4065" s="31"/>
      <c r="F4065" s="32"/>
      <c r="I4065" s="32"/>
    </row>
    <row r="4066" spans="2:9" x14ac:dyDescent="0.25">
      <c r="B4066" s="31"/>
      <c r="F4066" s="32"/>
      <c r="I4066" s="32"/>
    </row>
    <row r="4067" spans="2:9" x14ac:dyDescent="0.25">
      <c r="B4067" s="31"/>
      <c r="F4067" s="32"/>
      <c r="I4067" s="32"/>
    </row>
    <row r="4068" spans="2:9" x14ac:dyDescent="0.25">
      <c r="B4068" s="31"/>
      <c r="F4068" s="32"/>
      <c r="I4068" s="32"/>
    </row>
    <row r="4069" spans="2:9" x14ac:dyDescent="0.25">
      <c r="B4069" s="31"/>
      <c r="F4069" s="32"/>
      <c r="I4069" s="32"/>
    </row>
    <row r="4070" spans="2:9" x14ac:dyDescent="0.25">
      <c r="B4070" s="31"/>
      <c r="F4070" s="32"/>
      <c r="I4070" s="32"/>
    </row>
    <row r="4071" spans="2:9" x14ac:dyDescent="0.25">
      <c r="B4071" s="31"/>
      <c r="F4071" s="32"/>
      <c r="I4071" s="32"/>
    </row>
    <row r="4072" spans="2:9" x14ac:dyDescent="0.25">
      <c r="B4072" s="31"/>
      <c r="F4072" s="32"/>
      <c r="I4072" s="32"/>
    </row>
    <row r="4073" spans="2:9" x14ac:dyDescent="0.25">
      <c r="B4073" s="31"/>
      <c r="F4073" s="32"/>
      <c r="I4073" s="32"/>
    </row>
    <row r="4074" spans="2:9" x14ac:dyDescent="0.25">
      <c r="B4074" s="31"/>
      <c r="F4074" s="32"/>
      <c r="I4074" s="32"/>
    </row>
    <row r="4075" spans="2:9" x14ac:dyDescent="0.25">
      <c r="B4075" s="31"/>
      <c r="F4075" s="32"/>
      <c r="I4075" s="32"/>
    </row>
    <row r="4076" spans="2:9" x14ac:dyDescent="0.25">
      <c r="B4076" s="31"/>
      <c r="F4076" s="32"/>
      <c r="I4076" s="32"/>
    </row>
    <row r="4077" spans="2:9" x14ac:dyDescent="0.25">
      <c r="B4077" s="31"/>
      <c r="F4077" s="32"/>
      <c r="I4077" s="32"/>
    </row>
    <row r="4078" spans="2:9" x14ac:dyDescent="0.25">
      <c r="B4078" s="31"/>
      <c r="F4078" s="32"/>
      <c r="I4078" s="32"/>
    </row>
    <row r="4079" spans="2:9" x14ac:dyDescent="0.25">
      <c r="B4079" s="31"/>
      <c r="F4079" s="32"/>
      <c r="I4079" s="32"/>
    </row>
    <row r="4080" spans="2:9" x14ac:dyDescent="0.25">
      <c r="B4080" s="31"/>
      <c r="F4080" s="32"/>
      <c r="I4080" s="32"/>
    </row>
    <row r="4081" spans="2:9" x14ac:dyDescent="0.25">
      <c r="B4081" s="31"/>
      <c r="F4081" s="32"/>
      <c r="I4081" s="32"/>
    </row>
    <row r="4082" spans="2:9" x14ac:dyDescent="0.25">
      <c r="B4082" s="31"/>
      <c r="F4082" s="32"/>
      <c r="I4082" s="32"/>
    </row>
    <row r="4083" spans="2:9" x14ac:dyDescent="0.25">
      <c r="B4083" s="31"/>
      <c r="F4083" s="32"/>
      <c r="I4083" s="32"/>
    </row>
    <row r="4084" spans="2:9" x14ac:dyDescent="0.25">
      <c r="B4084" s="31"/>
      <c r="F4084" s="32"/>
      <c r="I4084" s="32"/>
    </row>
    <row r="4085" spans="2:9" x14ac:dyDescent="0.25">
      <c r="B4085" s="31"/>
      <c r="F4085" s="32"/>
      <c r="I4085" s="32"/>
    </row>
    <row r="4086" spans="2:9" x14ac:dyDescent="0.25">
      <c r="B4086" s="31"/>
      <c r="F4086" s="32"/>
      <c r="I4086" s="32"/>
    </row>
    <row r="4087" spans="2:9" x14ac:dyDescent="0.25">
      <c r="B4087" s="31"/>
      <c r="F4087" s="32"/>
      <c r="I4087" s="32"/>
    </row>
    <row r="4088" spans="2:9" x14ac:dyDescent="0.25">
      <c r="B4088" s="31"/>
      <c r="F4088" s="32"/>
      <c r="I4088" s="32"/>
    </row>
    <row r="4089" spans="2:9" x14ac:dyDescent="0.25">
      <c r="B4089" s="31"/>
      <c r="F4089" s="32"/>
      <c r="I4089" s="32"/>
    </row>
    <row r="4090" spans="2:9" x14ac:dyDescent="0.25">
      <c r="B4090" s="31"/>
      <c r="F4090" s="32"/>
      <c r="I4090" s="32"/>
    </row>
    <row r="4091" spans="2:9" x14ac:dyDescent="0.25">
      <c r="B4091" s="31"/>
      <c r="F4091" s="32"/>
      <c r="I4091" s="32"/>
    </row>
    <row r="4092" spans="2:9" x14ac:dyDescent="0.25">
      <c r="B4092" s="31"/>
      <c r="F4092" s="32"/>
      <c r="I4092" s="32"/>
    </row>
    <row r="4093" spans="2:9" x14ac:dyDescent="0.25">
      <c r="B4093" s="31"/>
      <c r="F4093" s="32"/>
      <c r="I4093" s="32"/>
    </row>
    <row r="4094" spans="2:9" x14ac:dyDescent="0.25">
      <c r="B4094" s="31"/>
      <c r="F4094" s="32"/>
      <c r="I4094" s="32"/>
    </row>
    <row r="4095" spans="2:9" x14ac:dyDescent="0.25">
      <c r="B4095" s="31"/>
      <c r="F4095" s="32"/>
      <c r="I4095" s="32"/>
    </row>
    <row r="4096" spans="2:9" x14ac:dyDescent="0.25">
      <c r="B4096" s="31"/>
      <c r="F4096" s="32"/>
      <c r="I4096" s="32"/>
    </row>
    <row r="4097" spans="2:9" x14ac:dyDescent="0.25">
      <c r="B4097" s="31"/>
      <c r="F4097" s="32"/>
      <c r="I4097" s="32"/>
    </row>
    <row r="4098" spans="2:9" x14ac:dyDescent="0.25">
      <c r="B4098" s="31"/>
      <c r="F4098" s="32"/>
      <c r="I4098" s="32"/>
    </row>
    <row r="4099" spans="2:9" x14ac:dyDescent="0.25">
      <c r="B4099" s="31"/>
      <c r="F4099" s="32"/>
      <c r="I4099" s="32"/>
    </row>
    <row r="4100" spans="2:9" x14ac:dyDescent="0.25">
      <c r="B4100" s="31"/>
      <c r="F4100" s="32"/>
      <c r="I4100" s="32"/>
    </row>
    <row r="4101" spans="2:9" x14ac:dyDescent="0.25">
      <c r="B4101" s="31"/>
      <c r="F4101" s="32"/>
      <c r="I4101" s="32"/>
    </row>
    <row r="4102" spans="2:9" x14ac:dyDescent="0.25">
      <c r="B4102" s="31"/>
      <c r="F4102" s="32"/>
      <c r="I4102" s="32"/>
    </row>
    <row r="4103" spans="2:9" x14ac:dyDescent="0.25">
      <c r="B4103" s="31"/>
      <c r="F4103" s="32"/>
      <c r="I4103" s="32"/>
    </row>
    <row r="4104" spans="2:9" x14ac:dyDescent="0.25">
      <c r="B4104" s="31"/>
      <c r="F4104" s="32"/>
      <c r="I4104" s="32"/>
    </row>
    <row r="4105" spans="2:9" x14ac:dyDescent="0.25">
      <c r="B4105" s="31"/>
      <c r="F4105" s="32"/>
      <c r="I4105" s="32"/>
    </row>
    <row r="4106" spans="2:9" x14ac:dyDescent="0.25">
      <c r="B4106" s="31"/>
      <c r="F4106" s="32"/>
      <c r="I4106" s="32"/>
    </row>
    <row r="4107" spans="2:9" x14ac:dyDescent="0.25">
      <c r="B4107" s="31"/>
      <c r="F4107" s="32"/>
      <c r="I4107" s="32"/>
    </row>
    <row r="4108" spans="2:9" x14ac:dyDescent="0.25">
      <c r="B4108" s="31"/>
      <c r="F4108" s="32"/>
      <c r="I4108" s="32"/>
    </row>
    <row r="4109" spans="2:9" x14ac:dyDescent="0.25">
      <c r="B4109" s="31"/>
      <c r="F4109" s="32"/>
      <c r="I4109" s="32"/>
    </row>
    <row r="4110" spans="2:9" x14ac:dyDescent="0.25">
      <c r="B4110" s="31"/>
      <c r="F4110" s="32"/>
      <c r="I4110" s="32"/>
    </row>
    <row r="4111" spans="2:9" x14ac:dyDescent="0.25">
      <c r="B4111" s="31"/>
      <c r="F4111" s="32"/>
      <c r="I4111" s="32"/>
    </row>
    <row r="4112" spans="2:9" x14ac:dyDescent="0.25">
      <c r="B4112" s="31"/>
      <c r="F4112" s="32"/>
      <c r="I4112" s="32"/>
    </row>
    <row r="4113" spans="2:9" x14ac:dyDescent="0.25">
      <c r="B4113" s="31"/>
      <c r="F4113" s="32"/>
      <c r="I4113" s="32"/>
    </row>
    <row r="4114" spans="2:9" x14ac:dyDescent="0.25">
      <c r="B4114" s="31"/>
      <c r="F4114" s="32"/>
      <c r="I4114" s="32"/>
    </row>
    <row r="4115" spans="2:9" x14ac:dyDescent="0.25">
      <c r="B4115" s="31"/>
      <c r="F4115" s="32"/>
      <c r="I4115" s="32"/>
    </row>
    <row r="4116" spans="2:9" x14ac:dyDescent="0.25">
      <c r="B4116" s="31"/>
      <c r="F4116" s="32"/>
      <c r="I4116" s="32"/>
    </row>
    <row r="4117" spans="2:9" x14ac:dyDescent="0.25">
      <c r="B4117" s="31"/>
      <c r="F4117" s="32"/>
      <c r="I4117" s="32"/>
    </row>
    <row r="4118" spans="2:9" x14ac:dyDescent="0.25">
      <c r="B4118" s="31"/>
      <c r="F4118" s="32"/>
      <c r="I4118" s="32"/>
    </row>
    <row r="4119" spans="2:9" x14ac:dyDescent="0.25">
      <c r="B4119" s="31"/>
      <c r="F4119" s="32"/>
      <c r="I4119" s="32"/>
    </row>
    <row r="4120" spans="2:9" x14ac:dyDescent="0.25">
      <c r="B4120" s="31"/>
      <c r="F4120" s="32"/>
      <c r="I4120" s="32"/>
    </row>
    <row r="4121" spans="2:9" x14ac:dyDescent="0.25">
      <c r="B4121" s="31"/>
      <c r="F4121" s="32"/>
      <c r="I4121" s="32"/>
    </row>
    <row r="4122" spans="2:9" x14ac:dyDescent="0.25">
      <c r="B4122" s="31"/>
      <c r="F4122" s="32"/>
      <c r="I4122" s="32"/>
    </row>
    <row r="4123" spans="2:9" x14ac:dyDescent="0.25">
      <c r="B4123" s="31"/>
      <c r="F4123" s="32"/>
      <c r="I4123" s="32"/>
    </row>
    <row r="4124" spans="2:9" x14ac:dyDescent="0.25">
      <c r="B4124" s="31"/>
      <c r="F4124" s="32"/>
      <c r="I4124" s="32"/>
    </row>
    <row r="4125" spans="2:9" x14ac:dyDescent="0.25">
      <c r="B4125" s="31"/>
      <c r="F4125" s="32"/>
      <c r="I4125" s="32"/>
    </row>
    <row r="4126" spans="2:9" x14ac:dyDescent="0.25">
      <c r="B4126" s="31"/>
      <c r="F4126" s="32"/>
      <c r="I4126" s="32"/>
    </row>
    <row r="4127" spans="2:9" x14ac:dyDescent="0.25">
      <c r="B4127" s="31"/>
      <c r="F4127" s="32"/>
      <c r="I4127" s="32"/>
    </row>
    <row r="4128" spans="2:9" x14ac:dyDescent="0.25">
      <c r="B4128" s="31"/>
      <c r="F4128" s="32"/>
      <c r="I4128" s="32"/>
    </row>
    <row r="4129" spans="2:9" x14ac:dyDescent="0.25">
      <c r="B4129" s="31"/>
      <c r="F4129" s="32"/>
      <c r="I4129" s="32"/>
    </row>
    <row r="4130" spans="2:9" x14ac:dyDescent="0.25">
      <c r="B4130" s="31"/>
      <c r="F4130" s="32"/>
      <c r="I4130" s="32"/>
    </row>
    <row r="4131" spans="2:9" x14ac:dyDescent="0.25">
      <c r="B4131" s="31"/>
      <c r="F4131" s="32"/>
      <c r="I4131" s="32"/>
    </row>
    <row r="4132" spans="2:9" x14ac:dyDescent="0.25">
      <c r="B4132" s="31"/>
      <c r="F4132" s="32"/>
      <c r="I4132" s="32"/>
    </row>
    <row r="4133" spans="2:9" x14ac:dyDescent="0.25">
      <c r="B4133" s="31"/>
      <c r="F4133" s="32"/>
      <c r="I4133" s="32"/>
    </row>
    <row r="4134" spans="2:9" x14ac:dyDescent="0.25">
      <c r="B4134" s="31"/>
      <c r="F4134" s="32"/>
      <c r="I4134" s="32"/>
    </row>
    <row r="4135" spans="2:9" x14ac:dyDescent="0.25">
      <c r="B4135" s="31"/>
      <c r="F4135" s="32"/>
      <c r="I4135" s="32"/>
    </row>
    <row r="4136" spans="2:9" x14ac:dyDescent="0.25">
      <c r="B4136" s="31"/>
      <c r="F4136" s="32"/>
      <c r="I4136" s="32"/>
    </row>
    <row r="4137" spans="2:9" x14ac:dyDescent="0.25">
      <c r="B4137" s="31"/>
      <c r="F4137" s="32"/>
      <c r="I4137" s="32"/>
    </row>
    <row r="4138" spans="2:9" x14ac:dyDescent="0.25">
      <c r="B4138" s="31"/>
      <c r="F4138" s="32"/>
      <c r="I4138" s="32"/>
    </row>
    <row r="4139" spans="2:9" x14ac:dyDescent="0.25">
      <c r="B4139" s="31"/>
      <c r="F4139" s="32"/>
      <c r="I4139" s="32"/>
    </row>
    <row r="4140" spans="2:9" x14ac:dyDescent="0.25">
      <c r="B4140" s="31"/>
      <c r="F4140" s="32"/>
      <c r="I4140" s="32"/>
    </row>
    <row r="4141" spans="2:9" x14ac:dyDescent="0.25">
      <c r="B4141" s="31"/>
      <c r="F4141" s="32"/>
      <c r="I4141" s="32"/>
    </row>
    <row r="4142" spans="2:9" x14ac:dyDescent="0.25">
      <c r="B4142" s="31"/>
      <c r="F4142" s="32"/>
      <c r="I4142" s="32"/>
    </row>
    <row r="4143" spans="2:9" x14ac:dyDescent="0.25">
      <c r="B4143" s="31"/>
      <c r="F4143" s="32"/>
      <c r="I4143" s="32"/>
    </row>
    <row r="4144" spans="2:9" x14ac:dyDescent="0.25">
      <c r="B4144" s="31"/>
      <c r="F4144" s="32"/>
      <c r="I4144" s="32"/>
    </row>
    <row r="4145" spans="2:9" x14ac:dyDescent="0.25">
      <c r="B4145" s="31"/>
      <c r="F4145" s="32"/>
      <c r="I4145" s="32"/>
    </row>
    <row r="4146" spans="2:9" x14ac:dyDescent="0.25">
      <c r="B4146" s="31"/>
      <c r="F4146" s="32"/>
      <c r="I4146" s="32"/>
    </row>
    <row r="4147" spans="2:9" x14ac:dyDescent="0.25">
      <c r="B4147" s="31"/>
      <c r="F4147" s="32"/>
      <c r="I4147" s="32"/>
    </row>
    <row r="4148" spans="2:9" x14ac:dyDescent="0.25">
      <c r="B4148" s="31"/>
      <c r="F4148" s="32"/>
      <c r="I4148" s="32"/>
    </row>
    <row r="4149" spans="2:9" x14ac:dyDescent="0.25">
      <c r="B4149" s="31"/>
      <c r="F4149" s="32"/>
      <c r="I4149" s="32"/>
    </row>
    <row r="4150" spans="2:9" x14ac:dyDescent="0.25">
      <c r="B4150" s="31"/>
      <c r="F4150" s="32"/>
      <c r="I4150" s="32"/>
    </row>
    <row r="4151" spans="2:9" x14ac:dyDescent="0.25">
      <c r="B4151" s="31"/>
      <c r="F4151" s="32"/>
      <c r="I4151" s="32"/>
    </row>
    <row r="4152" spans="2:9" x14ac:dyDescent="0.25">
      <c r="B4152" s="31"/>
      <c r="F4152" s="32"/>
      <c r="I4152" s="32"/>
    </row>
    <row r="4153" spans="2:9" x14ac:dyDescent="0.25">
      <c r="B4153" s="31"/>
      <c r="F4153" s="32"/>
      <c r="I4153" s="32"/>
    </row>
    <row r="4154" spans="2:9" x14ac:dyDescent="0.25">
      <c r="B4154" s="31"/>
      <c r="F4154" s="32"/>
      <c r="I4154" s="32"/>
    </row>
    <row r="4155" spans="2:9" x14ac:dyDescent="0.25">
      <c r="B4155" s="31"/>
      <c r="F4155" s="32"/>
      <c r="I4155" s="32"/>
    </row>
    <row r="4156" spans="2:9" x14ac:dyDescent="0.25">
      <c r="B4156" s="31"/>
      <c r="F4156" s="32"/>
      <c r="I4156" s="32"/>
    </row>
    <row r="4157" spans="2:9" x14ac:dyDescent="0.25">
      <c r="B4157" s="31"/>
      <c r="F4157" s="32"/>
      <c r="I4157" s="32"/>
    </row>
    <row r="4158" spans="2:9" x14ac:dyDescent="0.25">
      <c r="B4158" s="31"/>
      <c r="F4158" s="32"/>
      <c r="I4158" s="32"/>
    </row>
    <row r="4159" spans="2:9" x14ac:dyDescent="0.25">
      <c r="B4159" s="31"/>
      <c r="F4159" s="32"/>
      <c r="I4159" s="32"/>
    </row>
    <row r="4160" spans="2:9" x14ac:dyDescent="0.25">
      <c r="B4160" s="31"/>
      <c r="F4160" s="32"/>
      <c r="I4160" s="32"/>
    </row>
    <row r="4161" spans="2:9" x14ac:dyDescent="0.25">
      <c r="B4161" s="31"/>
      <c r="F4161" s="32"/>
      <c r="I4161" s="32"/>
    </row>
    <row r="4162" spans="2:9" x14ac:dyDescent="0.25">
      <c r="B4162" s="31"/>
      <c r="F4162" s="32"/>
      <c r="I4162" s="32"/>
    </row>
    <row r="4163" spans="2:9" x14ac:dyDescent="0.25">
      <c r="B4163" s="31"/>
      <c r="F4163" s="32"/>
      <c r="I4163" s="32"/>
    </row>
    <row r="4164" spans="2:9" x14ac:dyDescent="0.25">
      <c r="B4164" s="31"/>
      <c r="F4164" s="32"/>
      <c r="I4164" s="32"/>
    </row>
    <row r="4165" spans="2:9" x14ac:dyDescent="0.25">
      <c r="B4165" s="31"/>
      <c r="F4165" s="32"/>
      <c r="I4165" s="32"/>
    </row>
    <row r="4166" spans="2:9" x14ac:dyDescent="0.25">
      <c r="B4166" s="31"/>
      <c r="F4166" s="32"/>
      <c r="I4166" s="32"/>
    </row>
    <row r="4167" spans="2:9" x14ac:dyDescent="0.25">
      <c r="B4167" s="31"/>
      <c r="F4167" s="32"/>
      <c r="I4167" s="32"/>
    </row>
    <row r="4168" spans="2:9" x14ac:dyDescent="0.25">
      <c r="B4168" s="31"/>
      <c r="F4168" s="32"/>
      <c r="I4168" s="32"/>
    </row>
    <row r="4169" spans="2:9" x14ac:dyDescent="0.25">
      <c r="B4169" s="31"/>
      <c r="F4169" s="32"/>
      <c r="I4169" s="32"/>
    </row>
    <row r="4170" spans="2:9" x14ac:dyDescent="0.25">
      <c r="B4170" s="31"/>
      <c r="F4170" s="32"/>
      <c r="I4170" s="32"/>
    </row>
    <row r="4171" spans="2:9" x14ac:dyDescent="0.25">
      <c r="B4171" s="31"/>
      <c r="F4171" s="32"/>
      <c r="I4171" s="32"/>
    </row>
    <row r="4172" spans="2:9" x14ac:dyDescent="0.25">
      <c r="B4172" s="31"/>
      <c r="F4172" s="32"/>
      <c r="I4172" s="32"/>
    </row>
    <row r="4173" spans="2:9" x14ac:dyDescent="0.25">
      <c r="B4173" s="31"/>
      <c r="F4173" s="32"/>
      <c r="I4173" s="32"/>
    </row>
    <row r="4174" spans="2:9" x14ac:dyDescent="0.25">
      <c r="B4174" s="31"/>
      <c r="F4174" s="32"/>
      <c r="I4174" s="32"/>
    </row>
    <row r="4175" spans="2:9" x14ac:dyDescent="0.25">
      <c r="B4175" s="31"/>
      <c r="F4175" s="32"/>
      <c r="I4175" s="32"/>
    </row>
    <row r="4176" spans="2:9" x14ac:dyDescent="0.25">
      <c r="B4176" s="31"/>
      <c r="F4176" s="32"/>
      <c r="I4176" s="32"/>
    </row>
    <row r="4177" spans="2:9" x14ac:dyDescent="0.25">
      <c r="B4177" s="31"/>
      <c r="F4177" s="32"/>
      <c r="I4177" s="32"/>
    </row>
    <row r="4178" spans="2:9" x14ac:dyDescent="0.25">
      <c r="B4178" s="31"/>
      <c r="F4178" s="32"/>
      <c r="I4178" s="32"/>
    </row>
    <row r="4179" spans="2:9" x14ac:dyDescent="0.25">
      <c r="B4179" s="31"/>
      <c r="F4179" s="32"/>
      <c r="I4179" s="32"/>
    </row>
    <row r="4180" spans="2:9" x14ac:dyDescent="0.25">
      <c r="B4180" s="31"/>
      <c r="F4180" s="32"/>
      <c r="I4180" s="32"/>
    </row>
    <row r="4181" spans="2:9" x14ac:dyDescent="0.25">
      <c r="B4181" s="31"/>
      <c r="F4181" s="32"/>
      <c r="I4181" s="32"/>
    </row>
    <row r="4182" spans="2:9" x14ac:dyDescent="0.25">
      <c r="B4182" s="31"/>
      <c r="F4182" s="32"/>
      <c r="I4182" s="32"/>
    </row>
    <row r="4183" spans="2:9" x14ac:dyDescent="0.25">
      <c r="B4183" s="31"/>
      <c r="F4183" s="32"/>
      <c r="I4183" s="32"/>
    </row>
    <row r="4184" spans="2:9" x14ac:dyDescent="0.25">
      <c r="B4184" s="31"/>
      <c r="F4184" s="32"/>
      <c r="I4184" s="32"/>
    </row>
    <row r="4185" spans="2:9" x14ac:dyDescent="0.25">
      <c r="B4185" s="31"/>
      <c r="F4185" s="32"/>
      <c r="I4185" s="32"/>
    </row>
    <row r="4186" spans="2:9" x14ac:dyDescent="0.25">
      <c r="B4186" s="31"/>
      <c r="F4186" s="32"/>
      <c r="I4186" s="32"/>
    </row>
    <row r="4187" spans="2:9" x14ac:dyDescent="0.25">
      <c r="B4187" s="31"/>
      <c r="F4187" s="32"/>
      <c r="I4187" s="32"/>
    </row>
    <row r="4188" spans="2:9" x14ac:dyDescent="0.25">
      <c r="B4188" s="31"/>
      <c r="F4188" s="32"/>
      <c r="I4188" s="32"/>
    </row>
    <row r="4189" spans="2:9" x14ac:dyDescent="0.25">
      <c r="B4189" s="31"/>
      <c r="F4189" s="32"/>
      <c r="I4189" s="32"/>
    </row>
    <row r="4190" spans="2:9" x14ac:dyDescent="0.25">
      <c r="B4190" s="31"/>
      <c r="F4190" s="32"/>
      <c r="I4190" s="32"/>
    </row>
    <row r="4191" spans="2:9" x14ac:dyDescent="0.25">
      <c r="B4191" s="31"/>
      <c r="F4191" s="32"/>
      <c r="I4191" s="32"/>
    </row>
    <row r="4192" spans="2:9" x14ac:dyDescent="0.25">
      <c r="B4192" s="31"/>
      <c r="F4192" s="32"/>
      <c r="I4192" s="32"/>
    </row>
    <row r="4193" spans="2:9" x14ac:dyDescent="0.25">
      <c r="B4193" s="31"/>
      <c r="F4193" s="32"/>
      <c r="I4193" s="32"/>
    </row>
    <row r="4194" spans="2:9" x14ac:dyDescent="0.25">
      <c r="B4194" s="31"/>
      <c r="F4194" s="32"/>
      <c r="I4194" s="32"/>
    </row>
    <row r="4195" spans="2:9" x14ac:dyDescent="0.25">
      <c r="B4195" s="31"/>
      <c r="F4195" s="32"/>
      <c r="I4195" s="32"/>
    </row>
    <row r="4196" spans="2:9" x14ac:dyDescent="0.25">
      <c r="B4196" s="31"/>
      <c r="F4196" s="32"/>
      <c r="I4196" s="32"/>
    </row>
    <row r="4197" spans="2:9" x14ac:dyDescent="0.25">
      <c r="B4197" s="31"/>
      <c r="F4197" s="32"/>
      <c r="I4197" s="32"/>
    </row>
    <row r="4198" spans="2:9" x14ac:dyDescent="0.25">
      <c r="B4198" s="31"/>
      <c r="F4198" s="32"/>
      <c r="I4198" s="32"/>
    </row>
    <row r="4199" spans="2:9" x14ac:dyDescent="0.25">
      <c r="B4199" s="31"/>
      <c r="F4199" s="32"/>
      <c r="I4199" s="32"/>
    </row>
    <row r="4200" spans="2:9" x14ac:dyDescent="0.25">
      <c r="B4200" s="31"/>
      <c r="F4200" s="32"/>
      <c r="I4200" s="32"/>
    </row>
    <row r="4201" spans="2:9" x14ac:dyDescent="0.25">
      <c r="B4201" s="31"/>
      <c r="F4201" s="32"/>
      <c r="I4201" s="32"/>
    </row>
    <row r="4202" spans="2:9" x14ac:dyDescent="0.25">
      <c r="B4202" s="31"/>
      <c r="F4202" s="32"/>
      <c r="I4202" s="32"/>
    </row>
    <row r="4203" spans="2:9" x14ac:dyDescent="0.25">
      <c r="B4203" s="31"/>
      <c r="F4203" s="32"/>
      <c r="I4203" s="32"/>
    </row>
    <row r="4204" spans="2:9" x14ac:dyDescent="0.25">
      <c r="B4204" s="31"/>
      <c r="F4204" s="32"/>
      <c r="I4204" s="32"/>
    </row>
    <row r="4205" spans="2:9" x14ac:dyDescent="0.25">
      <c r="B4205" s="31"/>
      <c r="F4205" s="32"/>
      <c r="I4205" s="32"/>
    </row>
    <row r="4206" spans="2:9" x14ac:dyDescent="0.25">
      <c r="B4206" s="31"/>
      <c r="F4206" s="32"/>
      <c r="I4206" s="32"/>
    </row>
    <row r="4207" spans="2:9" x14ac:dyDescent="0.25">
      <c r="B4207" s="31"/>
      <c r="F4207" s="32"/>
      <c r="I4207" s="32"/>
    </row>
    <row r="4208" spans="2:9" x14ac:dyDescent="0.25">
      <c r="B4208" s="31"/>
      <c r="F4208" s="32"/>
      <c r="I4208" s="32"/>
    </row>
    <row r="4209" spans="2:9" x14ac:dyDescent="0.25">
      <c r="B4209" s="31"/>
      <c r="F4209" s="32"/>
      <c r="I4209" s="32"/>
    </row>
    <row r="4210" spans="2:9" x14ac:dyDescent="0.25">
      <c r="B4210" s="31"/>
      <c r="F4210" s="32"/>
      <c r="I4210" s="32"/>
    </row>
    <row r="4211" spans="2:9" x14ac:dyDescent="0.25">
      <c r="B4211" s="31"/>
      <c r="F4211" s="32"/>
      <c r="I4211" s="32"/>
    </row>
    <row r="4212" spans="2:9" x14ac:dyDescent="0.25">
      <c r="B4212" s="31"/>
      <c r="F4212" s="32"/>
      <c r="I4212" s="32"/>
    </row>
    <row r="4213" spans="2:9" x14ac:dyDescent="0.25">
      <c r="B4213" s="31"/>
      <c r="F4213" s="32"/>
      <c r="I4213" s="32"/>
    </row>
    <row r="4214" spans="2:9" x14ac:dyDescent="0.25">
      <c r="B4214" s="31"/>
      <c r="F4214" s="32"/>
      <c r="I4214" s="32"/>
    </row>
    <row r="4215" spans="2:9" x14ac:dyDescent="0.25">
      <c r="B4215" s="31"/>
      <c r="F4215" s="32"/>
      <c r="I4215" s="32"/>
    </row>
    <row r="4216" spans="2:9" x14ac:dyDescent="0.25">
      <c r="B4216" s="31"/>
      <c r="F4216" s="32"/>
      <c r="I4216" s="32"/>
    </row>
    <row r="4217" spans="2:9" x14ac:dyDescent="0.25">
      <c r="B4217" s="31"/>
      <c r="F4217" s="32"/>
      <c r="I4217" s="32"/>
    </row>
    <row r="4218" spans="2:9" x14ac:dyDescent="0.25">
      <c r="B4218" s="31"/>
      <c r="F4218" s="32"/>
      <c r="I4218" s="32"/>
    </row>
    <row r="4219" spans="2:9" x14ac:dyDescent="0.25">
      <c r="B4219" s="31"/>
      <c r="F4219" s="32"/>
      <c r="I4219" s="32"/>
    </row>
    <row r="4220" spans="2:9" x14ac:dyDescent="0.25">
      <c r="B4220" s="31"/>
      <c r="F4220" s="32"/>
      <c r="I4220" s="32"/>
    </row>
    <row r="4221" spans="2:9" x14ac:dyDescent="0.25">
      <c r="B4221" s="31"/>
      <c r="F4221" s="32"/>
      <c r="I4221" s="32"/>
    </row>
    <row r="4222" spans="2:9" x14ac:dyDescent="0.25">
      <c r="B4222" s="31"/>
      <c r="F4222" s="32"/>
      <c r="I4222" s="32"/>
    </row>
    <row r="4223" spans="2:9" x14ac:dyDescent="0.25">
      <c r="B4223" s="31"/>
      <c r="F4223" s="32"/>
      <c r="I4223" s="32"/>
    </row>
    <row r="4224" spans="2:9" x14ac:dyDescent="0.25">
      <c r="B4224" s="31"/>
      <c r="F4224" s="32"/>
      <c r="I4224" s="32"/>
    </row>
    <row r="4225" spans="2:9" x14ac:dyDescent="0.25">
      <c r="B4225" s="31"/>
      <c r="F4225" s="32"/>
      <c r="I4225" s="32"/>
    </row>
    <row r="4226" spans="2:9" x14ac:dyDescent="0.25">
      <c r="B4226" s="31"/>
      <c r="F4226" s="32"/>
      <c r="I4226" s="32"/>
    </row>
    <row r="4227" spans="2:9" x14ac:dyDescent="0.25">
      <c r="B4227" s="31"/>
      <c r="F4227" s="32"/>
      <c r="I4227" s="32"/>
    </row>
    <row r="4228" spans="2:9" x14ac:dyDescent="0.25">
      <c r="B4228" s="31"/>
      <c r="F4228" s="32"/>
      <c r="I4228" s="32"/>
    </row>
    <row r="4229" spans="2:9" x14ac:dyDescent="0.25">
      <c r="B4229" s="31"/>
      <c r="F4229" s="32"/>
      <c r="I4229" s="32"/>
    </row>
    <row r="4230" spans="2:9" x14ac:dyDescent="0.25">
      <c r="B4230" s="31"/>
      <c r="F4230" s="32"/>
      <c r="I4230" s="32"/>
    </row>
    <row r="4231" spans="2:9" x14ac:dyDescent="0.25">
      <c r="B4231" s="31"/>
      <c r="F4231" s="32"/>
      <c r="I4231" s="32"/>
    </row>
    <row r="4232" spans="2:9" x14ac:dyDescent="0.25">
      <c r="B4232" s="31"/>
      <c r="F4232" s="32"/>
      <c r="I4232" s="32"/>
    </row>
    <row r="4233" spans="2:9" x14ac:dyDescent="0.25">
      <c r="B4233" s="31"/>
      <c r="F4233" s="32"/>
      <c r="I4233" s="32"/>
    </row>
    <row r="4234" spans="2:9" x14ac:dyDescent="0.25">
      <c r="B4234" s="31"/>
      <c r="F4234" s="32"/>
      <c r="I4234" s="32"/>
    </row>
    <row r="4235" spans="2:9" x14ac:dyDescent="0.25">
      <c r="B4235" s="31"/>
      <c r="F4235" s="32"/>
      <c r="I4235" s="32"/>
    </row>
    <row r="4236" spans="2:9" x14ac:dyDescent="0.25">
      <c r="B4236" s="31"/>
      <c r="F4236" s="32"/>
      <c r="I4236" s="32"/>
    </row>
    <row r="4237" spans="2:9" x14ac:dyDescent="0.25">
      <c r="B4237" s="31"/>
      <c r="F4237" s="32"/>
      <c r="I4237" s="32"/>
    </row>
    <row r="4238" spans="2:9" x14ac:dyDescent="0.25">
      <c r="B4238" s="31"/>
      <c r="F4238" s="32"/>
      <c r="I4238" s="32"/>
    </row>
    <row r="4239" spans="2:9" x14ac:dyDescent="0.25">
      <c r="B4239" s="31"/>
      <c r="F4239" s="32"/>
      <c r="I4239" s="32"/>
    </row>
    <row r="4240" spans="2:9" x14ac:dyDescent="0.25">
      <c r="B4240" s="31"/>
      <c r="F4240" s="32"/>
      <c r="I4240" s="32"/>
    </row>
    <row r="4241" spans="2:9" x14ac:dyDescent="0.25">
      <c r="B4241" s="31"/>
      <c r="F4241" s="32"/>
      <c r="I4241" s="32"/>
    </row>
    <row r="4242" spans="2:9" x14ac:dyDescent="0.25">
      <c r="B4242" s="31"/>
      <c r="F4242" s="32"/>
      <c r="I4242" s="32"/>
    </row>
    <row r="4243" spans="2:9" x14ac:dyDescent="0.25">
      <c r="B4243" s="31"/>
      <c r="F4243" s="32"/>
      <c r="I4243" s="32"/>
    </row>
    <row r="4244" spans="2:9" x14ac:dyDescent="0.25">
      <c r="B4244" s="31"/>
      <c r="F4244" s="32"/>
      <c r="I4244" s="32"/>
    </row>
    <row r="4245" spans="2:9" x14ac:dyDescent="0.25">
      <c r="B4245" s="31"/>
      <c r="F4245" s="32"/>
      <c r="I4245" s="32"/>
    </row>
    <row r="4246" spans="2:9" x14ac:dyDescent="0.25">
      <c r="B4246" s="31"/>
      <c r="F4246" s="32"/>
      <c r="I4246" s="32"/>
    </row>
    <row r="4247" spans="2:9" x14ac:dyDescent="0.25">
      <c r="B4247" s="31"/>
      <c r="F4247" s="32"/>
      <c r="I4247" s="32"/>
    </row>
    <row r="4248" spans="2:9" x14ac:dyDescent="0.25">
      <c r="B4248" s="31"/>
      <c r="F4248" s="32"/>
      <c r="I4248" s="32"/>
    </row>
    <row r="4249" spans="2:9" x14ac:dyDescent="0.25">
      <c r="B4249" s="31"/>
      <c r="F4249" s="32"/>
      <c r="I4249" s="32"/>
    </row>
    <row r="4250" spans="2:9" x14ac:dyDescent="0.25">
      <c r="B4250" s="31"/>
      <c r="F4250" s="32"/>
      <c r="I4250" s="32"/>
    </row>
    <row r="4251" spans="2:9" x14ac:dyDescent="0.25">
      <c r="B4251" s="31"/>
      <c r="F4251" s="32"/>
      <c r="I4251" s="32"/>
    </row>
    <row r="4252" spans="2:9" x14ac:dyDescent="0.25">
      <c r="B4252" s="31"/>
      <c r="F4252" s="32"/>
      <c r="I4252" s="32"/>
    </row>
    <row r="4253" spans="2:9" x14ac:dyDescent="0.25">
      <c r="B4253" s="31"/>
      <c r="F4253" s="32"/>
      <c r="I4253" s="32"/>
    </row>
    <row r="4254" spans="2:9" x14ac:dyDescent="0.25">
      <c r="B4254" s="31"/>
      <c r="F4254" s="32"/>
      <c r="I4254" s="32"/>
    </row>
    <row r="4255" spans="2:9" x14ac:dyDescent="0.25">
      <c r="B4255" s="31"/>
      <c r="F4255" s="32"/>
      <c r="I4255" s="32"/>
    </row>
    <row r="4256" spans="2:9" x14ac:dyDescent="0.25">
      <c r="B4256" s="31"/>
      <c r="F4256" s="32"/>
      <c r="I4256" s="32"/>
    </row>
    <row r="4257" spans="2:9" x14ac:dyDescent="0.25">
      <c r="B4257" s="31"/>
      <c r="F4257" s="32"/>
      <c r="I4257" s="32"/>
    </row>
    <row r="4258" spans="2:9" x14ac:dyDescent="0.25">
      <c r="B4258" s="31"/>
      <c r="F4258" s="32"/>
      <c r="I4258" s="32"/>
    </row>
    <row r="4259" spans="2:9" x14ac:dyDescent="0.25">
      <c r="B4259" s="31"/>
      <c r="F4259" s="32"/>
      <c r="I4259" s="32"/>
    </row>
    <row r="4260" spans="2:9" x14ac:dyDescent="0.25">
      <c r="B4260" s="31"/>
      <c r="F4260" s="32"/>
      <c r="I4260" s="32"/>
    </row>
    <row r="4261" spans="2:9" x14ac:dyDescent="0.25">
      <c r="B4261" s="31"/>
      <c r="F4261" s="32"/>
      <c r="I4261" s="32"/>
    </row>
    <row r="4262" spans="2:9" x14ac:dyDescent="0.25">
      <c r="B4262" s="31"/>
      <c r="F4262" s="32"/>
      <c r="I4262" s="32"/>
    </row>
    <row r="4263" spans="2:9" x14ac:dyDescent="0.25">
      <c r="B4263" s="31"/>
      <c r="F4263" s="32"/>
      <c r="I4263" s="32"/>
    </row>
    <row r="4264" spans="2:9" x14ac:dyDescent="0.25">
      <c r="B4264" s="31"/>
      <c r="F4264" s="32"/>
      <c r="I4264" s="32"/>
    </row>
    <row r="4265" spans="2:9" x14ac:dyDescent="0.25">
      <c r="B4265" s="31"/>
      <c r="F4265" s="32"/>
      <c r="I4265" s="32"/>
    </row>
    <row r="4266" spans="2:9" x14ac:dyDescent="0.25">
      <c r="B4266" s="31"/>
      <c r="F4266" s="32"/>
      <c r="I4266" s="32"/>
    </row>
    <row r="4267" spans="2:9" x14ac:dyDescent="0.25">
      <c r="B4267" s="31"/>
      <c r="F4267" s="32"/>
      <c r="I4267" s="32"/>
    </row>
    <row r="4268" spans="2:9" x14ac:dyDescent="0.25">
      <c r="B4268" s="31"/>
      <c r="F4268" s="32"/>
      <c r="I4268" s="32"/>
    </row>
    <row r="4269" spans="2:9" x14ac:dyDescent="0.25">
      <c r="B4269" s="31"/>
      <c r="F4269" s="32"/>
      <c r="I4269" s="32"/>
    </row>
    <row r="4270" spans="2:9" x14ac:dyDescent="0.25">
      <c r="B4270" s="31"/>
      <c r="F4270" s="32"/>
      <c r="I4270" s="32"/>
    </row>
    <row r="4271" spans="2:9" x14ac:dyDescent="0.25">
      <c r="B4271" s="31"/>
      <c r="F4271" s="32"/>
      <c r="I4271" s="32"/>
    </row>
    <row r="4272" spans="2:9" x14ac:dyDescent="0.25">
      <c r="B4272" s="31"/>
      <c r="F4272" s="32"/>
      <c r="I4272" s="32"/>
    </row>
    <row r="4273" spans="2:9" x14ac:dyDescent="0.25">
      <c r="B4273" s="31"/>
      <c r="F4273" s="32"/>
      <c r="I4273" s="32"/>
    </row>
    <row r="4274" spans="2:9" x14ac:dyDescent="0.25">
      <c r="B4274" s="31"/>
      <c r="F4274" s="32"/>
      <c r="I4274" s="32"/>
    </row>
    <row r="4275" spans="2:9" x14ac:dyDescent="0.25">
      <c r="B4275" s="31"/>
      <c r="F4275" s="32"/>
      <c r="I4275" s="32"/>
    </row>
    <row r="4276" spans="2:9" x14ac:dyDescent="0.25">
      <c r="B4276" s="31"/>
      <c r="F4276" s="32"/>
      <c r="I4276" s="32"/>
    </row>
    <row r="4277" spans="2:9" x14ac:dyDescent="0.25">
      <c r="B4277" s="31"/>
      <c r="F4277" s="32"/>
      <c r="I4277" s="32"/>
    </row>
    <row r="4278" spans="2:9" x14ac:dyDescent="0.25">
      <c r="B4278" s="31"/>
      <c r="F4278" s="32"/>
      <c r="I4278" s="32"/>
    </row>
    <row r="4279" spans="2:9" x14ac:dyDescent="0.25">
      <c r="B4279" s="31"/>
      <c r="F4279" s="32"/>
      <c r="I4279" s="32"/>
    </row>
    <row r="4280" spans="2:9" x14ac:dyDescent="0.25">
      <c r="B4280" s="31"/>
      <c r="F4280" s="32"/>
      <c r="I4280" s="32"/>
    </row>
    <row r="4281" spans="2:9" x14ac:dyDescent="0.25">
      <c r="B4281" s="31"/>
      <c r="F4281" s="32"/>
      <c r="I4281" s="32"/>
    </row>
    <row r="4282" spans="2:9" x14ac:dyDescent="0.25">
      <c r="B4282" s="31"/>
      <c r="F4282" s="32"/>
      <c r="I4282" s="32"/>
    </row>
    <row r="4283" spans="2:9" x14ac:dyDescent="0.25">
      <c r="B4283" s="31"/>
      <c r="F4283" s="32"/>
      <c r="I4283" s="32"/>
    </row>
    <row r="4284" spans="2:9" x14ac:dyDescent="0.25">
      <c r="B4284" s="31"/>
      <c r="F4284" s="32"/>
      <c r="I4284" s="32"/>
    </row>
    <row r="4285" spans="2:9" x14ac:dyDescent="0.25">
      <c r="B4285" s="31"/>
      <c r="F4285" s="32"/>
      <c r="I4285" s="32"/>
    </row>
    <row r="4286" spans="2:9" x14ac:dyDescent="0.25">
      <c r="B4286" s="31"/>
      <c r="F4286" s="32"/>
      <c r="I4286" s="32"/>
    </row>
    <row r="4287" spans="2:9" x14ac:dyDescent="0.25">
      <c r="B4287" s="31"/>
      <c r="F4287" s="32"/>
      <c r="I4287" s="32"/>
    </row>
    <row r="4288" spans="2:9" x14ac:dyDescent="0.25">
      <c r="B4288" s="31"/>
      <c r="F4288" s="32"/>
      <c r="I4288" s="32"/>
    </row>
    <row r="4289" spans="2:9" x14ac:dyDescent="0.25">
      <c r="B4289" s="31"/>
      <c r="F4289" s="32"/>
      <c r="I4289" s="32"/>
    </row>
    <row r="4290" spans="2:9" x14ac:dyDescent="0.25">
      <c r="B4290" s="31"/>
      <c r="F4290" s="32"/>
      <c r="I4290" s="32"/>
    </row>
    <row r="4291" spans="2:9" x14ac:dyDescent="0.25">
      <c r="B4291" s="31"/>
      <c r="F4291" s="32"/>
      <c r="I4291" s="32"/>
    </row>
    <row r="4292" spans="2:9" x14ac:dyDescent="0.25">
      <c r="B4292" s="31"/>
      <c r="F4292" s="32"/>
      <c r="I4292" s="32"/>
    </row>
    <row r="4293" spans="2:9" x14ac:dyDescent="0.25">
      <c r="B4293" s="31"/>
      <c r="F4293" s="32"/>
      <c r="I4293" s="32"/>
    </row>
    <row r="4294" spans="2:9" x14ac:dyDescent="0.25">
      <c r="B4294" s="31"/>
      <c r="F4294" s="32"/>
      <c r="I4294" s="32"/>
    </row>
    <row r="4295" spans="2:9" x14ac:dyDescent="0.25">
      <c r="B4295" s="31"/>
      <c r="F4295" s="32"/>
      <c r="I4295" s="32"/>
    </row>
    <row r="4296" spans="2:9" x14ac:dyDescent="0.25">
      <c r="B4296" s="31"/>
      <c r="F4296" s="32"/>
      <c r="I4296" s="32"/>
    </row>
    <row r="4297" spans="2:9" x14ac:dyDescent="0.25">
      <c r="B4297" s="31"/>
      <c r="F4297" s="32"/>
      <c r="I4297" s="32"/>
    </row>
    <row r="4298" spans="2:9" x14ac:dyDescent="0.25">
      <c r="B4298" s="31"/>
      <c r="F4298" s="32"/>
      <c r="I4298" s="32"/>
    </row>
    <row r="4299" spans="2:9" x14ac:dyDescent="0.25">
      <c r="B4299" s="31"/>
      <c r="F4299" s="32"/>
      <c r="I4299" s="32"/>
    </row>
    <row r="4300" spans="2:9" x14ac:dyDescent="0.25">
      <c r="B4300" s="31"/>
      <c r="F4300" s="32"/>
      <c r="I4300" s="32"/>
    </row>
    <row r="4301" spans="2:9" x14ac:dyDescent="0.25">
      <c r="B4301" s="31"/>
      <c r="F4301" s="32"/>
      <c r="I4301" s="32"/>
    </row>
    <row r="4302" spans="2:9" x14ac:dyDescent="0.25">
      <c r="B4302" s="31"/>
      <c r="F4302" s="32"/>
      <c r="I4302" s="32"/>
    </row>
    <row r="4303" spans="2:9" x14ac:dyDescent="0.25">
      <c r="B4303" s="31"/>
      <c r="F4303" s="32"/>
      <c r="I4303" s="32"/>
    </row>
    <row r="4304" spans="2:9" x14ac:dyDescent="0.25">
      <c r="B4304" s="31"/>
      <c r="F4304" s="32"/>
      <c r="I4304" s="32"/>
    </row>
    <row r="4305" spans="2:9" x14ac:dyDescent="0.25">
      <c r="B4305" s="31"/>
      <c r="F4305" s="32"/>
      <c r="I4305" s="32"/>
    </row>
    <row r="4306" spans="2:9" x14ac:dyDescent="0.25">
      <c r="B4306" s="31"/>
      <c r="F4306" s="32"/>
      <c r="I4306" s="32"/>
    </row>
    <row r="4307" spans="2:9" x14ac:dyDescent="0.25">
      <c r="B4307" s="31"/>
      <c r="F4307" s="32"/>
      <c r="I4307" s="32"/>
    </row>
    <row r="4308" spans="2:9" x14ac:dyDescent="0.25">
      <c r="B4308" s="31"/>
      <c r="F4308" s="32"/>
      <c r="I4308" s="32"/>
    </row>
    <row r="4309" spans="2:9" x14ac:dyDescent="0.25">
      <c r="B4309" s="31"/>
      <c r="F4309" s="32"/>
      <c r="I4309" s="32"/>
    </row>
    <row r="4310" spans="2:9" x14ac:dyDescent="0.25">
      <c r="B4310" s="31"/>
      <c r="F4310" s="32"/>
      <c r="I4310" s="32"/>
    </row>
    <row r="4311" spans="2:9" x14ac:dyDescent="0.25">
      <c r="B4311" s="31"/>
      <c r="F4311" s="32"/>
      <c r="I4311" s="32"/>
    </row>
    <row r="4312" spans="2:9" x14ac:dyDescent="0.25">
      <c r="B4312" s="31"/>
      <c r="F4312" s="32"/>
      <c r="I4312" s="32"/>
    </row>
    <row r="4313" spans="2:9" x14ac:dyDescent="0.25">
      <c r="B4313" s="31"/>
      <c r="F4313" s="32"/>
      <c r="I4313" s="32"/>
    </row>
    <row r="4314" spans="2:9" x14ac:dyDescent="0.25">
      <c r="B4314" s="31"/>
      <c r="F4314" s="32"/>
      <c r="I4314" s="32"/>
    </row>
    <row r="4315" spans="2:9" x14ac:dyDescent="0.25">
      <c r="B4315" s="31"/>
      <c r="F4315" s="32"/>
      <c r="I4315" s="32"/>
    </row>
    <row r="4316" spans="2:9" x14ac:dyDescent="0.25">
      <c r="B4316" s="31"/>
      <c r="F4316" s="32"/>
      <c r="I4316" s="32"/>
    </row>
    <row r="4317" spans="2:9" x14ac:dyDescent="0.25">
      <c r="B4317" s="31"/>
      <c r="F4317" s="32"/>
      <c r="I4317" s="32"/>
    </row>
    <row r="4318" spans="2:9" x14ac:dyDescent="0.25">
      <c r="B4318" s="31"/>
      <c r="F4318" s="32"/>
      <c r="I4318" s="32"/>
    </row>
    <row r="4319" spans="2:9" x14ac:dyDescent="0.25">
      <c r="B4319" s="31"/>
      <c r="F4319" s="32"/>
      <c r="I4319" s="32"/>
    </row>
    <row r="4320" spans="2:9" x14ac:dyDescent="0.25">
      <c r="B4320" s="31"/>
      <c r="F4320" s="32"/>
      <c r="I4320" s="32"/>
    </row>
    <row r="4321" spans="2:9" x14ac:dyDescent="0.25">
      <c r="B4321" s="31"/>
      <c r="F4321" s="32"/>
      <c r="I4321" s="32"/>
    </row>
    <row r="4322" spans="2:9" x14ac:dyDescent="0.25">
      <c r="B4322" s="31"/>
      <c r="F4322" s="32"/>
      <c r="I4322" s="32"/>
    </row>
    <row r="4323" spans="2:9" x14ac:dyDescent="0.25">
      <c r="B4323" s="31"/>
      <c r="F4323" s="32"/>
      <c r="I4323" s="32"/>
    </row>
    <row r="4324" spans="2:9" x14ac:dyDescent="0.25">
      <c r="B4324" s="31"/>
      <c r="F4324" s="32"/>
      <c r="I4324" s="32"/>
    </row>
    <row r="4325" spans="2:9" x14ac:dyDescent="0.25">
      <c r="B4325" s="31"/>
      <c r="F4325" s="32"/>
      <c r="I4325" s="32"/>
    </row>
    <row r="4326" spans="2:9" x14ac:dyDescent="0.25">
      <c r="B4326" s="31"/>
      <c r="F4326" s="32"/>
      <c r="I4326" s="32"/>
    </row>
    <row r="4327" spans="2:9" x14ac:dyDescent="0.25">
      <c r="B4327" s="31"/>
      <c r="F4327" s="32"/>
      <c r="I4327" s="32"/>
    </row>
    <row r="4328" spans="2:9" x14ac:dyDescent="0.25">
      <c r="B4328" s="31"/>
      <c r="F4328" s="32"/>
      <c r="I4328" s="32"/>
    </row>
    <row r="4329" spans="2:9" x14ac:dyDescent="0.25">
      <c r="B4329" s="31"/>
      <c r="F4329" s="32"/>
      <c r="I4329" s="32"/>
    </row>
    <row r="4330" spans="2:9" x14ac:dyDescent="0.25">
      <c r="B4330" s="31"/>
      <c r="F4330" s="32"/>
      <c r="I4330" s="32"/>
    </row>
    <row r="4331" spans="2:9" x14ac:dyDescent="0.25">
      <c r="B4331" s="31"/>
      <c r="F4331" s="32"/>
      <c r="I4331" s="32"/>
    </row>
    <row r="4332" spans="2:9" x14ac:dyDescent="0.25">
      <c r="B4332" s="31"/>
      <c r="F4332" s="32"/>
      <c r="I4332" s="32"/>
    </row>
    <row r="4333" spans="2:9" x14ac:dyDescent="0.25">
      <c r="B4333" s="31"/>
      <c r="F4333" s="32"/>
      <c r="I4333" s="32"/>
    </row>
    <row r="4334" spans="2:9" x14ac:dyDescent="0.25">
      <c r="B4334" s="31"/>
      <c r="F4334" s="32"/>
      <c r="I4334" s="32"/>
    </row>
    <row r="4335" spans="2:9" x14ac:dyDescent="0.25">
      <c r="B4335" s="31"/>
      <c r="F4335" s="32"/>
      <c r="I4335" s="32"/>
    </row>
    <row r="4336" spans="2:9" x14ac:dyDescent="0.25">
      <c r="B4336" s="31"/>
      <c r="F4336" s="32"/>
      <c r="I4336" s="32"/>
    </row>
    <row r="4337" spans="2:9" x14ac:dyDescent="0.25">
      <c r="B4337" s="31"/>
      <c r="F4337" s="32"/>
      <c r="I4337" s="32"/>
    </row>
    <row r="4338" spans="2:9" x14ac:dyDescent="0.25">
      <c r="B4338" s="31"/>
      <c r="F4338" s="32"/>
      <c r="I4338" s="32"/>
    </row>
    <row r="4339" spans="2:9" x14ac:dyDescent="0.25">
      <c r="B4339" s="31"/>
      <c r="F4339" s="32"/>
      <c r="I4339" s="32"/>
    </row>
    <row r="4340" spans="2:9" x14ac:dyDescent="0.25">
      <c r="B4340" s="31"/>
      <c r="F4340" s="32"/>
      <c r="I4340" s="32"/>
    </row>
    <row r="4341" spans="2:9" x14ac:dyDescent="0.25">
      <c r="B4341" s="31"/>
      <c r="F4341" s="32"/>
      <c r="I4341" s="32"/>
    </row>
    <row r="4342" spans="2:9" x14ac:dyDescent="0.25">
      <c r="B4342" s="31"/>
      <c r="F4342" s="32"/>
      <c r="I4342" s="32"/>
    </row>
    <row r="4343" spans="2:9" x14ac:dyDescent="0.25">
      <c r="B4343" s="31"/>
      <c r="F4343" s="32"/>
      <c r="I4343" s="32"/>
    </row>
    <row r="4344" spans="2:9" x14ac:dyDescent="0.25">
      <c r="B4344" s="31"/>
      <c r="F4344" s="32"/>
      <c r="I4344" s="32"/>
    </row>
    <row r="4345" spans="2:9" x14ac:dyDescent="0.25">
      <c r="B4345" s="31"/>
      <c r="F4345" s="32"/>
      <c r="I4345" s="32"/>
    </row>
    <row r="4346" spans="2:9" x14ac:dyDescent="0.25">
      <c r="B4346" s="31"/>
      <c r="F4346" s="32"/>
      <c r="I4346" s="32"/>
    </row>
    <row r="4347" spans="2:9" x14ac:dyDescent="0.25">
      <c r="B4347" s="31"/>
      <c r="F4347" s="32"/>
      <c r="I4347" s="32"/>
    </row>
    <row r="4348" spans="2:9" x14ac:dyDescent="0.25">
      <c r="B4348" s="31"/>
      <c r="F4348" s="32"/>
      <c r="I4348" s="32"/>
    </row>
    <row r="4349" spans="2:9" x14ac:dyDescent="0.25">
      <c r="B4349" s="31"/>
      <c r="F4349" s="32"/>
      <c r="I4349" s="32"/>
    </row>
    <row r="4350" spans="2:9" x14ac:dyDescent="0.25">
      <c r="B4350" s="31"/>
      <c r="F4350" s="32"/>
      <c r="I4350" s="32"/>
    </row>
    <row r="4351" spans="2:9" x14ac:dyDescent="0.25">
      <c r="B4351" s="31"/>
      <c r="F4351" s="32"/>
      <c r="I4351" s="32"/>
    </row>
    <row r="4352" spans="2:9" x14ac:dyDescent="0.25">
      <c r="B4352" s="31"/>
      <c r="F4352" s="32"/>
      <c r="I4352" s="32"/>
    </row>
    <row r="4353" spans="2:9" x14ac:dyDescent="0.25">
      <c r="B4353" s="31"/>
      <c r="F4353" s="32"/>
      <c r="I4353" s="32"/>
    </row>
    <row r="4354" spans="2:9" x14ac:dyDescent="0.25">
      <c r="B4354" s="31"/>
      <c r="F4354" s="32"/>
      <c r="I4354" s="32"/>
    </row>
    <row r="4355" spans="2:9" x14ac:dyDescent="0.25">
      <c r="B4355" s="31"/>
      <c r="F4355" s="32"/>
      <c r="I4355" s="32"/>
    </row>
    <row r="4356" spans="2:9" x14ac:dyDescent="0.25">
      <c r="B4356" s="31"/>
      <c r="F4356" s="32"/>
      <c r="I4356" s="32"/>
    </row>
    <row r="4357" spans="2:9" x14ac:dyDescent="0.25">
      <c r="B4357" s="31"/>
      <c r="F4357" s="32"/>
      <c r="I4357" s="32"/>
    </row>
    <row r="4358" spans="2:9" x14ac:dyDescent="0.25">
      <c r="B4358" s="31"/>
      <c r="F4358" s="32"/>
      <c r="I4358" s="32"/>
    </row>
  </sheetData>
  <pageMargins left="0.511811024" right="0.511811024" top="0.78740157499999996" bottom="0.78740157499999996" header="0.31496062000000002" footer="0.3149606200000000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Planilha30"/>
  <dimension ref="A1:AJ46"/>
  <sheetViews>
    <sheetView topLeftCell="AI1" workbookViewId="0">
      <selection activeCell="AI1" sqref="AI1"/>
    </sheetView>
  </sheetViews>
  <sheetFormatPr defaultRowHeight="15" x14ac:dyDescent="0.25"/>
  <cols>
    <col min="1" max="1" width="20.42578125" bestFit="1" customWidth="1"/>
    <col min="2" max="2" width="18.7109375" bestFit="1" customWidth="1"/>
    <col min="19" max="19" width="19.85546875" bestFit="1" customWidth="1"/>
    <col min="23" max="23" width="12.42578125" customWidth="1"/>
    <col min="26" max="26" width="12.5703125" customWidth="1"/>
    <col min="29" max="29" width="21.5703125" bestFit="1" customWidth="1"/>
    <col min="30" max="30" width="20.85546875" bestFit="1" customWidth="1"/>
    <col min="33" max="33" width="13.28515625" bestFit="1" customWidth="1"/>
    <col min="34" max="34" width="12.140625" customWidth="1"/>
  </cols>
  <sheetData>
    <row r="1" spans="1:36" ht="15.75" x14ac:dyDescent="0.25">
      <c r="H1" s="24">
        <v>1</v>
      </c>
      <c r="I1" s="24" t="s">
        <v>51</v>
      </c>
      <c r="J1" s="25">
        <v>1</v>
      </c>
      <c r="K1" s="24" t="s">
        <v>51</v>
      </c>
      <c r="M1" s="24">
        <v>1</v>
      </c>
      <c r="N1" s="25" t="s">
        <v>33</v>
      </c>
      <c r="O1" s="25">
        <v>1</v>
      </c>
      <c r="P1" s="25">
        <f>K2</f>
        <v>2021</v>
      </c>
      <c r="Q1" s="26">
        <v>1</v>
      </c>
      <c r="R1" s="25">
        <v>1</v>
      </c>
      <c r="S1" s="20" t="s">
        <v>51</v>
      </c>
      <c r="U1" s="25">
        <v>1</v>
      </c>
      <c r="V1" s="20" t="s">
        <v>51</v>
      </c>
      <c r="W1" s="1" t="s">
        <v>52</v>
      </c>
      <c r="X1" s="1" t="s">
        <v>53</v>
      </c>
      <c r="Y1" s="1" t="s">
        <v>54</v>
      </c>
      <c r="Z1" s="28" t="s">
        <v>55</v>
      </c>
      <c r="AA1">
        <v>1</v>
      </c>
      <c r="AB1">
        <f>COUNT(W2:W46)+1</f>
        <v>1</v>
      </c>
      <c r="AC1" t="str">
        <f>"CADASTRO_AUX!V2:V"&amp;AB1</f>
        <v>CADASTRO_AUX!V2:V1</v>
      </c>
      <c r="AD1" t="str">
        <f>"CADASTRO_AUX!Z2:Z"&amp;AB1</f>
        <v>CADASTRO_AUX!Z2:Z1</v>
      </c>
      <c r="AF1" s="25">
        <v>1</v>
      </c>
      <c r="AG1" s="20" t="s">
        <v>51</v>
      </c>
      <c r="AH1" s="1" t="s">
        <v>159</v>
      </c>
      <c r="AI1" t="s">
        <v>160</v>
      </c>
    </row>
    <row r="2" spans="1:36" ht="15.75" x14ac:dyDescent="0.25">
      <c r="H2" s="24">
        <v>2</v>
      </c>
      <c r="I2" s="25" t="s">
        <v>33</v>
      </c>
      <c r="J2" s="25">
        <f>J1+1</f>
        <v>2</v>
      </c>
      <c r="K2" s="25">
        <f>INICIO!A1</f>
        <v>2021</v>
      </c>
      <c r="M2" s="24">
        <v>2</v>
      </c>
      <c r="N2" s="25" t="s">
        <v>34</v>
      </c>
      <c r="O2" s="25">
        <f>O1+1</f>
        <v>2</v>
      </c>
      <c r="P2" s="25">
        <f>P1+1</f>
        <v>2022</v>
      </c>
      <c r="Q2" s="26">
        <v>2</v>
      </c>
      <c r="R2" s="25">
        <v>2</v>
      </c>
      <c r="S2" s="20" t="str">
        <f>IF(ISERROR(VLOOKUP(R1,CADASTRO_03!A:B,2,0)),"",(VLOOKUP(R1,CADASTRO_03!A:B,2,0)))</f>
        <v/>
      </c>
      <c r="U2" s="25">
        <v>2</v>
      </c>
      <c r="V2" s="20" t="str">
        <f>IF(ISERROR(VLOOKUP(U1,CADASTRO_04!A:C,2,0)),"",(VLOOKUP(U1,CADASTRO_04!A:C,2,0)))</f>
        <v/>
      </c>
      <c r="W2" s="1" t="str">
        <f>IF(ISERROR(VLOOKUP(U1,CADASTRO_04!A:D,3,0)),"",(VLOOKUP(U1,CADASTRO_04!A:D,3,0)))</f>
        <v/>
      </c>
      <c r="X2" s="1">
        <f>IF(RELATORIO_03!$O$1=1,(SUMIFS(LANÇAMENTOS_01!J:J,LANÇAMENTOS_01!L:L,"&lt;&gt;"&amp;"",LANÇAMENTOS_01!G:G,CADASTRO_AUX!V2)-SUMIFS(LANÇAMENTOS_02!J:J,LANÇAMENTOS_02!L:L,"&lt;&gt;"&amp;"",LANÇAMENTOS_02!G:G,CADASTRO_AUX!V2)),SUMIFS(LANÇAMENTOS_01!J:J,LANÇAMENTOS_01!K:K,"&lt;&gt;"&amp;"",LANÇAMENTOS_01!G:G,CADASTRO_AUX!V2)-SUMIFS(LANÇAMENTOS_02!J:J,LANÇAMENTOS_02!K:K,"&lt;&gt;"&amp;"",LANÇAMENTOS_02!G:G,CADASTRO_AUX!V2))</f>
        <v>0</v>
      </c>
      <c r="Y2" s="1">
        <f>IF(V2="",0,SUMIF(LANÇAMENTOS_03!G:G,V2,LANÇAMENTOS_03!J:J))</f>
        <v>0</v>
      </c>
      <c r="Z2" s="29">
        <f>IF(W2="",0,W2+Y2+X2)</f>
        <v>0</v>
      </c>
      <c r="AA2">
        <v>2</v>
      </c>
      <c r="AF2" s="25">
        <v>2</v>
      </c>
      <c r="AG2" s="20" t="str">
        <f>IF(ISERROR(VLOOKUP(AF1,CADASTRO_05!A:D,2,0)),"",(VLOOKUP(AF1,CADASTRO_05!A:D,2,0)))</f>
        <v>Dinheiro</v>
      </c>
      <c r="AH2" s="1">
        <f>IF(RELATORIO_03!$O$1=1,(SUMIFS(LANÇAMENTOS_01!J:J,LANÇAMENTOS_01!L:L,"&lt;&gt;"&amp;"",LANÇAMENTOS_01!F:F,CADASTRO_AUX!AG2)),SUMIFS(LANÇAMENTOS_01!J:J,LANÇAMENTOS_01!K:K,"&lt;&gt;"&amp;"",LANÇAMENTOS_01!F:F,CADASTRO_AUX!AG2))</f>
        <v>0</v>
      </c>
      <c r="AI2">
        <f>IF(RELATORIO_03!$O$1=1,(SUMIFS(LANÇAMENTOS_02!J:J,LANÇAMENTOS_02!L:L,"&lt;&gt;"&amp;"",LANÇAMENTOS_02!F:F,CADASTRO_AUX!AG2)),SUMIFS(LANÇAMENTOS_02!J:J,LANÇAMENTOS_02!K:K,"&lt;&gt;"&amp;"",LANÇAMENTOS_02!F:F,CADASTRO_AUX!AG2))</f>
        <v>0</v>
      </c>
      <c r="AJ2">
        <f>AH2-AI2</f>
        <v>0</v>
      </c>
    </row>
    <row r="3" spans="1:36" ht="15.75" x14ac:dyDescent="0.25">
      <c r="H3" s="24">
        <v>3</v>
      </c>
      <c r="I3" s="25" t="s">
        <v>34</v>
      </c>
      <c r="J3" s="25">
        <f t="shared" ref="J3:K13" si="0">J2+1</f>
        <v>3</v>
      </c>
      <c r="K3" s="25">
        <f>K2+1</f>
        <v>2022</v>
      </c>
      <c r="M3" s="24">
        <v>3</v>
      </c>
      <c r="N3" s="25" t="s">
        <v>35</v>
      </c>
      <c r="O3" s="25">
        <f t="shared" ref="O3:P13" si="1">O2+1</f>
        <v>3</v>
      </c>
      <c r="P3" s="25">
        <f t="shared" si="1"/>
        <v>2023</v>
      </c>
      <c r="Q3" s="26">
        <v>3</v>
      </c>
      <c r="R3" s="25">
        <f t="shared" ref="R3:R46" si="2">R2+1</f>
        <v>3</v>
      </c>
      <c r="S3" s="20" t="str">
        <f>IF(ISERROR(VLOOKUP(R2,CADASTRO_03!A:B,2,0)),"",(VLOOKUP(R2,CADASTRO_03!A:B,2,0)))</f>
        <v/>
      </c>
      <c r="U3" s="25">
        <f>U2+1</f>
        <v>3</v>
      </c>
      <c r="V3" s="20" t="str">
        <f>IF(ISERROR(VLOOKUP(U2,CADASTRO_04!A:C,2,0)),"",(VLOOKUP(U2,CADASTRO_04!A:C,2,0)))</f>
        <v/>
      </c>
      <c r="W3" s="1" t="str">
        <f>IF(ISERROR(VLOOKUP(U2,CADASTRO_04!A:D,3,0)),"",(VLOOKUP(U2,CADASTRO_04!A:D,3,0)))</f>
        <v/>
      </c>
      <c r="X3" s="1">
        <f>IF(RELATORIO_03!$O$1=1,(SUMIFS(LANÇAMENTOS_01!J:J,LANÇAMENTOS_01!L:L,"&lt;&gt;"&amp;"",LANÇAMENTOS_01!G:G,CADASTRO_AUX!V3)-SUMIFS(LANÇAMENTOS_02!J:J,LANÇAMENTOS_02!L:L,"&lt;&gt;"&amp;"",LANÇAMENTOS_02!G:G,CADASTRO_AUX!V3)),SUMIFS(LANÇAMENTOS_01!J:J,LANÇAMENTOS_01!K:K,"&lt;&gt;"&amp;"",LANÇAMENTOS_01!G:G,CADASTRO_AUX!V3)-SUMIFS(LANÇAMENTOS_02!J:J,LANÇAMENTOS_02!K:K,"&lt;&gt;"&amp;"",LANÇAMENTOS_02!G:G,CADASTRO_AUX!V3))</f>
        <v>0</v>
      </c>
      <c r="Y3" s="1">
        <f>IF(V3="",0,SUMIF(LANÇAMENTOS_03!G:G,V3,LANÇAMENTOS_03!J:J))</f>
        <v>0</v>
      </c>
      <c r="Z3" s="29">
        <f t="shared" ref="Z3:Z46" si="3">IF(W3="",0,W3+Y3+X3)</f>
        <v>0</v>
      </c>
      <c r="AA3">
        <v>3</v>
      </c>
      <c r="AF3" s="25">
        <f>AF2+1</f>
        <v>3</v>
      </c>
      <c r="AG3" s="20" t="str">
        <f>IF(ISERROR(VLOOKUP(AF2,CADASTRO_05!A:D,2,0)),"",(VLOOKUP(AF2,CADASTRO_05!A:D,2,0)))</f>
        <v/>
      </c>
      <c r="AH3" s="1">
        <f>IF(RELATORIO_03!$O$1=1,(SUMIFS(LANÇAMENTOS_01!J:J,LANÇAMENTOS_01!L:L,"&lt;&gt;"&amp;"",LANÇAMENTOS_01!F:F,CADASTRO_AUX!AG3)),SUMIFS(LANÇAMENTOS_01!J:J,LANÇAMENTOS_01!K:K,"&lt;&gt;"&amp;"",LANÇAMENTOS_01!F:F,CADASTRO_AUX!AG3))</f>
        <v>0</v>
      </c>
      <c r="AI3">
        <f>IF(RELATORIO_03!$O$1=1,(SUMIFS(LANÇAMENTOS_02!J:J,LANÇAMENTOS_02!L:L,"&lt;&gt;"&amp;"",LANÇAMENTOS_02!F:F,CADASTRO_AUX!AG3)),SUMIFS(LANÇAMENTOS_02!J:J,LANÇAMENTOS_02!K:K,"&lt;&gt;"&amp;"",LANÇAMENTOS_02!F:F,CADASTRO_AUX!AG3))</f>
        <v>0</v>
      </c>
      <c r="AJ3">
        <f t="shared" ref="AJ3:AJ46" si="4">AH3-AI3</f>
        <v>0</v>
      </c>
    </row>
    <row r="4" spans="1:36" ht="15.75" x14ac:dyDescent="0.25">
      <c r="H4" s="24">
        <v>4</v>
      </c>
      <c r="I4" s="25" t="s">
        <v>35</v>
      </c>
      <c r="J4" s="25">
        <f t="shared" si="0"/>
        <v>4</v>
      </c>
      <c r="K4" s="25">
        <f t="shared" si="0"/>
        <v>2023</v>
      </c>
      <c r="M4" s="24">
        <v>4</v>
      </c>
      <c r="N4" s="25" t="s">
        <v>36</v>
      </c>
      <c r="O4" s="25">
        <f t="shared" si="1"/>
        <v>4</v>
      </c>
      <c r="P4" s="25">
        <f t="shared" si="1"/>
        <v>2024</v>
      </c>
      <c r="Q4" s="26">
        <v>4</v>
      </c>
      <c r="R4" s="25">
        <f t="shared" si="2"/>
        <v>4</v>
      </c>
      <c r="S4" s="20" t="str">
        <f>IF(ISERROR(VLOOKUP(R3,CADASTRO_03!A:B,2,0)),"",(VLOOKUP(R3,CADASTRO_03!A:B,2,0)))</f>
        <v/>
      </c>
      <c r="U4" s="25">
        <f t="shared" ref="U4:U46" si="5">U3+1</f>
        <v>4</v>
      </c>
      <c r="V4" s="20" t="str">
        <f>IF(ISERROR(VLOOKUP(U3,CADASTRO_04!A:C,2,0)),"",(VLOOKUP(U3,CADASTRO_04!A:C,2,0)))</f>
        <v/>
      </c>
      <c r="W4" s="1" t="str">
        <f>IF(ISERROR(VLOOKUP(U3,CADASTRO_04!A:D,3,0)),"",(VLOOKUP(U3,CADASTRO_04!A:D,3,0)))</f>
        <v/>
      </c>
      <c r="X4" s="1">
        <f>IF(RELATORIO_03!$O$1=1,(SUMIFS(LANÇAMENTOS_01!J:J,LANÇAMENTOS_01!L:L,"&lt;&gt;"&amp;"",LANÇAMENTOS_01!G:G,CADASTRO_AUX!V4)-SUMIFS(LANÇAMENTOS_02!J:J,LANÇAMENTOS_02!L:L,"&lt;&gt;"&amp;"",LANÇAMENTOS_02!G:G,CADASTRO_AUX!V4)),SUMIFS(LANÇAMENTOS_01!J:J,LANÇAMENTOS_01!K:K,"&lt;&gt;"&amp;"",LANÇAMENTOS_01!G:G,CADASTRO_AUX!V4)-SUMIFS(LANÇAMENTOS_02!J:J,LANÇAMENTOS_02!K:K,"&lt;&gt;"&amp;"",LANÇAMENTOS_02!G:G,CADASTRO_AUX!V4))</f>
        <v>0</v>
      </c>
      <c r="Y4" s="1">
        <f>IF(V4="",0,SUMIF(LANÇAMENTOS_03!G:G,V4,LANÇAMENTOS_03!J:J))</f>
        <v>0</v>
      </c>
      <c r="Z4" s="29">
        <f t="shared" si="3"/>
        <v>0</v>
      </c>
      <c r="AA4">
        <v>4</v>
      </c>
      <c r="AF4" s="25">
        <f t="shared" ref="AF4:AF46" si="6">AF3+1</f>
        <v>4</v>
      </c>
      <c r="AG4" s="20" t="str">
        <f>IF(ISERROR(VLOOKUP(AF3,CADASTRO_05!A:D,2,0)),"",(VLOOKUP(AF3,CADASTRO_05!A:D,2,0)))</f>
        <v/>
      </c>
      <c r="AH4" s="1">
        <f>IF(RELATORIO_03!$O$1=1,(SUMIFS(LANÇAMENTOS_01!J:J,LANÇAMENTOS_01!L:L,"&lt;&gt;"&amp;"",LANÇAMENTOS_01!F:F,CADASTRO_AUX!AG4)),SUMIFS(LANÇAMENTOS_01!J:J,LANÇAMENTOS_01!K:K,"&lt;&gt;"&amp;"",LANÇAMENTOS_01!F:F,CADASTRO_AUX!AG4))</f>
        <v>0</v>
      </c>
      <c r="AI4">
        <f>IF(RELATORIO_03!$O$1=1,(SUMIFS(LANÇAMENTOS_02!J:J,LANÇAMENTOS_02!L:L,"&lt;&gt;"&amp;"",LANÇAMENTOS_02!F:F,CADASTRO_AUX!AG4)),SUMIFS(LANÇAMENTOS_02!J:J,LANÇAMENTOS_02!K:K,"&lt;&gt;"&amp;"",LANÇAMENTOS_02!F:F,CADASTRO_AUX!AG4))</f>
        <v>0</v>
      </c>
      <c r="AJ4">
        <f t="shared" si="4"/>
        <v>0</v>
      </c>
    </row>
    <row r="5" spans="1:36" ht="15.75" x14ac:dyDescent="0.25">
      <c r="B5" s="144">
        <f>RELATORIO_03!E15</f>
        <v>0</v>
      </c>
      <c r="H5" s="24">
        <v>5</v>
      </c>
      <c r="I5" s="25" t="s">
        <v>36</v>
      </c>
      <c r="J5" s="25">
        <f t="shared" si="0"/>
        <v>5</v>
      </c>
      <c r="K5" s="25">
        <f t="shared" si="0"/>
        <v>2024</v>
      </c>
      <c r="M5" s="24">
        <v>5</v>
      </c>
      <c r="N5" s="25" t="s">
        <v>37</v>
      </c>
      <c r="O5" s="25">
        <f t="shared" si="1"/>
        <v>5</v>
      </c>
      <c r="P5" s="25">
        <f t="shared" si="1"/>
        <v>2025</v>
      </c>
      <c r="Q5" s="26">
        <v>5</v>
      </c>
      <c r="R5" s="25">
        <f t="shared" si="2"/>
        <v>5</v>
      </c>
      <c r="S5" s="20" t="str">
        <f>IF(ISERROR(VLOOKUP(R4,CADASTRO_03!A:B,2,0)),"",(VLOOKUP(R4,CADASTRO_03!A:B,2,0)))</f>
        <v/>
      </c>
      <c r="U5" s="25">
        <f t="shared" si="5"/>
        <v>5</v>
      </c>
      <c r="V5" s="20" t="str">
        <f>IF(ISERROR(VLOOKUP(U4,CADASTRO_04!A:C,2,0)),"",(VLOOKUP(U4,CADASTRO_04!A:C,2,0)))</f>
        <v/>
      </c>
      <c r="W5" s="1" t="str">
        <f>IF(ISERROR(VLOOKUP(U4,CADASTRO_04!A:D,3,0)),"",(VLOOKUP(U4,CADASTRO_04!A:D,3,0)))</f>
        <v/>
      </c>
      <c r="X5" s="1">
        <f>IF(RELATORIO_03!$O$1=1,(SUMIFS(LANÇAMENTOS_01!J:J,LANÇAMENTOS_01!L:L,"&lt;&gt;"&amp;"",LANÇAMENTOS_01!G:G,CADASTRO_AUX!V5)-SUMIFS(LANÇAMENTOS_02!J:J,LANÇAMENTOS_02!L:L,"&lt;&gt;"&amp;"",LANÇAMENTOS_02!G:G,CADASTRO_AUX!V5)),SUMIFS(LANÇAMENTOS_01!J:J,LANÇAMENTOS_01!K:K,"&lt;&gt;"&amp;"",LANÇAMENTOS_01!G:G,CADASTRO_AUX!V5)-SUMIFS(LANÇAMENTOS_02!J:J,LANÇAMENTOS_02!K:K,"&lt;&gt;"&amp;"",LANÇAMENTOS_02!G:G,CADASTRO_AUX!V5))</f>
        <v>0</v>
      </c>
      <c r="Y5" s="1">
        <f>IF(V5="",0,SUMIF(LANÇAMENTOS_03!G:G,V5,LANÇAMENTOS_03!J:J))</f>
        <v>0</v>
      </c>
      <c r="Z5" s="29">
        <f t="shared" si="3"/>
        <v>0</v>
      </c>
      <c r="AA5">
        <v>5</v>
      </c>
      <c r="AF5" s="25">
        <f t="shared" si="6"/>
        <v>5</v>
      </c>
      <c r="AG5" s="20" t="str">
        <f>IF(ISERROR(VLOOKUP(AF4,CADASTRO_05!A:D,2,0)),"",(VLOOKUP(AF4,CADASTRO_05!A:D,2,0)))</f>
        <v/>
      </c>
      <c r="AH5" s="1">
        <f>IF(RELATORIO_03!$O$1=1,(SUMIFS(LANÇAMENTOS_01!J:J,LANÇAMENTOS_01!L:L,"&lt;&gt;"&amp;"",LANÇAMENTOS_01!F:F,CADASTRO_AUX!AG5)),SUMIFS(LANÇAMENTOS_01!J:J,LANÇAMENTOS_01!K:K,"&lt;&gt;"&amp;"",LANÇAMENTOS_01!F:F,CADASTRO_AUX!AG5))</f>
        <v>0</v>
      </c>
      <c r="AI5">
        <f>IF(RELATORIO_03!$O$1=1,(SUMIFS(LANÇAMENTOS_02!J:J,LANÇAMENTOS_02!L:L,"&lt;&gt;"&amp;"",LANÇAMENTOS_02!F:F,CADASTRO_AUX!AG5)),SUMIFS(LANÇAMENTOS_02!J:J,LANÇAMENTOS_02!K:K,"&lt;&gt;"&amp;"",LANÇAMENTOS_02!F:F,CADASTRO_AUX!AG5))</f>
        <v>0</v>
      </c>
      <c r="AJ5">
        <f t="shared" si="4"/>
        <v>0</v>
      </c>
    </row>
    <row r="6" spans="1:36" ht="15.75" x14ac:dyDescent="0.25">
      <c r="H6" s="24">
        <v>6</v>
      </c>
      <c r="I6" s="25" t="s">
        <v>37</v>
      </c>
      <c r="J6" s="25">
        <f t="shared" si="0"/>
        <v>6</v>
      </c>
      <c r="K6" s="25">
        <f t="shared" si="0"/>
        <v>2025</v>
      </c>
      <c r="M6" s="24">
        <v>6</v>
      </c>
      <c r="N6" s="25" t="s">
        <v>38</v>
      </c>
      <c r="O6" s="25">
        <f t="shared" si="1"/>
        <v>6</v>
      </c>
      <c r="P6" s="25">
        <f t="shared" si="1"/>
        <v>2026</v>
      </c>
      <c r="Q6" s="26">
        <v>6</v>
      </c>
      <c r="R6" s="25">
        <f t="shared" si="2"/>
        <v>6</v>
      </c>
      <c r="S6" s="20" t="str">
        <f>IF(ISERROR(VLOOKUP(R5,CADASTRO_03!A:B,2,0)),"",(VLOOKUP(R5,CADASTRO_03!A:B,2,0)))</f>
        <v/>
      </c>
      <c r="U6" s="25">
        <f t="shared" si="5"/>
        <v>6</v>
      </c>
      <c r="V6" s="20" t="str">
        <f>IF(ISERROR(VLOOKUP(U5,CADASTRO_04!A:C,2,0)),"",(VLOOKUP(U5,CADASTRO_04!A:C,2,0)))</f>
        <v/>
      </c>
      <c r="W6" s="1" t="str">
        <f>IF(ISERROR(VLOOKUP(U5,CADASTRO_04!A:D,3,0)),"",(VLOOKUP(U5,CADASTRO_04!A:D,3,0)))</f>
        <v/>
      </c>
      <c r="X6" s="1">
        <f>IF(RELATORIO_03!$O$1=1,(SUMIFS(LANÇAMENTOS_01!J:J,LANÇAMENTOS_01!L:L,"&lt;&gt;"&amp;"",LANÇAMENTOS_01!G:G,CADASTRO_AUX!V6)-SUMIFS(LANÇAMENTOS_02!J:J,LANÇAMENTOS_02!L:L,"&lt;&gt;"&amp;"",LANÇAMENTOS_02!G:G,CADASTRO_AUX!V6)),SUMIFS(LANÇAMENTOS_01!J:J,LANÇAMENTOS_01!K:K,"&lt;&gt;"&amp;"",LANÇAMENTOS_01!G:G,CADASTRO_AUX!V6)-SUMIFS(LANÇAMENTOS_02!J:J,LANÇAMENTOS_02!K:K,"&lt;&gt;"&amp;"",LANÇAMENTOS_02!G:G,CADASTRO_AUX!V6))</f>
        <v>0</v>
      </c>
      <c r="Y6" s="1">
        <f>IF(V6="",0,SUMIF(LANÇAMENTOS_03!G:G,V6,LANÇAMENTOS_03!J:J))</f>
        <v>0</v>
      </c>
      <c r="Z6" s="29">
        <f t="shared" si="3"/>
        <v>0</v>
      </c>
      <c r="AA6">
        <v>6</v>
      </c>
      <c r="AF6" s="25">
        <f t="shared" si="6"/>
        <v>6</v>
      </c>
      <c r="AG6" s="20" t="str">
        <f>IF(ISERROR(VLOOKUP(AF5,CADASTRO_05!A:D,2,0)),"",(VLOOKUP(AF5,CADASTRO_05!A:D,2,0)))</f>
        <v/>
      </c>
      <c r="AH6" s="1">
        <f>IF(RELATORIO_03!$O$1=1,(SUMIFS(LANÇAMENTOS_01!J:J,LANÇAMENTOS_01!L:L,"&lt;&gt;"&amp;"",LANÇAMENTOS_01!F:F,CADASTRO_AUX!AG6)),SUMIFS(LANÇAMENTOS_01!J:J,LANÇAMENTOS_01!K:K,"&lt;&gt;"&amp;"",LANÇAMENTOS_01!F:F,CADASTRO_AUX!AG6))</f>
        <v>0</v>
      </c>
      <c r="AI6">
        <f>IF(RELATORIO_03!$O$1=1,(SUMIFS(LANÇAMENTOS_02!J:J,LANÇAMENTOS_02!L:L,"&lt;&gt;"&amp;"",LANÇAMENTOS_02!F:F,CADASTRO_AUX!AG6)),SUMIFS(LANÇAMENTOS_02!J:J,LANÇAMENTOS_02!K:K,"&lt;&gt;"&amp;"",LANÇAMENTOS_02!F:F,CADASTRO_AUX!AG6))</f>
        <v>0</v>
      </c>
      <c r="AJ6">
        <f t="shared" si="4"/>
        <v>0</v>
      </c>
    </row>
    <row r="7" spans="1:36" ht="15.75" x14ac:dyDescent="0.25">
      <c r="H7" s="24">
        <v>7</v>
      </c>
      <c r="I7" s="25" t="s">
        <v>38</v>
      </c>
      <c r="J7" s="25">
        <f t="shared" si="0"/>
        <v>7</v>
      </c>
      <c r="K7" s="25">
        <f t="shared" si="0"/>
        <v>2026</v>
      </c>
      <c r="M7" s="24">
        <v>7</v>
      </c>
      <c r="N7" s="25" t="s">
        <v>39</v>
      </c>
      <c r="O7" s="25">
        <f t="shared" si="1"/>
        <v>7</v>
      </c>
      <c r="P7" s="25">
        <f t="shared" si="1"/>
        <v>2027</v>
      </c>
      <c r="Q7" s="26">
        <v>7</v>
      </c>
      <c r="R7" s="25">
        <f t="shared" si="2"/>
        <v>7</v>
      </c>
      <c r="S7" s="20" t="str">
        <f>IF(ISERROR(VLOOKUP(R6,CADASTRO_03!A:B,2,0)),"",(VLOOKUP(R6,CADASTRO_03!A:B,2,0)))</f>
        <v/>
      </c>
      <c r="U7" s="25">
        <f t="shared" si="5"/>
        <v>7</v>
      </c>
      <c r="V7" s="20" t="str">
        <f>IF(ISERROR(VLOOKUP(U6,CADASTRO_04!A:C,2,0)),"",(VLOOKUP(U6,CADASTRO_04!A:C,2,0)))</f>
        <v/>
      </c>
      <c r="W7" s="1" t="str">
        <f>IF(ISERROR(VLOOKUP(U6,CADASTRO_04!A:D,3,0)),"",(VLOOKUP(U6,CADASTRO_04!A:D,3,0)))</f>
        <v/>
      </c>
      <c r="X7" s="1">
        <f>IF(RELATORIO_03!$O$1=1,(SUMIFS(LANÇAMENTOS_01!J:J,LANÇAMENTOS_01!L:L,"&lt;&gt;"&amp;"",LANÇAMENTOS_01!G:G,CADASTRO_AUX!V7)-SUMIFS(LANÇAMENTOS_02!J:J,LANÇAMENTOS_02!L:L,"&lt;&gt;"&amp;"",LANÇAMENTOS_02!G:G,CADASTRO_AUX!V7)),SUMIFS(LANÇAMENTOS_01!J:J,LANÇAMENTOS_01!K:K,"&lt;&gt;"&amp;"",LANÇAMENTOS_01!G:G,CADASTRO_AUX!V7)-SUMIFS(LANÇAMENTOS_02!J:J,LANÇAMENTOS_02!K:K,"&lt;&gt;"&amp;"",LANÇAMENTOS_02!G:G,CADASTRO_AUX!V7))</f>
        <v>0</v>
      </c>
      <c r="Y7" s="1">
        <f>IF(V7="",0,SUMIF(LANÇAMENTOS_03!G:G,V7,LANÇAMENTOS_03!J:J))</f>
        <v>0</v>
      </c>
      <c r="Z7" s="29">
        <f t="shared" si="3"/>
        <v>0</v>
      </c>
      <c r="AA7">
        <v>7</v>
      </c>
      <c r="AF7" s="25">
        <f t="shared" si="6"/>
        <v>7</v>
      </c>
      <c r="AG7" s="20" t="str">
        <f>IF(ISERROR(VLOOKUP(AF6,CADASTRO_05!A:D,2,0)),"",(VLOOKUP(AF6,CADASTRO_05!A:D,2,0)))</f>
        <v/>
      </c>
      <c r="AH7" s="1">
        <f>IF(RELATORIO_03!$O$1=1,(SUMIFS(LANÇAMENTOS_01!J:J,LANÇAMENTOS_01!L:L,"&lt;&gt;"&amp;"",LANÇAMENTOS_01!F:F,CADASTRO_AUX!AG7)),SUMIFS(LANÇAMENTOS_01!J:J,LANÇAMENTOS_01!K:K,"&lt;&gt;"&amp;"",LANÇAMENTOS_01!F:F,CADASTRO_AUX!AG7))</f>
        <v>0</v>
      </c>
      <c r="AI7">
        <f>IF(RELATORIO_03!$O$1=1,(SUMIFS(LANÇAMENTOS_02!J:J,LANÇAMENTOS_02!L:L,"&lt;&gt;"&amp;"",LANÇAMENTOS_02!F:F,CADASTRO_AUX!AG7)),SUMIFS(LANÇAMENTOS_02!J:J,LANÇAMENTOS_02!K:K,"&lt;&gt;"&amp;"",LANÇAMENTOS_02!F:F,CADASTRO_AUX!AG7))</f>
        <v>0</v>
      </c>
      <c r="AJ7">
        <f t="shared" si="4"/>
        <v>0</v>
      </c>
    </row>
    <row r="8" spans="1:36" ht="15.75" x14ac:dyDescent="0.25">
      <c r="H8" s="24">
        <v>8</v>
      </c>
      <c r="I8" s="25" t="s">
        <v>39</v>
      </c>
      <c r="J8" s="25">
        <f t="shared" si="0"/>
        <v>8</v>
      </c>
      <c r="K8" s="25">
        <f t="shared" si="0"/>
        <v>2027</v>
      </c>
      <c r="M8" s="24">
        <v>8</v>
      </c>
      <c r="N8" s="25" t="s">
        <v>40</v>
      </c>
      <c r="O8" s="25">
        <f t="shared" si="1"/>
        <v>8</v>
      </c>
      <c r="P8" s="25">
        <f t="shared" si="1"/>
        <v>2028</v>
      </c>
      <c r="Q8" s="26">
        <v>8</v>
      </c>
      <c r="R8" s="25">
        <f t="shared" si="2"/>
        <v>8</v>
      </c>
      <c r="S8" s="20" t="str">
        <f>IF(ISERROR(VLOOKUP(R7,CADASTRO_03!A:B,2,0)),"",(VLOOKUP(R7,CADASTRO_03!A:B,2,0)))</f>
        <v/>
      </c>
      <c r="U8" s="25">
        <f t="shared" si="5"/>
        <v>8</v>
      </c>
      <c r="V8" s="20" t="str">
        <f>IF(ISERROR(VLOOKUP(U7,CADASTRO_04!A:C,2,0)),"",(VLOOKUP(U7,CADASTRO_04!A:C,2,0)))</f>
        <v/>
      </c>
      <c r="W8" s="1" t="str">
        <f>IF(ISERROR(VLOOKUP(U7,CADASTRO_04!A:D,3,0)),"",(VLOOKUP(U7,CADASTRO_04!A:D,3,0)))</f>
        <v/>
      </c>
      <c r="X8" s="1">
        <f>IF(RELATORIO_03!$O$1=1,(SUMIFS(LANÇAMENTOS_01!J:J,LANÇAMENTOS_01!L:L,"&lt;&gt;"&amp;"",LANÇAMENTOS_01!G:G,CADASTRO_AUX!V8)-SUMIFS(LANÇAMENTOS_02!J:J,LANÇAMENTOS_02!L:L,"&lt;&gt;"&amp;"",LANÇAMENTOS_02!G:G,CADASTRO_AUX!V8)),SUMIFS(LANÇAMENTOS_01!J:J,LANÇAMENTOS_01!K:K,"&lt;&gt;"&amp;"",LANÇAMENTOS_01!G:G,CADASTRO_AUX!V8)-SUMIFS(LANÇAMENTOS_02!J:J,LANÇAMENTOS_02!K:K,"&lt;&gt;"&amp;"",LANÇAMENTOS_02!G:G,CADASTRO_AUX!V8))</f>
        <v>0</v>
      </c>
      <c r="Y8" s="1">
        <f>IF(V8="",0,SUMIF(LANÇAMENTOS_03!G:G,V8,LANÇAMENTOS_03!J:J))</f>
        <v>0</v>
      </c>
      <c r="Z8" s="29">
        <f t="shared" si="3"/>
        <v>0</v>
      </c>
      <c r="AA8">
        <v>8</v>
      </c>
      <c r="AF8" s="25">
        <f t="shared" si="6"/>
        <v>8</v>
      </c>
      <c r="AG8" s="20" t="str">
        <f>IF(ISERROR(VLOOKUP(AF7,CADASTRO_05!A:D,2,0)),"",(VLOOKUP(AF7,CADASTRO_05!A:D,2,0)))</f>
        <v/>
      </c>
      <c r="AH8" s="1">
        <f>IF(RELATORIO_03!$O$1=1,(SUMIFS(LANÇAMENTOS_01!J:J,LANÇAMENTOS_01!L:L,"&lt;&gt;"&amp;"",LANÇAMENTOS_01!F:F,CADASTRO_AUX!AG8)),SUMIFS(LANÇAMENTOS_01!J:J,LANÇAMENTOS_01!K:K,"&lt;&gt;"&amp;"",LANÇAMENTOS_01!F:F,CADASTRO_AUX!AG8))</f>
        <v>0</v>
      </c>
      <c r="AI8">
        <f>IF(RELATORIO_03!$O$1=1,(SUMIFS(LANÇAMENTOS_02!J:J,LANÇAMENTOS_02!L:L,"&lt;&gt;"&amp;"",LANÇAMENTOS_02!F:F,CADASTRO_AUX!AG8)),SUMIFS(LANÇAMENTOS_02!J:J,LANÇAMENTOS_02!K:K,"&lt;&gt;"&amp;"",LANÇAMENTOS_02!F:F,CADASTRO_AUX!AG8))</f>
        <v>0</v>
      </c>
      <c r="AJ8">
        <f t="shared" si="4"/>
        <v>0</v>
      </c>
    </row>
    <row r="9" spans="1:36" ht="15.75" x14ac:dyDescent="0.25">
      <c r="H9" s="24">
        <v>9</v>
      </c>
      <c r="I9" s="25" t="s">
        <v>40</v>
      </c>
      <c r="J9" s="25">
        <f t="shared" si="0"/>
        <v>9</v>
      </c>
      <c r="K9" s="25">
        <f t="shared" si="0"/>
        <v>2028</v>
      </c>
      <c r="M9" s="24">
        <v>9</v>
      </c>
      <c r="N9" s="25" t="s">
        <v>41</v>
      </c>
      <c r="O9" s="25">
        <f t="shared" si="1"/>
        <v>9</v>
      </c>
      <c r="P9" s="25">
        <f t="shared" si="1"/>
        <v>2029</v>
      </c>
      <c r="Q9" s="26">
        <v>9</v>
      </c>
      <c r="R9" s="25">
        <f t="shared" si="2"/>
        <v>9</v>
      </c>
      <c r="S9" s="20" t="str">
        <f>IF(ISERROR(VLOOKUP(R8,CADASTRO_03!A:B,2,0)),"",(VLOOKUP(R8,CADASTRO_03!A:B,2,0)))</f>
        <v/>
      </c>
      <c r="U9" s="25">
        <f t="shared" si="5"/>
        <v>9</v>
      </c>
      <c r="V9" s="20" t="str">
        <f>IF(ISERROR(VLOOKUP(U8,CADASTRO_04!A:C,2,0)),"",(VLOOKUP(U8,CADASTRO_04!A:C,2,0)))</f>
        <v/>
      </c>
      <c r="W9" s="1" t="str">
        <f>IF(ISERROR(VLOOKUP(U8,CADASTRO_04!A:D,3,0)),"",(VLOOKUP(U8,CADASTRO_04!A:D,3,0)))</f>
        <v/>
      </c>
      <c r="X9" s="1">
        <f>IF(RELATORIO_03!$O$1=1,(SUMIFS(LANÇAMENTOS_01!J:J,LANÇAMENTOS_01!L:L,"&lt;&gt;"&amp;"",LANÇAMENTOS_01!G:G,CADASTRO_AUX!V9)-SUMIFS(LANÇAMENTOS_02!J:J,LANÇAMENTOS_02!L:L,"&lt;&gt;"&amp;"",LANÇAMENTOS_02!G:G,CADASTRO_AUX!V9)),SUMIFS(LANÇAMENTOS_01!J:J,LANÇAMENTOS_01!K:K,"&lt;&gt;"&amp;"",LANÇAMENTOS_01!G:G,CADASTRO_AUX!V9)-SUMIFS(LANÇAMENTOS_02!J:J,LANÇAMENTOS_02!K:K,"&lt;&gt;"&amp;"",LANÇAMENTOS_02!G:G,CADASTRO_AUX!V9))</f>
        <v>0</v>
      </c>
      <c r="Y9" s="1">
        <f>IF(V9="",0,SUMIF(LANÇAMENTOS_03!G:G,V9,LANÇAMENTOS_03!J:J))</f>
        <v>0</v>
      </c>
      <c r="Z9" s="29">
        <f t="shared" si="3"/>
        <v>0</v>
      </c>
      <c r="AA9">
        <v>9</v>
      </c>
      <c r="AF9" s="25">
        <f t="shared" si="6"/>
        <v>9</v>
      </c>
      <c r="AG9" s="20" t="str">
        <f>IF(ISERROR(VLOOKUP(AF8,CADASTRO_05!A:D,2,0)),"",(VLOOKUP(AF8,CADASTRO_05!A:D,2,0)))</f>
        <v/>
      </c>
      <c r="AH9" s="1">
        <f>IF(RELATORIO_03!$O$1=1,(SUMIFS(LANÇAMENTOS_01!J:J,LANÇAMENTOS_01!L:L,"&lt;&gt;"&amp;"",LANÇAMENTOS_01!F:F,CADASTRO_AUX!AG9)),SUMIFS(LANÇAMENTOS_01!J:J,LANÇAMENTOS_01!K:K,"&lt;&gt;"&amp;"",LANÇAMENTOS_01!F:F,CADASTRO_AUX!AG9))</f>
        <v>0</v>
      </c>
      <c r="AI9">
        <f>IF(RELATORIO_03!$O$1=1,(SUMIFS(LANÇAMENTOS_02!J:J,LANÇAMENTOS_02!L:L,"&lt;&gt;"&amp;"",LANÇAMENTOS_02!F:F,CADASTRO_AUX!AG9)),SUMIFS(LANÇAMENTOS_02!J:J,LANÇAMENTOS_02!K:K,"&lt;&gt;"&amp;"",LANÇAMENTOS_02!F:F,CADASTRO_AUX!AG9))</f>
        <v>0</v>
      </c>
      <c r="AJ9">
        <f t="shared" si="4"/>
        <v>0</v>
      </c>
    </row>
    <row r="10" spans="1:36" ht="15.75" x14ac:dyDescent="0.25">
      <c r="H10" s="24">
        <v>10</v>
      </c>
      <c r="I10" s="25" t="s">
        <v>41</v>
      </c>
      <c r="J10" s="25">
        <f t="shared" si="0"/>
        <v>10</v>
      </c>
      <c r="K10" s="25">
        <f t="shared" si="0"/>
        <v>2029</v>
      </c>
      <c r="M10" s="24">
        <v>10</v>
      </c>
      <c r="N10" s="25" t="s">
        <v>42</v>
      </c>
      <c r="O10" s="25">
        <f t="shared" si="1"/>
        <v>10</v>
      </c>
      <c r="P10" s="25">
        <f t="shared" si="1"/>
        <v>2030</v>
      </c>
      <c r="Q10" s="26">
        <v>10</v>
      </c>
      <c r="R10" s="25">
        <f t="shared" si="2"/>
        <v>10</v>
      </c>
      <c r="S10" s="20" t="str">
        <f>IF(ISERROR(VLOOKUP(R9,CADASTRO_03!A:B,2,0)),"",(VLOOKUP(R9,CADASTRO_03!A:B,2,0)))</f>
        <v/>
      </c>
      <c r="U10" s="25">
        <f t="shared" si="5"/>
        <v>10</v>
      </c>
      <c r="V10" s="20" t="str">
        <f>IF(ISERROR(VLOOKUP(U9,CADASTRO_04!A:C,2,0)),"",(VLOOKUP(U9,CADASTRO_04!A:C,2,0)))</f>
        <v/>
      </c>
      <c r="W10" s="1" t="str">
        <f>IF(ISERROR(VLOOKUP(U9,CADASTRO_04!A:D,3,0)),"",(VLOOKUP(U9,CADASTRO_04!A:D,3,0)))</f>
        <v/>
      </c>
      <c r="X10" s="1">
        <f>IF(RELATORIO_03!$O$1=1,(SUMIFS(LANÇAMENTOS_01!J:J,LANÇAMENTOS_01!L:L,"&lt;&gt;"&amp;"",LANÇAMENTOS_01!G:G,CADASTRO_AUX!V10)-SUMIFS(LANÇAMENTOS_02!J:J,LANÇAMENTOS_02!L:L,"&lt;&gt;"&amp;"",LANÇAMENTOS_02!G:G,CADASTRO_AUX!V10)),SUMIFS(LANÇAMENTOS_01!J:J,LANÇAMENTOS_01!K:K,"&lt;&gt;"&amp;"",LANÇAMENTOS_01!G:G,CADASTRO_AUX!V10)-SUMIFS(LANÇAMENTOS_02!J:J,LANÇAMENTOS_02!K:K,"&lt;&gt;"&amp;"",LANÇAMENTOS_02!G:G,CADASTRO_AUX!V10))</f>
        <v>0</v>
      </c>
      <c r="Y10" s="1">
        <f>IF(V10="",0,SUMIF(LANÇAMENTOS_03!G:G,V10,LANÇAMENTOS_03!J:J))</f>
        <v>0</v>
      </c>
      <c r="Z10" s="29">
        <f t="shared" si="3"/>
        <v>0</v>
      </c>
      <c r="AA10">
        <v>10</v>
      </c>
      <c r="AF10" s="25">
        <f t="shared" si="6"/>
        <v>10</v>
      </c>
      <c r="AG10" s="20" t="str">
        <f>IF(ISERROR(VLOOKUP(AF9,CADASTRO_05!A:D,2,0)),"",(VLOOKUP(AF9,CADASTRO_05!A:D,2,0)))</f>
        <v/>
      </c>
      <c r="AH10" s="1">
        <f>IF(RELATORIO_03!$O$1=1,(SUMIFS(LANÇAMENTOS_01!J:J,LANÇAMENTOS_01!L:L,"&lt;&gt;"&amp;"",LANÇAMENTOS_01!F:F,CADASTRO_AUX!AG10)),SUMIFS(LANÇAMENTOS_01!J:J,LANÇAMENTOS_01!K:K,"&lt;&gt;"&amp;"",LANÇAMENTOS_01!F:F,CADASTRO_AUX!AG10))</f>
        <v>0</v>
      </c>
      <c r="AI10">
        <f>IF(RELATORIO_03!$O$1=1,(SUMIFS(LANÇAMENTOS_02!J:J,LANÇAMENTOS_02!L:L,"&lt;&gt;"&amp;"",LANÇAMENTOS_02!F:F,CADASTRO_AUX!AG10)),SUMIFS(LANÇAMENTOS_02!J:J,LANÇAMENTOS_02!K:K,"&lt;&gt;"&amp;"",LANÇAMENTOS_02!F:F,CADASTRO_AUX!AG10))</f>
        <v>0</v>
      </c>
      <c r="AJ10">
        <f t="shared" si="4"/>
        <v>0</v>
      </c>
    </row>
    <row r="11" spans="1:36" ht="15.75" x14ac:dyDescent="0.25">
      <c r="D11" s="144">
        <f>RELATORIO_03!F15</f>
        <v>0</v>
      </c>
      <c r="H11" s="24">
        <v>11</v>
      </c>
      <c r="I11" s="25" t="s">
        <v>42</v>
      </c>
      <c r="J11" s="25">
        <f t="shared" si="0"/>
        <v>11</v>
      </c>
      <c r="K11" s="25">
        <f t="shared" si="0"/>
        <v>2030</v>
      </c>
      <c r="M11" s="24">
        <v>11</v>
      </c>
      <c r="N11" s="25" t="s">
        <v>43</v>
      </c>
      <c r="O11" s="25">
        <f t="shared" si="1"/>
        <v>11</v>
      </c>
      <c r="P11" s="25">
        <f t="shared" si="1"/>
        <v>2031</v>
      </c>
      <c r="Q11" s="26">
        <v>11</v>
      </c>
      <c r="R11" s="25">
        <f t="shared" si="2"/>
        <v>11</v>
      </c>
      <c r="S11" s="20" t="str">
        <f>IF(ISERROR(VLOOKUP(R10,CADASTRO_03!A:B,2,0)),"",(VLOOKUP(R10,CADASTRO_03!A:B,2,0)))</f>
        <v/>
      </c>
      <c r="U11" s="25">
        <f t="shared" si="5"/>
        <v>11</v>
      </c>
      <c r="V11" s="20" t="str">
        <f>IF(ISERROR(VLOOKUP(U10,CADASTRO_04!A:C,2,0)),"",(VLOOKUP(U10,CADASTRO_04!A:C,2,0)))</f>
        <v/>
      </c>
      <c r="W11" s="1" t="str">
        <f>IF(ISERROR(VLOOKUP(U10,CADASTRO_04!A:D,3,0)),"",(VLOOKUP(U10,CADASTRO_04!A:D,3,0)))</f>
        <v/>
      </c>
      <c r="X11" s="1">
        <f>IF(RELATORIO_03!$O$1=1,(SUMIFS(LANÇAMENTOS_01!J:J,LANÇAMENTOS_01!L:L,"&lt;&gt;"&amp;"",LANÇAMENTOS_01!G:G,CADASTRO_AUX!V11)-SUMIFS(LANÇAMENTOS_02!J:J,LANÇAMENTOS_02!L:L,"&lt;&gt;"&amp;"",LANÇAMENTOS_02!G:G,CADASTRO_AUX!V11)),SUMIFS(LANÇAMENTOS_01!J:J,LANÇAMENTOS_01!K:K,"&lt;&gt;"&amp;"",LANÇAMENTOS_01!G:G,CADASTRO_AUX!V11)-SUMIFS(LANÇAMENTOS_02!J:J,LANÇAMENTOS_02!K:K,"&lt;&gt;"&amp;"",LANÇAMENTOS_02!G:G,CADASTRO_AUX!V11))</f>
        <v>0</v>
      </c>
      <c r="Y11" s="1">
        <f>IF(V11="",0,SUMIF(LANÇAMENTOS_03!G:G,V11,LANÇAMENTOS_03!J:J))</f>
        <v>0</v>
      </c>
      <c r="Z11" s="29">
        <f t="shared" si="3"/>
        <v>0</v>
      </c>
      <c r="AA11">
        <v>11</v>
      </c>
      <c r="AF11" s="25">
        <f t="shared" si="6"/>
        <v>11</v>
      </c>
      <c r="AG11" s="20" t="str">
        <f>IF(ISERROR(VLOOKUP(AF10,CADASTRO_05!A:D,2,0)),"",(VLOOKUP(AF10,CADASTRO_05!A:D,2,0)))</f>
        <v/>
      </c>
      <c r="AH11" s="1">
        <f>IF(RELATORIO_03!$O$1=1,(SUMIFS(LANÇAMENTOS_01!J:J,LANÇAMENTOS_01!L:L,"&lt;&gt;"&amp;"",LANÇAMENTOS_01!F:F,CADASTRO_AUX!AG11)),SUMIFS(LANÇAMENTOS_01!J:J,LANÇAMENTOS_01!K:K,"&lt;&gt;"&amp;"",LANÇAMENTOS_01!F:F,CADASTRO_AUX!AG11))</f>
        <v>0</v>
      </c>
      <c r="AI11">
        <f>IF(RELATORIO_03!$O$1=1,(SUMIFS(LANÇAMENTOS_02!J:J,LANÇAMENTOS_02!L:L,"&lt;&gt;"&amp;"",LANÇAMENTOS_02!F:F,CADASTRO_AUX!AG11)),SUMIFS(LANÇAMENTOS_02!J:J,LANÇAMENTOS_02!K:K,"&lt;&gt;"&amp;"",LANÇAMENTOS_02!F:F,CADASTRO_AUX!AG11))</f>
        <v>0</v>
      </c>
      <c r="AJ11">
        <f t="shared" si="4"/>
        <v>0</v>
      </c>
    </row>
    <row r="12" spans="1:36" ht="15.75" x14ac:dyDescent="0.25">
      <c r="H12" s="24">
        <v>12</v>
      </c>
      <c r="I12" s="25" t="s">
        <v>43</v>
      </c>
      <c r="J12" s="25">
        <f t="shared" si="0"/>
        <v>12</v>
      </c>
      <c r="K12" s="25">
        <f t="shared" si="0"/>
        <v>2031</v>
      </c>
      <c r="M12" s="24">
        <v>12</v>
      </c>
      <c r="N12" s="25" t="s">
        <v>44</v>
      </c>
      <c r="O12" s="25">
        <f t="shared" si="1"/>
        <v>12</v>
      </c>
      <c r="P12" s="25">
        <f t="shared" si="1"/>
        <v>2032</v>
      </c>
      <c r="Q12" s="26">
        <v>12</v>
      </c>
      <c r="R12" s="25">
        <f t="shared" si="2"/>
        <v>12</v>
      </c>
      <c r="S12" s="20" t="str">
        <f>IF(ISERROR(VLOOKUP(R11,CADASTRO_03!A:B,2,0)),"",(VLOOKUP(R11,CADASTRO_03!A:B,2,0)))</f>
        <v/>
      </c>
      <c r="U12" s="25">
        <f t="shared" si="5"/>
        <v>12</v>
      </c>
      <c r="V12" s="20" t="str">
        <f>IF(ISERROR(VLOOKUP(U11,CADASTRO_04!A:C,2,0)),"",(VLOOKUP(U11,CADASTRO_04!A:C,2,0)))</f>
        <v/>
      </c>
      <c r="W12" s="1" t="str">
        <f>IF(ISERROR(VLOOKUP(U11,CADASTRO_04!A:D,3,0)),"",(VLOOKUP(U11,CADASTRO_04!A:D,3,0)))</f>
        <v/>
      </c>
      <c r="X12" s="1">
        <f>IF(RELATORIO_03!$O$1=1,(SUMIFS(LANÇAMENTOS_01!J:J,LANÇAMENTOS_01!L:L,"&lt;&gt;"&amp;"",LANÇAMENTOS_01!G:G,CADASTRO_AUX!V12)-SUMIFS(LANÇAMENTOS_02!J:J,LANÇAMENTOS_02!L:L,"&lt;&gt;"&amp;"",LANÇAMENTOS_02!G:G,CADASTRO_AUX!V12)),SUMIFS(LANÇAMENTOS_01!J:J,LANÇAMENTOS_01!K:K,"&lt;&gt;"&amp;"",LANÇAMENTOS_01!G:G,CADASTRO_AUX!V12)-SUMIFS(LANÇAMENTOS_02!J:J,LANÇAMENTOS_02!K:K,"&lt;&gt;"&amp;"",LANÇAMENTOS_02!G:G,CADASTRO_AUX!V12))</f>
        <v>0</v>
      </c>
      <c r="Y12" s="1">
        <f>IF(V12="",0,SUMIF(LANÇAMENTOS_03!G:G,V12,LANÇAMENTOS_03!J:J))</f>
        <v>0</v>
      </c>
      <c r="Z12" s="29">
        <f t="shared" si="3"/>
        <v>0</v>
      </c>
      <c r="AA12">
        <v>12</v>
      </c>
      <c r="AF12" s="25">
        <f t="shared" si="6"/>
        <v>12</v>
      </c>
      <c r="AG12" s="20" t="str">
        <f>IF(ISERROR(VLOOKUP(AF11,CADASTRO_05!A:D,2,0)),"",(VLOOKUP(AF11,CADASTRO_05!A:D,2,0)))</f>
        <v/>
      </c>
      <c r="AH12" s="1">
        <f>IF(RELATORIO_03!$O$1=1,(SUMIFS(LANÇAMENTOS_01!J:J,LANÇAMENTOS_01!L:L,"&lt;&gt;"&amp;"",LANÇAMENTOS_01!F:F,CADASTRO_AUX!AG12)),SUMIFS(LANÇAMENTOS_01!J:J,LANÇAMENTOS_01!K:K,"&lt;&gt;"&amp;"",LANÇAMENTOS_01!F:F,CADASTRO_AUX!AG12))</f>
        <v>0</v>
      </c>
      <c r="AI12">
        <f>IF(RELATORIO_03!$O$1=1,(SUMIFS(LANÇAMENTOS_02!J:J,LANÇAMENTOS_02!L:L,"&lt;&gt;"&amp;"",LANÇAMENTOS_02!F:F,CADASTRO_AUX!AG12)),SUMIFS(LANÇAMENTOS_02!J:J,LANÇAMENTOS_02!K:K,"&lt;&gt;"&amp;"",LANÇAMENTOS_02!F:F,CADASTRO_AUX!AG12))</f>
        <v>0</v>
      </c>
      <c r="AJ12">
        <f t="shared" si="4"/>
        <v>0</v>
      </c>
    </row>
    <row r="13" spans="1:36" ht="15.75" x14ac:dyDescent="0.25">
      <c r="A13" s="19">
        <f ca="1">TODAY()</f>
        <v>44593</v>
      </c>
      <c r="H13" s="24">
        <v>13</v>
      </c>
      <c r="I13" s="25" t="s">
        <v>44</v>
      </c>
      <c r="J13" s="25">
        <f t="shared" si="0"/>
        <v>13</v>
      </c>
      <c r="K13" s="25">
        <f t="shared" si="0"/>
        <v>2032</v>
      </c>
      <c r="O13" s="27">
        <f t="shared" si="1"/>
        <v>13</v>
      </c>
      <c r="P13" s="25">
        <f t="shared" si="1"/>
        <v>2033</v>
      </c>
      <c r="Q13" s="26">
        <v>13</v>
      </c>
      <c r="R13" s="25">
        <f t="shared" si="2"/>
        <v>13</v>
      </c>
      <c r="S13" s="20" t="str">
        <f>IF(ISERROR(VLOOKUP(R12,CADASTRO_03!A:B,2,0)),"",(VLOOKUP(R12,CADASTRO_03!A:B,2,0)))</f>
        <v/>
      </c>
      <c r="U13" s="25">
        <f t="shared" si="5"/>
        <v>13</v>
      </c>
      <c r="V13" s="20" t="str">
        <f>IF(ISERROR(VLOOKUP(U12,CADASTRO_04!A:C,2,0)),"",(VLOOKUP(U12,CADASTRO_04!A:C,2,0)))</f>
        <v/>
      </c>
      <c r="W13" s="1" t="str">
        <f>IF(ISERROR(VLOOKUP(U12,CADASTRO_04!A:D,3,0)),"",(VLOOKUP(U12,CADASTRO_04!A:D,3,0)))</f>
        <v/>
      </c>
      <c r="X13" s="1">
        <f>IF(RELATORIO_03!$O$1=1,(SUMIFS(LANÇAMENTOS_01!J:J,LANÇAMENTOS_01!L:L,"&lt;&gt;"&amp;"",LANÇAMENTOS_01!G:G,CADASTRO_AUX!V13)-SUMIFS(LANÇAMENTOS_02!J:J,LANÇAMENTOS_02!L:L,"&lt;&gt;"&amp;"",LANÇAMENTOS_02!G:G,CADASTRO_AUX!V13)),SUMIFS(LANÇAMENTOS_01!J:J,LANÇAMENTOS_01!K:K,"&lt;&gt;"&amp;"",LANÇAMENTOS_01!G:G,CADASTRO_AUX!V13)-SUMIFS(LANÇAMENTOS_02!J:J,LANÇAMENTOS_02!K:K,"&lt;&gt;"&amp;"",LANÇAMENTOS_02!G:G,CADASTRO_AUX!V13))</f>
        <v>0</v>
      </c>
      <c r="Y13" s="1">
        <f>IF(V13="",0,SUMIF(LANÇAMENTOS_03!G:G,V13,LANÇAMENTOS_03!J:J))</f>
        <v>0</v>
      </c>
      <c r="Z13" s="29">
        <f t="shared" si="3"/>
        <v>0</v>
      </c>
      <c r="AA13">
        <v>13</v>
      </c>
      <c r="AF13" s="25">
        <f t="shared" si="6"/>
        <v>13</v>
      </c>
      <c r="AG13" s="20" t="str">
        <f>IF(ISERROR(VLOOKUP(AF12,CADASTRO_05!A:D,2,0)),"",(VLOOKUP(AF12,CADASTRO_05!A:D,2,0)))</f>
        <v/>
      </c>
      <c r="AH13" s="1">
        <f>IF(RELATORIO_03!$O$1=1,(SUMIFS(LANÇAMENTOS_01!J:J,LANÇAMENTOS_01!L:L,"&lt;&gt;"&amp;"",LANÇAMENTOS_01!F:F,CADASTRO_AUX!AG13)),SUMIFS(LANÇAMENTOS_01!J:J,LANÇAMENTOS_01!K:K,"&lt;&gt;"&amp;"",LANÇAMENTOS_01!F:F,CADASTRO_AUX!AG13))</f>
        <v>0</v>
      </c>
      <c r="AI13">
        <f>IF(RELATORIO_03!$O$1=1,(SUMIFS(LANÇAMENTOS_02!J:J,LANÇAMENTOS_02!L:L,"&lt;&gt;"&amp;"",LANÇAMENTOS_02!F:F,CADASTRO_AUX!AG13)),SUMIFS(LANÇAMENTOS_02!J:J,LANÇAMENTOS_02!K:K,"&lt;&gt;"&amp;"",LANÇAMENTOS_02!F:F,CADASTRO_AUX!AG13))</f>
        <v>0</v>
      </c>
      <c r="AJ13">
        <f t="shared" si="4"/>
        <v>0</v>
      </c>
    </row>
    <row r="14" spans="1:36" x14ac:dyDescent="0.25">
      <c r="A14" s="20" t="s">
        <v>47</v>
      </c>
      <c r="B14" s="21">
        <f>SUMIF(LANÇAMENTOS_01!L:L,"",LANÇAMENTOS_01!J:J)</f>
        <v>0</v>
      </c>
      <c r="R14" s="25">
        <f t="shared" si="2"/>
        <v>14</v>
      </c>
      <c r="S14" s="20" t="str">
        <f>IF(ISERROR(VLOOKUP(R13,CADASTRO_03!A:B,2,0)),"",(VLOOKUP(R13,CADASTRO_03!A:B,2,0)))</f>
        <v/>
      </c>
      <c r="U14" s="25">
        <f t="shared" si="5"/>
        <v>14</v>
      </c>
      <c r="V14" s="20" t="str">
        <f>IF(ISERROR(VLOOKUP(U13,CADASTRO_04!A:C,2,0)),"",(VLOOKUP(U13,CADASTRO_04!A:C,2,0)))</f>
        <v/>
      </c>
      <c r="W14" s="1" t="str">
        <f>IF(ISERROR(VLOOKUP(U13,CADASTRO_04!A:D,3,0)),"",(VLOOKUP(U13,CADASTRO_04!A:D,3,0)))</f>
        <v/>
      </c>
      <c r="X14" s="1">
        <f>IF(RELATORIO_03!$O$1=1,(SUMIFS(LANÇAMENTOS_01!J:J,LANÇAMENTOS_01!L:L,"&lt;&gt;"&amp;"",LANÇAMENTOS_01!G:G,CADASTRO_AUX!V14)-SUMIFS(LANÇAMENTOS_02!J:J,LANÇAMENTOS_02!L:L,"&lt;&gt;"&amp;"",LANÇAMENTOS_02!G:G,CADASTRO_AUX!V14)),SUMIFS(LANÇAMENTOS_01!J:J,LANÇAMENTOS_01!K:K,"&lt;&gt;"&amp;"",LANÇAMENTOS_01!G:G,CADASTRO_AUX!V14)-SUMIFS(LANÇAMENTOS_02!J:J,LANÇAMENTOS_02!K:K,"&lt;&gt;"&amp;"",LANÇAMENTOS_02!G:G,CADASTRO_AUX!V14))</f>
        <v>0</v>
      </c>
      <c r="Y14" s="1">
        <f>IF(V14="",0,SUMIF(LANÇAMENTOS_03!G:G,V14,LANÇAMENTOS_03!J:J))</f>
        <v>0</v>
      </c>
      <c r="Z14" s="29">
        <f t="shared" si="3"/>
        <v>0</v>
      </c>
      <c r="AA14">
        <v>14</v>
      </c>
      <c r="AF14" s="25">
        <f t="shared" si="6"/>
        <v>14</v>
      </c>
      <c r="AG14" s="20" t="str">
        <f>IF(ISERROR(VLOOKUP(AF13,CADASTRO_05!A:D,2,0)),"",(VLOOKUP(AF13,CADASTRO_05!A:D,2,0)))</f>
        <v/>
      </c>
      <c r="AH14" s="1">
        <f>IF(RELATORIO_03!$O$1=1,(SUMIFS(LANÇAMENTOS_01!J:J,LANÇAMENTOS_01!L:L,"&lt;&gt;"&amp;"",LANÇAMENTOS_01!F:F,CADASTRO_AUX!AG14)),SUMIFS(LANÇAMENTOS_01!J:J,LANÇAMENTOS_01!K:K,"&lt;&gt;"&amp;"",LANÇAMENTOS_01!F:F,CADASTRO_AUX!AG14))</f>
        <v>0</v>
      </c>
      <c r="AI14">
        <f>IF(RELATORIO_03!$O$1=1,(SUMIFS(LANÇAMENTOS_02!J:J,LANÇAMENTOS_02!L:L,"&lt;&gt;"&amp;"",LANÇAMENTOS_02!F:F,CADASTRO_AUX!AG14)),SUMIFS(LANÇAMENTOS_02!J:J,LANÇAMENTOS_02!K:K,"&lt;&gt;"&amp;"",LANÇAMENTOS_02!F:F,CADASTRO_AUX!AG14))</f>
        <v>0</v>
      </c>
      <c r="AJ14">
        <f t="shared" si="4"/>
        <v>0</v>
      </c>
    </row>
    <row r="15" spans="1:36" x14ac:dyDescent="0.25">
      <c r="A15" s="20" t="s">
        <v>28</v>
      </c>
      <c r="B15" s="22">
        <f ca="1">SUMIFS(LANÇAMENTOS_01!J:J,LANÇAMENTOS_01!L:L,"="&amp;"",LANÇAMENTOS_01!K:K,"&lt;"&amp;CADASTRO_AUX!A13)</f>
        <v>0</v>
      </c>
      <c r="R15" s="25">
        <f t="shared" si="2"/>
        <v>15</v>
      </c>
      <c r="S15" s="20" t="str">
        <f>IF(ISERROR(VLOOKUP(R14,CADASTRO_03!A:B,2,0)),"",(VLOOKUP(R14,CADASTRO_03!A:B,2,0)))</f>
        <v/>
      </c>
      <c r="U15" s="25">
        <f t="shared" si="5"/>
        <v>15</v>
      </c>
      <c r="V15" s="20" t="str">
        <f>IF(ISERROR(VLOOKUP(U14,CADASTRO_04!A:C,2,0)),"",(VLOOKUP(U14,CADASTRO_04!A:C,2,0)))</f>
        <v/>
      </c>
      <c r="W15" s="1" t="str">
        <f>IF(ISERROR(VLOOKUP(U14,CADASTRO_04!A:D,3,0)),"",(VLOOKUP(U14,CADASTRO_04!A:D,3,0)))</f>
        <v/>
      </c>
      <c r="X15" s="1">
        <f>IF(RELATORIO_03!$O$1=1,(SUMIFS(LANÇAMENTOS_01!J:J,LANÇAMENTOS_01!L:L,"&lt;&gt;"&amp;"",LANÇAMENTOS_01!G:G,CADASTRO_AUX!V15)-SUMIFS(LANÇAMENTOS_02!J:J,LANÇAMENTOS_02!L:L,"&lt;&gt;"&amp;"",LANÇAMENTOS_02!G:G,CADASTRO_AUX!V15)),SUMIFS(LANÇAMENTOS_01!J:J,LANÇAMENTOS_01!K:K,"&lt;&gt;"&amp;"",LANÇAMENTOS_01!G:G,CADASTRO_AUX!V15)-SUMIFS(LANÇAMENTOS_02!J:J,LANÇAMENTOS_02!K:K,"&lt;&gt;"&amp;"",LANÇAMENTOS_02!G:G,CADASTRO_AUX!V15))</f>
        <v>0</v>
      </c>
      <c r="Y15" s="1">
        <f>IF(V15="",0,SUMIF(LANÇAMENTOS_03!G:G,V15,LANÇAMENTOS_03!J:J))</f>
        <v>0</v>
      </c>
      <c r="Z15" s="29">
        <f t="shared" si="3"/>
        <v>0</v>
      </c>
      <c r="AA15">
        <v>15</v>
      </c>
      <c r="AF15" s="25">
        <f t="shared" si="6"/>
        <v>15</v>
      </c>
      <c r="AG15" s="20" t="str">
        <f>IF(ISERROR(VLOOKUP(AF14,CADASTRO_05!A:D,2,0)),"",(VLOOKUP(AF14,CADASTRO_05!A:D,2,0)))</f>
        <v/>
      </c>
      <c r="AH15" s="1">
        <f>IF(RELATORIO_03!$O$1=1,(SUMIFS(LANÇAMENTOS_01!J:J,LANÇAMENTOS_01!L:L,"&lt;&gt;"&amp;"",LANÇAMENTOS_01!F:F,CADASTRO_AUX!AG15)),SUMIFS(LANÇAMENTOS_01!J:J,LANÇAMENTOS_01!K:K,"&lt;&gt;"&amp;"",LANÇAMENTOS_01!F:F,CADASTRO_AUX!AG15))</f>
        <v>0</v>
      </c>
      <c r="AI15">
        <f>IF(RELATORIO_03!$O$1=1,(SUMIFS(LANÇAMENTOS_02!J:J,LANÇAMENTOS_02!L:L,"&lt;&gt;"&amp;"",LANÇAMENTOS_02!F:F,CADASTRO_AUX!AG15)),SUMIFS(LANÇAMENTOS_02!J:J,LANÇAMENTOS_02!K:K,"&lt;&gt;"&amp;"",LANÇAMENTOS_02!F:F,CADASTRO_AUX!AG15))</f>
        <v>0</v>
      </c>
      <c r="AJ15">
        <f t="shared" si="4"/>
        <v>0</v>
      </c>
    </row>
    <row r="16" spans="1:36" x14ac:dyDescent="0.25">
      <c r="R16" s="25">
        <f t="shared" si="2"/>
        <v>16</v>
      </c>
      <c r="S16" s="20" t="str">
        <f>IF(ISERROR(VLOOKUP(R15,CADASTRO_03!A:B,2,0)),"",(VLOOKUP(R15,CADASTRO_03!A:B,2,0)))</f>
        <v/>
      </c>
      <c r="U16" s="25">
        <f t="shared" si="5"/>
        <v>16</v>
      </c>
      <c r="V16" s="20" t="str">
        <f>IF(ISERROR(VLOOKUP(U15,CADASTRO_04!A:C,2,0)),"",(VLOOKUP(U15,CADASTRO_04!A:C,2,0)))</f>
        <v/>
      </c>
      <c r="W16" s="1" t="str">
        <f>IF(ISERROR(VLOOKUP(U15,CADASTRO_04!A:D,3,0)),"",(VLOOKUP(U15,CADASTRO_04!A:D,3,0)))</f>
        <v/>
      </c>
      <c r="X16" s="1">
        <f>IF(RELATORIO_03!$O$1=1,(SUMIFS(LANÇAMENTOS_01!J:J,LANÇAMENTOS_01!L:L,"&lt;&gt;"&amp;"",LANÇAMENTOS_01!G:G,CADASTRO_AUX!V16)-SUMIFS(LANÇAMENTOS_02!J:J,LANÇAMENTOS_02!L:L,"&lt;&gt;"&amp;"",LANÇAMENTOS_02!G:G,CADASTRO_AUX!V16)),SUMIFS(LANÇAMENTOS_01!J:J,LANÇAMENTOS_01!K:K,"&lt;&gt;"&amp;"",LANÇAMENTOS_01!G:G,CADASTRO_AUX!V16)-SUMIFS(LANÇAMENTOS_02!J:J,LANÇAMENTOS_02!K:K,"&lt;&gt;"&amp;"",LANÇAMENTOS_02!G:G,CADASTRO_AUX!V16))</f>
        <v>0</v>
      </c>
      <c r="Y16" s="1">
        <f>IF(V16="",0,SUMIF(LANÇAMENTOS_03!G:G,V16,LANÇAMENTOS_03!J:J))</f>
        <v>0</v>
      </c>
      <c r="Z16" s="29">
        <f t="shared" si="3"/>
        <v>0</v>
      </c>
      <c r="AA16">
        <v>16</v>
      </c>
      <c r="AF16" s="25">
        <f t="shared" si="6"/>
        <v>16</v>
      </c>
      <c r="AG16" s="20" t="str">
        <f>IF(ISERROR(VLOOKUP(AF15,CADASTRO_05!A:D,2,0)),"",(VLOOKUP(AF15,CADASTRO_05!A:D,2,0)))</f>
        <v/>
      </c>
      <c r="AH16" s="1">
        <f>IF(RELATORIO_03!$O$1=1,(SUMIFS(LANÇAMENTOS_01!J:J,LANÇAMENTOS_01!L:L,"&lt;&gt;"&amp;"",LANÇAMENTOS_01!F:F,CADASTRO_AUX!AG16)),SUMIFS(LANÇAMENTOS_01!J:J,LANÇAMENTOS_01!K:K,"&lt;&gt;"&amp;"",LANÇAMENTOS_01!F:F,CADASTRO_AUX!AG16))</f>
        <v>0</v>
      </c>
      <c r="AI16">
        <f>IF(RELATORIO_03!$O$1=1,(SUMIFS(LANÇAMENTOS_02!J:J,LANÇAMENTOS_02!L:L,"&lt;&gt;"&amp;"",LANÇAMENTOS_02!F:F,CADASTRO_AUX!AG16)),SUMIFS(LANÇAMENTOS_02!J:J,LANÇAMENTOS_02!K:K,"&lt;&gt;"&amp;"",LANÇAMENTOS_02!F:F,CADASTRO_AUX!AG16))</f>
        <v>0</v>
      </c>
      <c r="AJ16">
        <f t="shared" si="4"/>
        <v>0</v>
      </c>
    </row>
    <row r="17" spans="1:36" x14ac:dyDescent="0.25">
      <c r="A17" s="20" t="s">
        <v>48</v>
      </c>
      <c r="B17" s="21">
        <f>SUMIF(LANÇAMENTOS_02!L:L,"",LANÇAMENTOS_02!J:J)</f>
        <v>0</v>
      </c>
      <c r="R17" s="25">
        <f t="shared" si="2"/>
        <v>17</v>
      </c>
      <c r="S17" s="20" t="str">
        <f>IF(ISERROR(VLOOKUP(R16,CADASTRO_03!A:B,2,0)),"",(VLOOKUP(R16,CADASTRO_03!A:B,2,0)))</f>
        <v/>
      </c>
      <c r="U17" s="25">
        <f t="shared" si="5"/>
        <v>17</v>
      </c>
      <c r="V17" s="20" t="str">
        <f>IF(ISERROR(VLOOKUP(U16,CADASTRO_04!A:C,2,0)),"",(VLOOKUP(U16,CADASTRO_04!A:C,2,0)))</f>
        <v/>
      </c>
      <c r="W17" s="1" t="str">
        <f>IF(ISERROR(VLOOKUP(U16,CADASTRO_04!A:D,3,0)),"",(VLOOKUP(U16,CADASTRO_04!A:D,3,0)))</f>
        <v/>
      </c>
      <c r="X17" s="1">
        <f>IF(RELATORIO_03!$O$1=1,(SUMIFS(LANÇAMENTOS_01!J:J,LANÇAMENTOS_01!L:L,"&lt;&gt;"&amp;"",LANÇAMENTOS_01!G:G,CADASTRO_AUX!V17)-SUMIFS(LANÇAMENTOS_02!J:J,LANÇAMENTOS_02!L:L,"&lt;&gt;"&amp;"",LANÇAMENTOS_02!G:G,CADASTRO_AUX!V17)),SUMIFS(LANÇAMENTOS_01!J:J,LANÇAMENTOS_01!K:K,"&lt;&gt;"&amp;"",LANÇAMENTOS_01!G:G,CADASTRO_AUX!V17)-SUMIFS(LANÇAMENTOS_02!J:J,LANÇAMENTOS_02!K:K,"&lt;&gt;"&amp;"",LANÇAMENTOS_02!G:G,CADASTRO_AUX!V17))</f>
        <v>0</v>
      </c>
      <c r="Y17" s="1">
        <f>IF(V17="",0,SUMIF(LANÇAMENTOS_03!G:G,V17,LANÇAMENTOS_03!J:J))</f>
        <v>0</v>
      </c>
      <c r="Z17" s="29">
        <f t="shared" si="3"/>
        <v>0</v>
      </c>
      <c r="AA17">
        <v>17</v>
      </c>
      <c r="AF17" s="25">
        <f t="shared" si="6"/>
        <v>17</v>
      </c>
      <c r="AG17" s="20" t="str">
        <f>IF(ISERROR(VLOOKUP(AF16,CADASTRO_05!A:D,2,0)),"",(VLOOKUP(AF16,CADASTRO_05!A:D,2,0)))</f>
        <v/>
      </c>
      <c r="AH17" s="1">
        <f>IF(RELATORIO_03!$O$1=1,(SUMIFS(LANÇAMENTOS_01!J:J,LANÇAMENTOS_01!L:L,"&lt;&gt;"&amp;"",LANÇAMENTOS_01!F:F,CADASTRO_AUX!AG17)),SUMIFS(LANÇAMENTOS_01!J:J,LANÇAMENTOS_01!K:K,"&lt;&gt;"&amp;"",LANÇAMENTOS_01!F:F,CADASTRO_AUX!AG17))</f>
        <v>0</v>
      </c>
      <c r="AI17">
        <f>IF(RELATORIO_03!$O$1=1,(SUMIFS(LANÇAMENTOS_02!J:J,LANÇAMENTOS_02!L:L,"&lt;&gt;"&amp;"",LANÇAMENTOS_02!F:F,CADASTRO_AUX!AG17)),SUMIFS(LANÇAMENTOS_02!J:J,LANÇAMENTOS_02!K:K,"&lt;&gt;"&amp;"",LANÇAMENTOS_02!F:F,CADASTRO_AUX!AG17))</f>
        <v>0</v>
      </c>
      <c r="AJ17">
        <f t="shared" si="4"/>
        <v>0</v>
      </c>
    </row>
    <row r="18" spans="1:36" x14ac:dyDescent="0.25">
      <c r="A18" s="20" t="s">
        <v>28</v>
      </c>
      <c r="B18" s="22">
        <f ca="1">SUMIFS(LANÇAMENTOS_02!J:J,LANÇAMENTOS_02!L:L,"="&amp;"",LANÇAMENTOS_02!K:K,"&lt;"&amp;CADASTRO_AUX!A13)</f>
        <v>0</v>
      </c>
      <c r="R18" s="25">
        <f t="shared" si="2"/>
        <v>18</v>
      </c>
      <c r="S18" s="20" t="str">
        <f>IF(ISERROR(VLOOKUP(R17,CADASTRO_03!A:B,2,0)),"",(VLOOKUP(R17,CADASTRO_03!A:B,2,0)))</f>
        <v/>
      </c>
      <c r="U18" s="25">
        <f t="shared" si="5"/>
        <v>18</v>
      </c>
      <c r="V18" s="20" t="str">
        <f>IF(ISERROR(VLOOKUP(U17,CADASTRO_04!A:C,2,0)),"",(VLOOKUP(U17,CADASTRO_04!A:C,2,0)))</f>
        <v/>
      </c>
      <c r="W18" s="1" t="str">
        <f>IF(ISERROR(VLOOKUP(U17,CADASTRO_04!A:D,3,0)),"",(VLOOKUP(U17,CADASTRO_04!A:D,3,0)))</f>
        <v/>
      </c>
      <c r="X18" s="1">
        <f>IF(RELATORIO_03!$O$1=1,(SUMIFS(LANÇAMENTOS_01!J:J,LANÇAMENTOS_01!L:L,"&lt;&gt;"&amp;"",LANÇAMENTOS_01!G:G,CADASTRO_AUX!V18)-SUMIFS(LANÇAMENTOS_02!J:J,LANÇAMENTOS_02!L:L,"&lt;&gt;"&amp;"",LANÇAMENTOS_02!G:G,CADASTRO_AUX!V18)),SUMIFS(LANÇAMENTOS_01!J:J,LANÇAMENTOS_01!K:K,"&lt;&gt;"&amp;"",LANÇAMENTOS_01!G:G,CADASTRO_AUX!V18)-SUMIFS(LANÇAMENTOS_02!J:J,LANÇAMENTOS_02!K:K,"&lt;&gt;"&amp;"",LANÇAMENTOS_02!G:G,CADASTRO_AUX!V18))</f>
        <v>0</v>
      </c>
      <c r="Y18" s="1">
        <f>IF(V18="",0,SUMIF(LANÇAMENTOS_03!G:G,V18,LANÇAMENTOS_03!J:J))</f>
        <v>0</v>
      </c>
      <c r="Z18" s="29">
        <f t="shared" si="3"/>
        <v>0</v>
      </c>
      <c r="AA18">
        <v>18</v>
      </c>
      <c r="AF18" s="25">
        <f t="shared" si="6"/>
        <v>18</v>
      </c>
      <c r="AG18" s="20" t="str">
        <f>IF(ISERROR(VLOOKUP(AF17,CADASTRO_05!A:D,2,0)),"",(VLOOKUP(AF17,CADASTRO_05!A:D,2,0)))</f>
        <v/>
      </c>
      <c r="AH18" s="1">
        <f>IF(RELATORIO_03!$O$1=1,(SUMIFS(LANÇAMENTOS_01!J:J,LANÇAMENTOS_01!L:L,"&lt;&gt;"&amp;"",LANÇAMENTOS_01!F:F,CADASTRO_AUX!AG18)),SUMIFS(LANÇAMENTOS_01!J:J,LANÇAMENTOS_01!K:K,"&lt;&gt;"&amp;"",LANÇAMENTOS_01!F:F,CADASTRO_AUX!AG18))</f>
        <v>0</v>
      </c>
      <c r="AI18">
        <f>IF(RELATORIO_03!$O$1=1,(SUMIFS(LANÇAMENTOS_02!J:J,LANÇAMENTOS_02!L:L,"&lt;&gt;"&amp;"",LANÇAMENTOS_02!F:F,CADASTRO_AUX!AG18)),SUMIFS(LANÇAMENTOS_02!J:J,LANÇAMENTOS_02!K:K,"&lt;&gt;"&amp;"",LANÇAMENTOS_02!F:F,CADASTRO_AUX!AG18))</f>
        <v>0</v>
      </c>
      <c r="AJ18">
        <f t="shared" si="4"/>
        <v>0</v>
      </c>
    </row>
    <row r="19" spans="1:36" x14ac:dyDescent="0.25">
      <c r="R19" s="25">
        <f t="shared" si="2"/>
        <v>19</v>
      </c>
      <c r="S19" s="20" t="str">
        <f>IF(ISERROR(VLOOKUP(R18,CADASTRO_03!A:B,2,0)),"",(VLOOKUP(R18,CADASTRO_03!A:B,2,0)))</f>
        <v/>
      </c>
      <c r="U19" s="25">
        <f t="shared" si="5"/>
        <v>19</v>
      </c>
      <c r="V19" s="20" t="str">
        <f>IF(ISERROR(VLOOKUP(U18,CADASTRO_04!A:C,2,0)),"",(VLOOKUP(U18,CADASTRO_04!A:C,2,0)))</f>
        <v/>
      </c>
      <c r="W19" s="1" t="str">
        <f>IF(ISERROR(VLOOKUP(U18,CADASTRO_04!A:D,3,0)),"",(VLOOKUP(U18,CADASTRO_04!A:D,3,0)))</f>
        <v/>
      </c>
      <c r="X19" s="1">
        <f>IF(RELATORIO_03!$O$1=1,(SUMIFS(LANÇAMENTOS_01!J:J,LANÇAMENTOS_01!L:L,"&lt;&gt;"&amp;"",LANÇAMENTOS_01!G:G,CADASTRO_AUX!V19)-SUMIFS(LANÇAMENTOS_02!J:J,LANÇAMENTOS_02!L:L,"&lt;&gt;"&amp;"",LANÇAMENTOS_02!G:G,CADASTRO_AUX!V19)),SUMIFS(LANÇAMENTOS_01!J:J,LANÇAMENTOS_01!K:K,"&lt;&gt;"&amp;"",LANÇAMENTOS_01!G:G,CADASTRO_AUX!V19)-SUMIFS(LANÇAMENTOS_02!J:J,LANÇAMENTOS_02!K:K,"&lt;&gt;"&amp;"",LANÇAMENTOS_02!G:G,CADASTRO_AUX!V19))</f>
        <v>0</v>
      </c>
      <c r="Y19" s="1">
        <f>IF(V19="",0,SUMIF(LANÇAMENTOS_03!G:G,V19,LANÇAMENTOS_03!J:J))</f>
        <v>0</v>
      </c>
      <c r="Z19" s="29">
        <f t="shared" si="3"/>
        <v>0</v>
      </c>
      <c r="AA19">
        <v>19</v>
      </c>
      <c r="AF19" s="25">
        <f t="shared" si="6"/>
        <v>19</v>
      </c>
      <c r="AG19" s="20" t="str">
        <f>IF(ISERROR(VLOOKUP(AF18,CADASTRO_05!A:D,2,0)),"",(VLOOKUP(AF18,CADASTRO_05!A:D,2,0)))</f>
        <v/>
      </c>
      <c r="AH19" s="1">
        <f>IF(RELATORIO_03!$O$1=1,(SUMIFS(LANÇAMENTOS_01!J:J,LANÇAMENTOS_01!L:L,"&lt;&gt;"&amp;"",LANÇAMENTOS_01!F:F,CADASTRO_AUX!AG19)),SUMIFS(LANÇAMENTOS_01!J:J,LANÇAMENTOS_01!K:K,"&lt;&gt;"&amp;"",LANÇAMENTOS_01!F:F,CADASTRO_AUX!AG19))</f>
        <v>0</v>
      </c>
      <c r="AI19">
        <f>IF(RELATORIO_03!$O$1=1,(SUMIFS(LANÇAMENTOS_02!J:J,LANÇAMENTOS_02!L:L,"&lt;&gt;"&amp;"",LANÇAMENTOS_02!F:F,CADASTRO_AUX!AG19)),SUMIFS(LANÇAMENTOS_02!J:J,LANÇAMENTOS_02!K:K,"&lt;&gt;"&amp;"",LANÇAMENTOS_02!F:F,CADASTRO_AUX!AG19))</f>
        <v>0</v>
      </c>
      <c r="AJ19">
        <f t="shared" si="4"/>
        <v>0</v>
      </c>
    </row>
    <row r="20" spans="1:36" x14ac:dyDescent="0.25">
      <c r="A20" s="20" t="s">
        <v>49</v>
      </c>
      <c r="B20" s="23">
        <f>RELATORIO_03!G15</f>
        <v>0</v>
      </c>
      <c r="R20" s="25">
        <f t="shared" si="2"/>
        <v>20</v>
      </c>
      <c r="S20" s="20" t="str">
        <f>IF(ISERROR(VLOOKUP(R19,CADASTRO_03!A:B,2,0)),"",(VLOOKUP(R19,CADASTRO_03!A:B,2,0)))</f>
        <v/>
      </c>
      <c r="U20" s="25">
        <f t="shared" si="5"/>
        <v>20</v>
      </c>
      <c r="V20" s="20" t="str">
        <f>IF(ISERROR(VLOOKUP(U19,CADASTRO_04!A:C,2,0)),"",(VLOOKUP(U19,CADASTRO_04!A:C,2,0)))</f>
        <v/>
      </c>
      <c r="W20" s="1" t="str">
        <f>IF(ISERROR(VLOOKUP(U19,CADASTRO_04!A:D,3,0)),"",(VLOOKUP(U19,CADASTRO_04!A:D,3,0)))</f>
        <v/>
      </c>
      <c r="X20" s="1">
        <f>IF(RELATORIO_03!$O$1=1,(SUMIFS(LANÇAMENTOS_01!J:J,LANÇAMENTOS_01!L:L,"&lt;&gt;"&amp;"",LANÇAMENTOS_01!G:G,CADASTRO_AUX!V20)-SUMIFS(LANÇAMENTOS_02!J:J,LANÇAMENTOS_02!L:L,"&lt;&gt;"&amp;"",LANÇAMENTOS_02!G:G,CADASTRO_AUX!V20)),SUMIFS(LANÇAMENTOS_01!J:J,LANÇAMENTOS_01!K:K,"&lt;&gt;"&amp;"",LANÇAMENTOS_01!G:G,CADASTRO_AUX!V20)-SUMIFS(LANÇAMENTOS_02!J:J,LANÇAMENTOS_02!K:K,"&lt;&gt;"&amp;"",LANÇAMENTOS_02!G:G,CADASTRO_AUX!V20))</f>
        <v>0</v>
      </c>
      <c r="Y20" s="1">
        <f>IF(V20="",0,SUMIF(LANÇAMENTOS_03!G:G,V20,LANÇAMENTOS_03!J:J))</f>
        <v>0</v>
      </c>
      <c r="Z20" s="29">
        <f t="shared" si="3"/>
        <v>0</v>
      </c>
      <c r="AA20">
        <v>20</v>
      </c>
      <c r="AF20" s="25">
        <f t="shared" si="6"/>
        <v>20</v>
      </c>
      <c r="AG20" s="20" t="str">
        <f>IF(ISERROR(VLOOKUP(AF19,CADASTRO_05!A:D,2,0)),"",(VLOOKUP(AF19,CADASTRO_05!A:D,2,0)))</f>
        <v/>
      </c>
      <c r="AH20" s="1">
        <f>IF(RELATORIO_03!$O$1=1,(SUMIFS(LANÇAMENTOS_01!J:J,LANÇAMENTOS_01!L:L,"&lt;&gt;"&amp;"",LANÇAMENTOS_01!F:F,CADASTRO_AUX!AG20)),SUMIFS(LANÇAMENTOS_01!J:J,LANÇAMENTOS_01!K:K,"&lt;&gt;"&amp;"",LANÇAMENTOS_01!F:F,CADASTRO_AUX!AG20))</f>
        <v>0</v>
      </c>
      <c r="AI20">
        <f>IF(RELATORIO_03!$O$1=1,(SUMIFS(LANÇAMENTOS_02!J:J,LANÇAMENTOS_02!L:L,"&lt;&gt;"&amp;"",LANÇAMENTOS_02!F:F,CADASTRO_AUX!AG20)),SUMIFS(LANÇAMENTOS_02!J:J,LANÇAMENTOS_02!K:K,"&lt;&gt;"&amp;"",LANÇAMENTOS_02!F:F,CADASTRO_AUX!AG20))</f>
        <v>0</v>
      </c>
      <c r="AJ20">
        <f t="shared" si="4"/>
        <v>0</v>
      </c>
    </row>
    <row r="21" spans="1:36" x14ac:dyDescent="0.25">
      <c r="R21" s="25">
        <f t="shared" si="2"/>
        <v>21</v>
      </c>
      <c r="S21" s="20" t="str">
        <f>IF(ISERROR(VLOOKUP(R20,CADASTRO_03!A:B,2,0)),"",(VLOOKUP(R20,CADASTRO_03!A:B,2,0)))</f>
        <v/>
      </c>
      <c r="U21" s="25">
        <f t="shared" si="5"/>
        <v>21</v>
      </c>
      <c r="V21" s="20" t="str">
        <f>IF(ISERROR(VLOOKUP(U20,CADASTRO_04!A:C,2,0)),"",(VLOOKUP(U20,CADASTRO_04!A:C,2,0)))</f>
        <v/>
      </c>
      <c r="W21" s="1" t="str">
        <f>IF(ISERROR(VLOOKUP(U20,CADASTRO_04!A:D,3,0)),"",(VLOOKUP(U20,CADASTRO_04!A:D,3,0)))</f>
        <v/>
      </c>
      <c r="X21" s="1">
        <f>IF(RELATORIO_03!$O$1=1,(SUMIFS(LANÇAMENTOS_01!J:J,LANÇAMENTOS_01!L:L,"&lt;&gt;"&amp;"",LANÇAMENTOS_01!G:G,CADASTRO_AUX!V21)-SUMIFS(LANÇAMENTOS_02!J:J,LANÇAMENTOS_02!L:L,"&lt;&gt;"&amp;"",LANÇAMENTOS_02!G:G,CADASTRO_AUX!V21)),SUMIFS(LANÇAMENTOS_01!J:J,LANÇAMENTOS_01!K:K,"&lt;&gt;"&amp;"",LANÇAMENTOS_01!G:G,CADASTRO_AUX!V21)-SUMIFS(LANÇAMENTOS_02!J:J,LANÇAMENTOS_02!K:K,"&lt;&gt;"&amp;"",LANÇAMENTOS_02!G:G,CADASTRO_AUX!V21))</f>
        <v>0</v>
      </c>
      <c r="Y21" s="1">
        <f>IF(V21="",0,SUMIF(LANÇAMENTOS_03!G:G,V21,LANÇAMENTOS_03!J:J))</f>
        <v>0</v>
      </c>
      <c r="Z21" s="29">
        <f t="shared" si="3"/>
        <v>0</v>
      </c>
      <c r="AA21">
        <v>21</v>
      </c>
      <c r="AF21" s="25">
        <f t="shared" si="6"/>
        <v>21</v>
      </c>
      <c r="AG21" s="20" t="str">
        <f>IF(ISERROR(VLOOKUP(AF20,CADASTRO_05!A:D,2,0)),"",(VLOOKUP(AF20,CADASTRO_05!A:D,2,0)))</f>
        <v/>
      </c>
      <c r="AH21" s="1">
        <f>IF(RELATORIO_03!$O$1=1,(SUMIFS(LANÇAMENTOS_01!J:J,LANÇAMENTOS_01!L:L,"&lt;&gt;"&amp;"",LANÇAMENTOS_01!F:F,CADASTRO_AUX!AG21)),SUMIFS(LANÇAMENTOS_01!J:J,LANÇAMENTOS_01!K:K,"&lt;&gt;"&amp;"",LANÇAMENTOS_01!F:F,CADASTRO_AUX!AG21))</f>
        <v>0</v>
      </c>
      <c r="AI21">
        <f>IF(RELATORIO_03!$O$1=1,(SUMIFS(LANÇAMENTOS_02!J:J,LANÇAMENTOS_02!L:L,"&lt;&gt;"&amp;"",LANÇAMENTOS_02!F:F,CADASTRO_AUX!AG21)),SUMIFS(LANÇAMENTOS_02!J:J,LANÇAMENTOS_02!K:K,"&lt;&gt;"&amp;"",LANÇAMENTOS_02!F:F,CADASTRO_AUX!AG21))</f>
        <v>0</v>
      </c>
      <c r="AJ21">
        <f t="shared" si="4"/>
        <v>0</v>
      </c>
    </row>
    <row r="22" spans="1:36" x14ac:dyDescent="0.25">
      <c r="A22" s="20" t="s">
        <v>50</v>
      </c>
      <c r="B22" s="23" t="str">
        <f>IF((B23)&gt;0,"Caixa Positivo em ","Caixa Negativo em")</f>
        <v>Caixa Negativo em</v>
      </c>
      <c r="R22" s="25">
        <f t="shared" si="2"/>
        <v>22</v>
      </c>
      <c r="S22" s="20" t="str">
        <f>IF(ISERROR(VLOOKUP(R21,CADASTRO_03!A:B,2,0)),"",(VLOOKUP(R21,CADASTRO_03!A:B,2,0)))</f>
        <v/>
      </c>
      <c r="U22" s="25">
        <f t="shared" si="5"/>
        <v>22</v>
      </c>
      <c r="V22" s="20" t="str">
        <f>IF(ISERROR(VLOOKUP(U21,CADASTRO_04!A:C,2,0)),"",(VLOOKUP(U21,CADASTRO_04!A:C,2,0)))</f>
        <v/>
      </c>
      <c r="W22" s="1" t="str">
        <f>IF(ISERROR(VLOOKUP(U21,CADASTRO_04!A:D,3,0)),"",(VLOOKUP(U21,CADASTRO_04!A:D,3,0)))</f>
        <v/>
      </c>
      <c r="X22" s="1">
        <f>IF(RELATORIO_03!$O$1=1,(SUMIFS(LANÇAMENTOS_01!J:J,LANÇAMENTOS_01!L:L,"&lt;&gt;"&amp;"",LANÇAMENTOS_01!G:G,CADASTRO_AUX!V22)-SUMIFS(LANÇAMENTOS_02!J:J,LANÇAMENTOS_02!L:L,"&lt;&gt;"&amp;"",LANÇAMENTOS_02!G:G,CADASTRO_AUX!V22)),SUMIFS(LANÇAMENTOS_01!J:J,LANÇAMENTOS_01!K:K,"&lt;&gt;"&amp;"",LANÇAMENTOS_01!G:G,CADASTRO_AUX!V22)-SUMIFS(LANÇAMENTOS_02!J:J,LANÇAMENTOS_02!K:K,"&lt;&gt;"&amp;"",LANÇAMENTOS_02!G:G,CADASTRO_AUX!V22))</f>
        <v>0</v>
      </c>
      <c r="Y22" s="1">
        <f>IF(V22="",0,SUMIF(LANÇAMENTOS_03!G:G,V22,LANÇAMENTOS_03!J:J))</f>
        <v>0</v>
      </c>
      <c r="Z22" s="29">
        <f t="shared" si="3"/>
        <v>0</v>
      </c>
      <c r="AA22">
        <v>22</v>
      </c>
      <c r="AF22" s="25">
        <f t="shared" si="6"/>
        <v>22</v>
      </c>
      <c r="AG22" s="20" t="str">
        <f>IF(ISERROR(VLOOKUP(AF21,CADASTRO_05!A:D,2,0)),"",(VLOOKUP(AF21,CADASTRO_05!A:D,2,0)))</f>
        <v/>
      </c>
      <c r="AH22" s="1">
        <f>IF(RELATORIO_03!$O$1=1,(SUMIFS(LANÇAMENTOS_01!J:J,LANÇAMENTOS_01!L:L,"&lt;&gt;"&amp;"",LANÇAMENTOS_01!F:F,CADASTRO_AUX!AG22)),SUMIFS(LANÇAMENTOS_01!J:J,LANÇAMENTOS_01!K:K,"&lt;&gt;"&amp;"",LANÇAMENTOS_01!F:F,CADASTRO_AUX!AG22))</f>
        <v>0</v>
      </c>
      <c r="AI22">
        <f>IF(RELATORIO_03!$O$1=1,(SUMIFS(LANÇAMENTOS_02!J:J,LANÇAMENTOS_02!L:L,"&lt;&gt;"&amp;"",LANÇAMENTOS_02!F:F,CADASTRO_AUX!AG22)),SUMIFS(LANÇAMENTOS_02!J:J,LANÇAMENTOS_02!K:K,"&lt;&gt;"&amp;"",LANÇAMENTOS_02!F:F,CADASTRO_AUX!AG22))</f>
        <v>0</v>
      </c>
      <c r="AJ22">
        <f t="shared" si="4"/>
        <v>0</v>
      </c>
    </row>
    <row r="23" spans="1:36" x14ac:dyDescent="0.25">
      <c r="A23" s="243">
        <f ca="1">INICIO!L3-INICIO!I3</f>
        <v>79</v>
      </c>
      <c r="B23" s="23">
        <f>IF(RELATORIO_03!O1=1,(B20+B14-B17),RELATORIO_03!G15)</f>
        <v>0</v>
      </c>
      <c r="R23" s="25">
        <f t="shared" si="2"/>
        <v>23</v>
      </c>
      <c r="S23" s="20" t="str">
        <f>IF(ISERROR(VLOOKUP(R22,CADASTRO_03!A:B,2,0)),"",(VLOOKUP(R22,CADASTRO_03!A:B,2,0)))</f>
        <v/>
      </c>
      <c r="U23" s="25">
        <f t="shared" si="5"/>
        <v>23</v>
      </c>
      <c r="V23" s="20" t="str">
        <f>IF(ISERROR(VLOOKUP(U22,CADASTRO_04!A:C,2,0)),"",(VLOOKUP(U22,CADASTRO_04!A:C,2,0)))</f>
        <v/>
      </c>
      <c r="W23" s="1" t="str">
        <f>IF(ISERROR(VLOOKUP(U22,CADASTRO_04!A:D,3,0)),"",(VLOOKUP(U22,CADASTRO_04!A:D,3,0)))</f>
        <v/>
      </c>
      <c r="X23" s="1">
        <f>IF(RELATORIO_03!$O$1=1,(SUMIFS(LANÇAMENTOS_01!J:J,LANÇAMENTOS_01!L:L,"&lt;&gt;"&amp;"",LANÇAMENTOS_01!G:G,CADASTRO_AUX!V23)-SUMIFS(LANÇAMENTOS_02!J:J,LANÇAMENTOS_02!L:L,"&lt;&gt;"&amp;"",LANÇAMENTOS_02!G:G,CADASTRO_AUX!V23)),SUMIFS(LANÇAMENTOS_01!J:J,LANÇAMENTOS_01!K:K,"&lt;&gt;"&amp;"",LANÇAMENTOS_01!G:G,CADASTRO_AUX!V23)-SUMIFS(LANÇAMENTOS_02!J:J,LANÇAMENTOS_02!K:K,"&lt;&gt;"&amp;"",LANÇAMENTOS_02!G:G,CADASTRO_AUX!V23))</f>
        <v>0</v>
      </c>
      <c r="Y23" s="1">
        <f>IF(V23="",0,SUMIF(LANÇAMENTOS_03!G:G,V23,LANÇAMENTOS_03!J:J))</f>
        <v>0</v>
      </c>
      <c r="Z23" s="29">
        <f t="shared" si="3"/>
        <v>0</v>
      </c>
      <c r="AA23">
        <v>23</v>
      </c>
      <c r="AF23" s="25">
        <f t="shared" si="6"/>
        <v>23</v>
      </c>
      <c r="AG23" s="20" t="str">
        <f>IF(ISERROR(VLOOKUP(AF22,CADASTRO_05!A:D,2,0)),"",(VLOOKUP(AF22,CADASTRO_05!A:D,2,0)))</f>
        <v/>
      </c>
      <c r="AH23" s="1">
        <f>IF(RELATORIO_03!$O$1=1,(SUMIFS(LANÇAMENTOS_01!J:J,LANÇAMENTOS_01!L:L,"&lt;&gt;"&amp;"",LANÇAMENTOS_01!F:F,CADASTRO_AUX!AG23)),SUMIFS(LANÇAMENTOS_01!J:J,LANÇAMENTOS_01!K:K,"&lt;&gt;"&amp;"",LANÇAMENTOS_01!F:F,CADASTRO_AUX!AG23))</f>
        <v>0</v>
      </c>
      <c r="AI23">
        <f>IF(RELATORIO_03!$O$1=1,(SUMIFS(LANÇAMENTOS_02!J:J,LANÇAMENTOS_02!L:L,"&lt;&gt;"&amp;"",LANÇAMENTOS_02!F:F,CADASTRO_AUX!AG23)),SUMIFS(LANÇAMENTOS_02!J:J,LANÇAMENTOS_02!K:K,"&lt;&gt;"&amp;"",LANÇAMENTOS_02!F:F,CADASTRO_AUX!AG23))</f>
        <v>0</v>
      </c>
      <c r="AJ23">
        <f t="shared" si="4"/>
        <v>0</v>
      </c>
    </row>
    <row r="24" spans="1:36" x14ac:dyDescent="0.25">
      <c r="A24" s="145"/>
      <c r="R24" s="25">
        <f t="shared" si="2"/>
        <v>24</v>
      </c>
      <c r="S24" s="20" t="str">
        <f>IF(ISERROR(VLOOKUP(R23,CADASTRO_03!A:B,2,0)),"",(VLOOKUP(R23,CADASTRO_03!A:B,2,0)))</f>
        <v/>
      </c>
      <c r="U24" s="25">
        <f t="shared" si="5"/>
        <v>24</v>
      </c>
      <c r="V24" s="20" t="str">
        <f>IF(ISERROR(VLOOKUP(U23,CADASTRO_04!A:C,2,0)),"",(VLOOKUP(U23,CADASTRO_04!A:C,2,0)))</f>
        <v/>
      </c>
      <c r="W24" s="1" t="str">
        <f>IF(ISERROR(VLOOKUP(U23,CADASTRO_04!A:D,3,0)),"",(VLOOKUP(U23,CADASTRO_04!A:D,3,0)))</f>
        <v/>
      </c>
      <c r="X24" s="1">
        <f>IF(RELATORIO_03!$O$1=1,(SUMIFS(LANÇAMENTOS_01!J:J,LANÇAMENTOS_01!L:L,"&lt;&gt;"&amp;"",LANÇAMENTOS_01!G:G,CADASTRO_AUX!V24)-SUMIFS(LANÇAMENTOS_02!J:J,LANÇAMENTOS_02!L:L,"&lt;&gt;"&amp;"",LANÇAMENTOS_02!G:G,CADASTRO_AUX!V24)),SUMIFS(LANÇAMENTOS_01!J:J,LANÇAMENTOS_01!K:K,"&lt;&gt;"&amp;"",LANÇAMENTOS_01!G:G,CADASTRO_AUX!V24)-SUMIFS(LANÇAMENTOS_02!J:J,LANÇAMENTOS_02!K:K,"&lt;&gt;"&amp;"",LANÇAMENTOS_02!G:G,CADASTRO_AUX!V24))</f>
        <v>0</v>
      </c>
      <c r="Y24" s="1">
        <f>IF(V24="",0,SUMIF(LANÇAMENTOS_03!G:G,V24,LANÇAMENTOS_03!J:J))</f>
        <v>0</v>
      </c>
      <c r="Z24" s="29">
        <f t="shared" si="3"/>
        <v>0</v>
      </c>
      <c r="AA24">
        <v>24</v>
      </c>
      <c r="AF24" s="25">
        <f t="shared" si="6"/>
        <v>24</v>
      </c>
      <c r="AG24" s="20" t="str">
        <f>IF(ISERROR(VLOOKUP(AF23,CADASTRO_05!A:D,2,0)),"",(VLOOKUP(AF23,CADASTRO_05!A:D,2,0)))</f>
        <v/>
      </c>
      <c r="AH24" s="1">
        <f>IF(RELATORIO_03!$O$1=1,(SUMIFS(LANÇAMENTOS_01!J:J,LANÇAMENTOS_01!L:L,"&lt;&gt;"&amp;"",LANÇAMENTOS_01!F:F,CADASTRO_AUX!AG24)),SUMIFS(LANÇAMENTOS_01!J:J,LANÇAMENTOS_01!K:K,"&lt;&gt;"&amp;"",LANÇAMENTOS_01!F:F,CADASTRO_AUX!AG24))</f>
        <v>0</v>
      </c>
      <c r="AI24">
        <f>IF(RELATORIO_03!$O$1=1,(SUMIFS(LANÇAMENTOS_02!J:J,LANÇAMENTOS_02!L:L,"&lt;&gt;"&amp;"",LANÇAMENTOS_02!F:F,CADASTRO_AUX!AG24)),SUMIFS(LANÇAMENTOS_02!J:J,LANÇAMENTOS_02!K:K,"&lt;&gt;"&amp;"",LANÇAMENTOS_02!F:F,CADASTRO_AUX!AG24))</f>
        <v>0</v>
      </c>
      <c r="AJ24">
        <f t="shared" si="4"/>
        <v>0</v>
      </c>
    </row>
    <row r="25" spans="1:36" x14ac:dyDescent="0.25">
      <c r="R25" s="25">
        <f t="shared" si="2"/>
        <v>25</v>
      </c>
      <c r="S25" s="20" t="str">
        <f>IF(ISERROR(VLOOKUP(R24,CADASTRO_03!A:B,2,0)),"",(VLOOKUP(R24,CADASTRO_03!A:B,2,0)))</f>
        <v/>
      </c>
      <c r="U25" s="25">
        <f t="shared" si="5"/>
        <v>25</v>
      </c>
      <c r="V25" s="20" t="str">
        <f>IF(ISERROR(VLOOKUP(U24,CADASTRO_04!A:C,2,0)),"",(VLOOKUP(U24,CADASTRO_04!A:C,2,0)))</f>
        <v/>
      </c>
      <c r="W25" s="1" t="str">
        <f>IF(ISERROR(VLOOKUP(U24,CADASTRO_04!A:D,3,0)),"",(VLOOKUP(U24,CADASTRO_04!A:D,3,0)))</f>
        <v/>
      </c>
      <c r="X25" s="1">
        <f>IF(RELATORIO_03!$O$1=1,(SUMIFS(LANÇAMENTOS_01!J:J,LANÇAMENTOS_01!L:L,"&lt;&gt;"&amp;"",LANÇAMENTOS_01!G:G,CADASTRO_AUX!V25)-SUMIFS(LANÇAMENTOS_02!J:J,LANÇAMENTOS_02!L:L,"&lt;&gt;"&amp;"",LANÇAMENTOS_02!G:G,CADASTRO_AUX!V25)),SUMIFS(LANÇAMENTOS_01!J:J,LANÇAMENTOS_01!K:K,"&lt;&gt;"&amp;"",LANÇAMENTOS_01!G:G,CADASTRO_AUX!V25)-SUMIFS(LANÇAMENTOS_02!J:J,LANÇAMENTOS_02!K:K,"&lt;&gt;"&amp;"",LANÇAMENTOS_02!G:G,CADASTRO_AUX!V25))</f>
        <v>0</v>
      </c>
      <c r="Y25" s="1">
        <f>IF(V25="",0,SUMIF(LANÇAMENTOS_03!G:G,V25,LANÇAMENTOS_03!J:J))</f>
        <v>0</v>
      </c>
      <c r="Z25" s="29">
        <f t="shared" si="3"/>
        <v>0</v>
      </c>
      <c r="AA25">
        <v>25</v>
      </c>
      <c r="AF25" s="25">
        <f t="shared" si="6"/>
        <v>25</v>
      </c>
      <c r="AG25" s="20" t="str">
        <f>IF(ISERROR(VLOOKUP(AF24,CADASTRO_05!A:D,2,0)),"",(VLOOKUP(AF24,CADASTRO_05!A:D,2,0)))</f>
        <v/>
      </c>
      <c r="AH25" s="1">
        <f>IF(RELATORIO_03!$O$1=1,(SUMIFS(LANÇAMENTOS_01!J:J,LANÇAMENTOS_01!L:L,"&lt;&gt;"&amp;"",LANÇAMENTOS_01!F:F,CADASTRO_AUX!AG25)),SUMIFS(LANÇAMENTOS_01!J:J,LANÇAMENTOS_01!K:K,"&lt;&gt;"&amp;"",LANÇAMENTOS_01!F:F,CADASTRO_AUX!AG25))</f>
        <v>0</v>
      </c>
      <c r="AI25">
        <f>IF(RELATORIO_03!$O$1=1,(SUMIFS(LANÇAMENTOS_02!J:J,LANÇAMENTOS_02!L:L,"&lt;&gt;"&amp;"",LANÇAMENTOS_02!F:F,CADASTRO_AUX!AG25)),SUMIFS(LANÇAMENTOS_02!J:J,LANÇAMENTOS_02!K:K,"&lt;&gt;"&amp;"",LANÇAMENTOS_02!F:F,CADASTRO_AUX!AG25))</f>
        <v>0</v>
      </c>
      <c r="AJ25">
        <f t="shared" si="4"/>
        <v>0</v>
      </c>
    </row>
    <row r="26" spans="1:36" x14ac:dyDescent="0.25">
      <c r="R26" s="25">
        <f t="shared" si="2"/>
        <v>26</v>
      </c>
      <c r="S26" s="20" t="str">
        <f>IF(ISERROR(VLOOKUP(R25,CADASTRO_03!A:B,2,0)),"",(VLOOKUP(R25,CADASTRO_03!A:B,2,0)))</f>
        <v/>
      </c>
      <c r="U26" s="25">
        <f t="shared" si="5"/>
        <v>26</v>
      </c>
      <c r="V26" s="20" t="str">
        <f>IF(ISERROR(VLOOKUP(U25,CADASTRO_04!A:C,2,0)),"",(VLOOKUP(U25,CADASTRO_04!A:C,2,0)))</f>
        <v/>
      </c>
      <c r="W26" s="1" t="str">
        <f>IF(ISERROR(VLOOKUP(U25,CADASTRO_04!A:D,3,0)),"",(VLOOKUP(U25,CADASTRO_04!A:D,3,0)))</f>
        <v/>
      </c>
      <c r="X26" s="1">
        <f>IF(RELATORIO_03!$O$1=1,(SUMIFS(LANÇAMENTOS_01!J:J,LANÇAMENTOS_01!L:L,"&lt;&gt;"&amp;"",LANÇAMENTOS_01!G:G,CADASTRO_AUX!V26)-SUMIFS(LANÇAMENTOS_02!J:J,LANÇAMENTOS_02!L:L,"&lt;&gt;"&amp;"",LANÇAMENTOS_02!G:G,CADASTRO_AUX!V26)),SUMIFS(LANÇAMENTOS_01!J:J,LANÇAMENTOS_01!K:K,"&lt;&gt;"&amp;"",LANÇAMENTOS_01!G:G,CADASTRO_AUX!V26)-SUMIFS(LANÇAMENTOS_02!J:J,LANÇAMENTOS_02!K:K,"&lt;&gt;"&amp;"",LANÇAMENTOS_02!G:G,CADASTRO_AUX!V26))</f>
        <v>0</v>
      </c>
      <c r="Y26" s="1">
        <f>IF(V26="",0,SUMIF(LANÇAMENTOS_03!G:G,V26,LANÇAMENTOS_03!J:J))</f>
        <v>0</v>
      </c>
      <c r="Z26" s="29">
        <f t="shared" si="3"/>
        <v>0</v>
      </c>
      <c r="AA26">
        <v>26</v>
      </c>
      <c r="AF26" s="25">
        <f t="shared" si="6"/>
        <v>26</v>
      </c>
      <c r="AG26" s="20" t="str">
        <f>IF(ISERROR(VLOOKUP(AF25,CADASTRO_05!A:D,2,0)),"",(VLOOKUP(AF25,CADASTRO_05!A:D,2,0)))</f>
        <v/>
      </c>
      <c r="AH26" s="1">
        <f>IF(RELATORIO_03!$O$1=1,(SUMIFS(LANÇAMENTOS_01!J:J,LANÇAMENTOS_01!L:L,"&lt;&gt;"&amp;"",LANÇAMENTOS_01!F:F,CADASTRO_AUX!AG26)),SUMIFS(LANÇAMENTOS_01!J:J,LANÇAMENTOS_01!K:K,"&lt;&gt;"&amp;"",LANÇAMENTOS_01!F:F,CADASTRO_AUX!AG26))</f>
        <v>0</v>
      </c>
      <c r="AI26">
        <f>IF(RELATORIO_03!$O$1=1,(SUMIFS(LANÇAMENTOS_02!J:J,LANÇAMENTOS_02!L:L,"&lt;&gt;"&amp;"",LANÇAMENTOS_02!F:F,CADASTRO_AUX!AG26)),SUMIFS(LANÇAMENTOS_02!J:J,LANÇAMENTOS_02!K:K,"&lt;&gt;"&amp;"",LANÇAMENTOS_02!F:F,CADASTRO_AUX!AG26))</f>
        <v>0</v>
      </c>
      <c r="AJ26">
        <f t="shared" si="4"/>
        <v>0</v>
      </c>
    </row>
    <row r="27" spans="1:36" x14ac:dyDescent="0.25">
      <c r="R27" s="25">
        <f t="shared" si="2"/>
        <v>27</v>
      </c>
      <c r="S27" s="20" t="str">
        <f>IF(ISERROR(VLOOKUP(R26,CADASTRO_03!A:B,2,0)),"",(VLOOKUP(R26,CADASTRO_03!A:B,2,0)))</f>
        <v/>
      </c>
      <c r="U27" s="25">
        <f t="shared" si="5"/>
        <v>27</v>
      </c>
      <c r="V27" s="20" t="str">
        <f>IF(ISERROR(VLOOKUP(U26,CADASTRO_04!A:C,2,0)),"",(VLOOKUP(U26,CADASTRO_04!A:C,2,0)))</f>
        <v/>
      </c>
      <c r="W27" s="1" t="str">
        <f>IF(ISERROR(VLOOKUP(U26,CADASTRO_04!A:D,3,0)),"",(VLOOKUP(U26,CADASTRO_04!A:D,3,0)))</f>
        <v/>
      </c>
      <c r="X27" s="1">
        <f>IF(RELATORIO_03!$O$1=1,(SUMIFS(LANÇAMENTOS_01!J:J,LANÇAMENTOS_01!L:L,"&lt;&gt;"&amp;"",LANÇAMENTOS_01!G:G,CADASTRO_AUX!V27)-SUMIFS(LANÇAMENTOS_02!J:J,LANÇAMENTOS_02!L:L,"&lt;&gt;"&amp;"",LANÇAMENTOS_02!G:G,CADASTRO_AUX!V27)),SUMIFS(LANÇAMENTOS_01!J:J,LANÇAMENTOS_01!K:K,"&lt;&gt;"&amp;"",LANÇAMENTOS_01!G:G,CADASTRO_AUX!V27)-SUMIFS(LANÇAMENTOS_02!J:J,LANÇAMENTOS_02!K:K,"&lt;&gt;"&amp;"",LANÇAMENTOS_02!G:G,CADASTRO_AUX!V27))</f>
        <v>0</v>
      </c>
      <c r="Y27" s="1">
        <f>IF(V27="",0,SUMIF(LANÇAMENTOS_03!G:G,V27,LANÇAMENTOS_03!J:J))</f>
        <v>0</v>
      </c>
      <c r="Z27" s="29">
        <f t="shared" si="3"/>
        <v>0</v>
      </c>
      <c r="AA27">
        <v>27</v>
      </c>
      <c r="AF27" s="25">
        <f t="shared" si="6"/>
        <v>27</v>
      </c>
      <c r="AG27" s="20" t="str">
        <f>IF(ISERROR(VLOOKUP(AF26,CADASTRO_05!A:D,2,0)),"",(VLOOKUP(AF26,CADASTRO_05!A:D,2,0)))</f>
        <v/>
      </c>
      <c r="AH27" s="1">
        <f>IF(RELATORIO_03!$O$1=1,(SUMIFS(LANÇAMENTOS_01!J:J,LANÇAMENTOS_01!L:L,"&lt;&gt;"&amp;"",LANÇAMENTOS_01!F:F,CADASTRO_AUX!AG27)),SUMIFS(LANÇAMENTOS_01!J:J,LANÇAMENTOS_01!K:K,"&lt;&gt;"&amp;"",LANÇAMENTOS_01!F:F,CADASTRO_AUX!AG27))</f>
        <v>0</v>
      </c>
      <c r="AI27">
        <f>IF(RELATORIO_03!$O$1=1,(SUMIFS(LANÇAMENTOS_02!J:J,LANÇAMENTOS_02!L:L,"&lt;&gt;"&amp;"",LANÇAMENTOS_02!F:F,CADASTRO_AUX!AG27)),SUMIFS(LANÇAMENTOS_02!J:J,LANÇAMENTOS_02!K:K,"&lt;&gt;"&amp;"",LANÇAMENTOS_02!F:F,CADASTRO_AUX!AG27))</f>
        <v>0</v>
      </c>
      <c r="AJ27">
        <f t="shared" si="4"/>
        <v>0</v>
      </c>
    </row>
    <row r="28" spans="1:36" x14ac:dyDescent="0.25">
      <c r="R28" s="25">
        <f t="shared" si="2"/>
        <v>28</v>
      </c>
      <c r="S28" s="20" t="str">
        <f>IF(ISERROR(VLOOKUP(R27,CADASTRO_03!A:B,2,0)),"",(VLOOKUP(R27,CADASTRO_03!A:B,2,0)))</f>
        <v/>
      </c>
      <c r="U28" s="25">
        <f t="shared" si="5"/>
        <v>28</v>
      </c>
      <c r="V28" s="20" t="str">
        <f>IF(ISERROR(VLOOKUP(U27,CADASTRO_04!A:C,2,0)),"",(VLOOKUP(U27,CADASTRO_04!A:C,2,0)))</f>
        <v/>
      </c>
      <c r="W28" s="1" t="str">
        <f>IF(ISERROR(VLOOKUP(U27,CADASTRO_04!A:D,3,0)),"",(VLOOKUP(U27,CADASTRO_04!A:D,3,0)))</f>
        <v/>
      </c>
      <c r="X28" s="1">
        <f>IF(RELATORIO_03!$O$1=1,(SUMIFS(LANÇAMENTOS_01!J:J,LANÇAMENTOS_01!L:L,"&lt;&gt;"&amp;"",LANÇAMENTOS_01!G:G,CADASTRO_AUX!V28)-SUMIFS(LANÇAMENTOS_02!J:J,LANÇAMENTOS_02!L:L,"&lt;&gt;"&amp;"",LANÇAMENTOS_02!G:G,CADASTRO_AUX!V28)),SUMIFS(LANÇAMENTOS_01!J:J,LANÇAMENTOS_01!K:K,"&lt;&gt;"&amp;"",LANÇAMENTOS_01!G:G,CADASTRO_AUX!V28)-SUMIFS(LANÇAMENTOS_02!J:J,LANÇAMENTOS_02!K:K,"&lt;&gt;"&amp;"",LANÇAMENTOS_02!G:G,CADASTRO_AUX!V28))</f>
        <v>0</v>
      </c>
      <c r="Y28" s="1">
        <f>IF(V28="",0,SUMIF(LANÇAMENTOS_03!G:G,V28,LANÇAMENTOS_03!J:J))</f>
        <v>0</v>
      </c>
      <c r="Z28" s="29">
        <f t="shared" si="3"/>
        <v>0</v>
      </c>
      <c r="AA28">
        <v>28</v>
      </c>
      <c r="AF28" s="25">
        <f t="shared" si="6"/>
        <v>28</v>
      </c>
      <c r="AG28" s="20" t="str">
        <f>IF(ISERROR(VLOOKUP(AF27,CADASTRO_05!A:D,2,0)),"",(VLOOKUP(AF27,CADASTRO_05!A:D,2,0)))</f>
        <v/>
      </c>
      <c r="AH28" s="1">
        <f>IF(RELATORIO_03!$O$1=1,(SUMIFS(LANÇAMENTOS_01!J:J,LANÇAMENTOS_01!L:L,"&lt;&gt;"&amp;"",LANÇAMENTOS_01!F:F,CADASTRO_AUX!AG28)),SUMIFS(LANÇAMENTOS_01!J:J,LANÇAMENTOS_01!K:K,"&lt;&gt;"&amp;"",LANÇAMENTOS_01!F:F,CADASTRO_AUX!AG28))</f>
        <v>0</v>
      </c>
      <c r="AI28">
        <f>IF(RELATORIO_03!$O$1=1,(SUMIFS(LANÇAMENTOS_02!J:J,LANÇAMENTOS_02!L:L,"&lt;&gt;"&amp;"",LANÇAMENTOS_02!F:F,CADASTRO_AUX!AG28)),SUMIFS(LANÇAMENTOS_02!J:J,LANÇAMENTOS_02!K:K,"&lt;&gt;"&amp;"",LANÇAMENTOS_02!F:F,CADASTRO_AUX!AG28))</f>
        <v>0</v>
      </c>
      <c r="AJ28">
        <f t="shared" si="4"/>
        <v>0</v>
      </c>
    </row>
    <row r="29" spans="1:36" x14ac:dyDescent="0.25">
      <c r="R29" s="25">
        <f t="shared" si="2"/>
        <v>29</v>
      </c>
      <c r="S29" s="20" t="str">
        <f>IF(ISERROR(VLOOKUP(R28,CADASTRO_03!A:B,2,0)),"",(VLOOKUP(R28,CADASTRO_03!A:B,2,0)))</f>
        <v/>
      </c>
      <c r="U29" s="25">
        <f t="shared" si="5"/>
        <v>29</v>
      </c>
      <c r="V29" s="20" t="str">
        <f>IF(ISERROR(VLOOKUP(U28,CADASTRO_04!A:C,2,0)),"",(VLOOKUP(U28,CADASTRO_04!A:C,2,0)))</f>
        <v/>
      </c>
      <c r="W29" s="1" t="str">
        <f>IF(ISERROR(VLOOKUP(U28,CADASTRO_04!A:D,3,0)),"",(VLOOKUP(U28,CADASTRO_04!A:D,3,0)))</f>
        <v/>
      </c>
      <c r="X29" s="1">
        <f>IF(RELATORIO_03!$O$1=1,(SUMIFS(LANÇAMENTOS_01!J:J,LANÇAMENTOS_01!L:L,"&lt;&gt;"&amp;"",LANÇAMENTOS_01!G:G,CADASTRO_AUX!V29)-SUMIFS(LANÇAMENTOS_02!J:J,LANÇAMENTOS_02!L:L,"&lt;&gt;"&amp;"",LANÇAMENTOS_02!G:G,CADASTRO_AUX!V29)),SUMIFS(LANÇAMENTOS_01!J:J,LANÇAMENTOS_01!K:K,"&lt;&gt;"&amp;"",LANÇAMENTOS_01!G:G,CADASTRO_AUX!V29)-SUMIFS(LANÇAMENTOS_02!J:J,LANÇAMENTOS_02!K:K,"&lt;&gt;"&amp;"",LANÇAMENTOS_02!G:G,CADASTRO_AUX!V29))</f>
        <v>0</v>
      </c>
      <c r="Y29" s="1">
        <f>IF(V29="",0,SUMIF(LANÇAMENTOS_03!G:G,V29,LANÇAMENTOS_03!J:J))</f>
        <v>0</v>
      </c>
      <c r="Z29" s="29">
        <f t="shared" si="3"/>
        <v>0</v>
      </c>
      <c r="AA29">
        <v>29</v>
      </c>
      <c r="AF29" s="25">
        <f t="shared" si="6"/>
        <v>29</v>
      </c>
      <c r="AG29" s="20" t="str">
        <f>IF(ISERROR(VLOOKUP(AF28,CADASTRO_05!A:D,2,0)),"",(VLOOKUP(AF28,CADASTRO_05!A:D,2,0)))</f>
        <v/>
      </c>
      <c r="AH29" s="1">
        <f>IF(RELATORIO_03!$O$1=1,(SUMIFS(LANÇAMENTOS_01!J:J,LANÇAMENTOS_01!L:L,"&lt;&gt;"&amp;"",LANÇAMENTOS_01!F:F,CADASTRO_AUX!AG29)),SUMIFS(LANÇAMENTOS_01!J:J,LANÇAMENTOS_01!K:K,"&lt;&gt;"&amp;"",LANÇAMENTOS_01!F:F,CADASTRO_AUX!AG29))</f>
        <v>0</v>
      </c>
      <c r="AI29">
        <f>IF(RELATORIO_03!$O$1=1,(SUMIFS(LANÇAMENTOS_02!J:J,LANÇAMENTOS_02!L:L,"&lt;&gt;"&amp;"",LANÇAMENTOS_02!F:F,CADASTRO_AUX!AG29)),SUMIFS(LANÇAMENTOS_02!J:J,LANÇAMENTOS_02!K:K,"&lt;&gt;"&amp;"",LANÇAMENTOS_02!F:F,CADASTRO_AUX!AG29))</f>
        <v>0</v>
      </c>
      <c r="AJ29">
        <f t="shared" si="4"/>
        <v>0</v>
      </c>
    </row>
    <row r="30" spans="1:36" x14ac:dyDescent="0.25">
      <c r="R30" s="25">
        <f t="shared" si="2"/>
        <v>30</v>
      </c>
      <c r="S30" s="20" t="str">
        <f>IF(ISERROR(VLOOKUP(R29,CADASTRO_03!A:B,2,0)),"",(VLOOKUP(R29,CADASTRO_03!A:B,2,0)))</f>
        <v/>
      </c>
      <c r="U30" s="25">
        <f t="shared" si="5"/>
        <v>30</v>
      </c>
      <c r="V30" s="20" t="str">
        <f>IF(ISERROR(VLOOKUP(U29,CADASTRO_04!A:C,2,0)),"",(VLOOKUP(U29,CADASTRO_04!A:C,2,0)))</f>
        <v/>
      </c>
      <c r="W30" s="1" t="str">
        <f>IF(ISERROR(VLOOKUP(U29,CADASTRO_04!A:D,3,0)),"",(VLOOKUP(U29,CADASTRO_04!A:D,3,0)))</f>
        <v/>
      </c>
      <c r="X30" s="1">
        <f>IF(RELATORIO_03!$O$1=1,(SUMIFS(LANÇAMENTOS_01!J:J,LANÇAMENTOS_01!L:L,"&lt;&gt;"&amp;"",LANÇAMENTOS_01!G:G,CADASTRO_AUX!V30)-SUMIFS(LANÇAMENTOS_02!J:J,LANÇAMENTOS_02!L:L,"&lt;&gt;"&amp;"",LANÇAMENTOS_02!G:G,CADASTRO_AUX!V30)),SUMIFS(LANÇAMENTOS_01!J:J,LANÇAMENTOS_01!K:K,"&lt;&gt;"&amp;"",LANÇAMENTOS_01!G:G,CADASTRO_AUX!V30)-SUMIFS(LANÇAMENTOS_02!J:J,LANÇAMENTOS_02!K:K,"&lt;&gt;"&amp;"",LANÇAMENTOS_02!G:G,CADASTRO_AUX!V30))</f>
        <v>0</v>
      </c>
      <c r="Y30" s="1">
        <f>IF(V30="",0,SUMIF(LANÇAMENTOS_03!G:G,V30,LANÇAMENTOS_03!J:J))</f>
        <v>0</v>
      </c>
      <c r="Z30" s="29">
        <f t="shared" si="3"/>
        <v>0</v>
      </c>
      <c r="AA30">
        <v>30</v>
      </c>
      <c r="AF30" s="25">
        <f t="shared" si="6"/>
        <v>30</v>
      </c>
      <c r="AG30" s="20" t="str">
        <f>IF(ISERROR(VLOOKUP(AF29,CADASTRO_05!A:D,2,0)),"",(VLOOKUP(AF29,CADASTRO_05!A:D,2,0)))</f>
        <v/>
      </c>
      <c r="AH30" s="1">
        <f>IF(RELATORIO_03!$O$1=1,(SUMIFS(LANÇAMENTOS_01!J:J,LANÇAMENTOS_01!L:L,"&lt;&gt;"&amp;"",LANÇAMENTOS_01!F:F,CADASTRO_AUX!AG30)),SUMIFS(LANÇAMENTOS_01!J:J,LANÇAMENTOS_01!K:K,"&lt;&gt;"&amp;"",LANÇAMENTOS_01!F:F,CADASTRO_AUX!AG30))</f>
        <v>0</v>
      </c>
      <c r="AI30">
        <f>IF(RELATORIO_03!$O$1=1,(SUMIFS(LANÇAMENTOS_02!J:J,LANÇAMENTOS_02!L:L,"&lt;&gt;"&amp;"",LANÇAMENTOS_02!F:F,CADASTRO_AUX!AG30)),SUMIFS(LANÇAMENTOS_02!J:J,LANÇAMENTOS_02!K:K,"&lt;&gt;"&amp;"",LANÇAMENTOS_02!F:F,CADASTRO_AUX!AG30))</f>
        <v>0</v>
      </c>
      <c r="AJ30">
        <f t="shared" si="4"/>
        <v>0</v>
      </c>
    </row>
    <row r="31" spans="1:36" x14ac:dyDescent="0.25">
      <c r="R31" s="25">
        <f t="shared" si="2"/>
        <v>31</v>
      </c>
      <c r="S31" s="20" t="str">
        <f>IF(ISERROR(VLOOKUP(R30,CADASTRO_03!A:B,2,0)),"",(VLOOKUP(R30,CADASTRO_03!A:B,2,0)))</f>
        <v/>
      </c>
      <c r="U31" s="25">
        <f t="shared" si="5"/>
        <v>31</v>
      </c>
      <c r="V31" s="20" t="str">
        <f>IF(ISERROR(VLOOKUP(U30,CADASTRO_04!A:C,2,0)),"",(VLOOKUP(U30,CADASTRO_04!A:C,2,0)))</f>
        <v/>
      </c>
      <c r="W31" s="1" t="str">
        <f>IF(ISERROR(VLOOKUP(U30,CADASTRO_04!A:D,3,0)),"",(VLOOKUP(U30,CADASTRO_04!A:D,3,0)))</f>
        <v/>
      </c>
      <c r="X31" s="1">
        <f>IF(RELATORIO_03!$O$1=1,(SUMIFS(LANÇAMENTOS_01!J:J,LANÇAMENTOS_01!L:L,"&lt;&gt;"&amp;"",LANÇAMENTOS_01!G:G,CADASTRO_AUX!V31)-SUMIFS(LANÇAMENTOS_02!J:J,LANÇAMENTOS_02!L:L,"&lt;&gt;"&amp;"",LANÇAMENTOS_02!G:G,CADASTRO_AUX!V31)),SUMIFS(LANÇAMENTOS_01!J:J,LANÇAMENTOS_01!K:K,"&lt;&gt;"&amp;"",LANÇAMENTOS_01!G:G,CADASTRO_AUX!V31)-SUMIFS(LANÇAMENTOS_02!J:J,LANÇAMENTOS_02!K:K,"&lt;&gt;"&amp;"",LANÇAMENTOS_02!G:G,CADASTRO_AUX!V31))</f>
        <v>0</v>
      </c>
      <c r="Y31" s="1">
        <f>IF(V31="",0,SUMIF(LANÇAMENTOS_03!G:G,V31,LANÇAMENTOS_03!J:J))</f>
        <v>0</v>
      </c>
      <c r="Z31" s="29">
        <f t="shared" si="3"/>
        <v>0</v>
      </c>
      <c r="AA31">
        <v>31</v>
      </c>
      <c r="AF31" s="25">
        <f t="shared" si="6"/>
        <v>31</v>
      </c>
      <c r="AG31" s="20" t="str">
        <f>IF(ISERROR(VLOOKUP(AF30,CADASTRO_05!A:D,2,0)),"",(VLOOKUP(AF30,CADASTRO_05!A:D,2,0)))</f>
        <v/>
      </c>
      <c r="AH31" s="1">
        <f>IF(RELATORIO_03!$O$1=1,(SUMIFS(LANÇAMENTOS_01!J:J,LANÇAMENTOS_01!L:L,"&lt;&gt;"&amp;"",LANÇAMENTOS_01!F:F,CADASTRO_AUX!AG31)),SUMIFS(LANÇAMENTOS_01!J:J,LANÇAMENTOS_01!K:K,"&lt;&gt;"&amp;"",LANÇAMENTOS_01!F:F,CADASTRO_AUX!AG31))</f>
        <v>0</v>
      </c>
      <c r="AI31">
        <f>IF(RELATORIO_03!$O$1=1,(SUMIFS(LANÇAMENTOS_02!J:J,LANÇAMENTOS_02!L:L,"&lt;&gt;"&amp;"",LANÇAMENTOS_02!F:F,CADASTRO_AUX!AG31)),SUMIFS(LANÇAMENTOS_02!J:J,LANÇAMENTOS_02!K:K,"&lt;&gt;"&amp;"",LANÇAMENTOS_02!F:F,CADASTRO_AUX!AG31))</f>
        <v>0</v>
      </c>
      <c r="AJ31">
        <f t="shared" si="4"/>
        <v>0</v>
      </c>
    </row>
    <row r="32" spans="1:36" x14ac:dyDescent="0.25">
      <c r="R32" s="25">
        <f t="shared" si="2"/>
        <v>32</v>
      </c>
      <c r="S32" s="20" t="str">
        <f>IF(ISERROR(VLOOKUP(R31,CADASTRO_03!A:B,2,0)),"",(VLOOKUP(R31,CADASTRO_03!A:B,2,0)))</f>
        <v/>
      </c>
      <c r="U32" s="25">
        <f t="shared" si="5"/>
        <v>32</v>
      </c>
      <c r="V32" s="20" t="str">
        <f>IF(ISERROR(VLOOKUP(U31,CADASTRO_04!A:C,2,0)),"",(VLOOKUP(U31,CADASTRO_04!A:C,2,0)))</f>
        <v/>
      </c>
      <c r="W32" s="1" t="str">
        <f>IF(ISERROR(VLOOKUP(U31,CADASTRO_04!A:D,3,0)),"",(VLOOKUP(U31,CADASTRO_04!A:D,3,0)))</f>
        <v/>
      </c>
      <c r="X32" s="1">
        <f>IF(RELATORIO_03!$O$1=1,(SUMIFS(LANÇAMENTOS_01!J:J,LANÇAMENTOS_01!L:L,"&lt;&gt;"&amp;"",LANÇAMENTOS_01!G:G,CADASTRO_AUX!V32)-SUMIFS(LANÇAMENTOS_02!J:J,LANÇAMENTOS_02!L:L,"&lt;&gt;"&amp;"",LANÇAMENTOS_02!G:G,CADASTRO_AUX!V32)),SUMIFS(LANÇAMENTOS_01!J:J,LANÇAMENTOS_01!K:K,"&lt;&gt;"&amp;"",LANÇAMENTOS_01!G:G,CADASTRO_AUX!V32)-SUMIFS(LANÇAMENTOS_02!J:J,LANÇAMENTOS_02!K:K,"&lt;&gt;"&amp;"",LANÇAMENTOS_02!G:G,CADASTRO_AUX!V32))</f>
        <v>0</v>
      </c>
      <c r="Y32" s="1">
        <f>IF(V32="",0,SUMIF(LANÇAMENTOS_03!G:G,V32,LANÇAMENTOS_03!J:J))</f>
        <v>0</v>
      </c>
      <c r="Z32" s="29">
        <f t="shared" si="3"/>
        <v>0</v>
      </c>
      <c r="AA32">
        <v>32</v>
      </c>
      <c r="AF32" s="25">
        <f t="shared" si="6"/>
        <v>32</v>
      </c>
      <c r="AG32" s="20" t="str">
        <f>IF(ISERROR(VLOOKUP(AF31,CADASTRO_05!A:D,2,0)),"",(VLOOKUP(AF31,CADASTRO_05!A:D,2,0)))</f>
        <v/>
      </c>
      <c r="AH32" s="1">
        <f>IF(RELATORIO_03!$O$1=1,(SUMIFS(LANÇAMENTOS_01!J:J,LANÇAMENTOS_01!L:L,"&lt;&gt;"&amp;"",LANÇAMENTOS_01!F:F,CADASTRO_AUX!AG32)),SUMIFS(LANÇAMENTOS_01!J:J,LANÇAMENTOS_01!K:K,"&lt;&gt;"&amp;"",LANÇAMENTOS_01!F:F,CADASTRO_AUX!AG32))</f>
        <v>0</v>
      </c>
      <c r="AI32">
        <f>IF(RELATORIO_03!$O$1=1,(SUMIFS(LANÇAMENTOS_02!J:J,LANÇAMENTOS_02!L:L,"&lt;&gt;"&amp;"",LANÇAMENTOS_02!F:F,CADASTRO_AUX!AG32)),SUMIFS(LANÇAMENTOS_02!J:J,LANÇAMENTOS_02!K:K,"&lt;&gt;"&amp;"",LANÇAMENTOS_02!F:F,CADASTRO_AUX!AG32))</f>
        <v>0</v>
      </c>
      <c r="AJ32">
        <f t="shared" si="4"/>
        <v>0</v>
      </c>
    </row>
    <row r="33" spans="18:36" x14ac:dyDescent="0.25">
      <c r="R33" s="25">
        <f t="shared" si="2"/>
        <v>33</v>
      </c>
      <c r="S33" s="20" t="str">
        <f>IF(ISERROR(VLOOKUP(R32,CADASTRO_03!A:B,2,0)),"",(VLOOKUP(R32,CADASTRO_03!A:B,2,0)))</f>
        <v/>
      </c>
      <c r="U33" s="25">
        <f t="shared" si="5"/>
        <v>33</v>
      </c>
      <c r="V33" s="20" t="str">
        <f>IF(ISERROR(VLOOKUP(U32,CADASTRO_04!A:C,2,0)),"",(VLOOKUP(U32,CADASTRO_04!A:C,2,0)))</f>
        <v/>
      </c>
      <c r="W33" s="1" t="str">
        <f>IF(ISERROR(VLOOKUP(U32,CADASTRO_04!A:D,3,0)),"",(VLOOKUP(U32,CADASTRO_04!A:D,3,0)))</f>
        <v/>
      </c>
      <c r="X33" s="1">
        <f>IF(RELATORIO_03!$O$1=1,(SUMIFS(LANÇAMENTOS_01!J:J,LANÇAMENTOS_01!L:L,"&lt;&gt;"&amp;"",LANÇAMENTOS_01!G:G,CADASTRO_AUX!V33)-SUMIFS(LANÇAMENTOS_02!J:J,LANÇAMENTOS_02!L:L,"&lt;&gt;"&amp;"",LANÇAMENTOS_02!G:G,CADASTRO_AUX!V33)),SUMIFS(LANÇAMENTOS_01!J:J,LANÇAMENTOS_01!K:K,"&lt;&gt;"&amp;"",LANÇAMENTOS_01!G:G,CADASTRO_AUX!V33)-SUMIFS(LANÇAMENTOS_02!J:J,LANÇAMENTOS_02!K:K,"&lt;&gt;"&amp;"",LANÇAMENTOS_02!G:G,CADASTRO_AUX!V33))</f>
        <v>0</v>
      </c>
      <c r="Y33" s="1">
        <f>IF(V33="",0,SUMIF(LANÇAMENTOS_03!G:G,V33,LANÇAMENTOS_03!J:J))</f>
        <v>0</v>
      </c>
      <c r="Z33" s="29">
        <f t="shared" si="3"/>
        <v>0</v>
      </c>
      <c r="AA33">
        <v>33</v>
      </c>
      <c r="AF33" s="25">
        <f t="shared" si="6"/>
        <v>33</v>
      </c>
      <c r="AG33" s="20" t="str">
        <f>IF(ISERROR(VLOOKUP(AF32,CADASTRO_05!A:D,2,0)),"",(VLOOKUP(AF32,CADASTRO_05!A:D,2,0)))</f>
        <v/>
      </c>
      <c r="AH33" s="1">
        <f>IF(RELATORIO_03!$O$1=1,(SUMIFS(LANÇAMENTOS_01!J:J,LANÇAMENTOS_01!L:L,"&lt;&gt;"&amp;"",LANÇAMENTOS_01!F:F,CADASTRO_AUX!AG33)),SUMIFS(LANÇAMENTOS_01!J:J,LANÇAMENTOS_01!K:K,"&lt;&gt;"&amp;"",LANÇAMENTOS_01!F:F,CADASTRO_AUX!AG33))</f>
        <v>0</v>
      </c>
      <c r="AI33">
        <f>IF(RELATORIO_03!$O$1=1,(SUMIFS(LANÇAMENTOS_02!J:J,LANÇAMENTOS_02!L:L,"&lt;&gt;"&amp;"",LANÇAMENTOS_02!F:F,CADASTRO_AUX!AG33)),SUMIFS(LANÇAMENTOS_02!J:J,LANÇAMENTOS_02!K:K,"&lt;&gt;"&amp;"",LANÇAMENTOS_02!F:F,CADASTRO_AUX!AG33))</f>
        <v>0</v>
      </c>
      <c r="AJ33">
        <f t="shared" si="4"/>
        <v>0</v>
      </c>
    </row>
    <row r="34" spans="18:36" x14ac:dyDescent="0.25">
      <c r="R34" s="25">
        <f t="shared" si="2"/>
        <v>34</v>
      </c>
      <c r="S34" s="20" t="str">
        <f>IF(ISERROR(VLOOKUP(R33,CADASTRO_03!A:B,2,0)),"",(VLOOKUP(R33,CADASTRO_03!A:B,2,0)))</f>
        <v/>
      </c>
      <c r="U34" s="25">
        <f t="shared" si="5"/>
        <v>34</v>
      </c>
      <c r="V34" s="20" t="str">
        <f>IF(ISERROR(VLOOKUP(U33,CADASTRO_04!A:C,2,0)),"",(VLOOKUP(U33,CADASTRO_04!A:C,2,0)))</f>
        <v/>
      </c>
      <c r="W34" s="1" t="str">
        <f>IF(ISERROR(VLOOKUP(U33,CADASTRO_04!A:D,3,0)),"",(VLOOKUP(U33,CADASTRO_04!A:D,3,0)))</f>
        <v/>
      </c>
      <c r="X34" s="1">
        <f>IF(RELATORIO_03!$O$1=1,(SUMIFS(LANÇAMENTOS_01!J:J,LANÇAMENTOS_01!L:L,"&lt;&gt;"&amp;"",LANÇAMENTOS_01!G:G,CADASTRO_AUX!V34)-SUMIFS(LANÇAMENTOS_02!J:J,LANÇAMENTOS_02!L:L,"&lt;&gt;"&amp;"",LANÇAMENTOS_02!G:G,CADASTRO_AUX!V34)),SUMIFS(LANÇAMENTOS_01!J:J,LANÇAMENTOS_01!K:K,"&lt;&gt;"&amp;"",LANÇAMENTOS_01!G:G,CADASTRO_AUX!V34)-SUMIFS(LANÇAMENTOS_02!J:J,LANÇAMENTOS_02!K:K,"&lt;&gt;"&amp;"",LANÇAMENTOS_02!G:G,CADASTRO_AUX!V34))</f>
        <v>0</v>
      </c>
      <c r="Y34" s="1">
        <f>IF(V34="",0,SUMIF(LANÇAMENTOS_03!G:G,V34,LANÇAMENTOS_03!J:J))</f>
        <v>0</v>
      </c>
      <c r="Z34" s="29">
        <f t="shared" si="3"/>
        <v>0</v>
      </c>
      <c r="AA34">
        <v>34</v>
      </c>
      <c r="AF34" s="25">
        <f t="shared" si="6"/>
        <v>34</v>
      </c>
      <c r="AG34" s="20" t="str">
        <f>IF(ISERROR(VLOOKUP(AF33,CADASTRO_05!A:D,2,0)),"",(VLOOKUP(AF33,CADASTRO_05!A:D,2,0)))</f>
        <v/>
      </c>
      <c r="AH34" s="1">
        <f>IF(RELATORIO_03!$O$1=1,(SUMIFS(LANÇAMENTOS_01!J:J,LANÇAMENTOS_01!L:L,"&lt;&gt;"&amp;"",LANÇAMENTOS_01!F:F,CADASTRO_AUX!AG34)),SUMIFS(LANÇAMENTOS_01!J:J,LANÇAMENTOS_01!K:K,"&lt;&gt;"&amp;"",LANÇAMENTOS_01!F:F,CADASTRO_AUX!AG34))</f>
        <v>0</v>
      </c>
      <c r="AI34">
        <f>IF(RELATORIO_03!$O$1=1,(SUMIFS(LANÇAMENTOS_02!J:J,LANÇAMENTOS_02!L:L,"&lt;&gt;"&amp;"",LANÇAMENTOS_02!F:F,CADASTRO_AUX!AG34)),SUMIFS(LANÇAMENTOS_02!J:J,LANÇAMENTOS_02!K:K,"&lt;&gt;"&amp;"",LANÇAMENTOS_02!F:F,CADASTRO_AUX!AG34))</f>
        <v>0</v>
      </c>
      <c r="AJ34">
        <f t="shared" si="4"/>
        <v>0</v>
      </c>
    </row>
    <row r="35" spans="18:36" x14ac:dyDescent="0.25">
      <c r="R35" s="25">
        <f t="shared" si="2"/>
        <v>35</v>
      </c>
      <c r="S35" s="20" t="str">
        <f>IF(ISERROR(VLOOKUP(R34,CADASTRO_03!A:B,2,0)),"",(VLOOKUP(R34,CADASTRO_03!A:B,2,0)))</f>
        <v/>
      </c>
      <c r="U35" s="25">
        <f t="shared" si="5"/>
        <v>35</v>
      </c>
      <c r="V35" s="20" t="str">
        <f>IF(ISERROR(VLOOKUP(U34,CADASTRO_04!A:C,2,0)),"",(VLOOKUP(U34,CADASTRO_04!A:C,2,0)))</f>
        <v/>
      </c>
      <c r="W35" s="1" t="str">
        <f>IF(ISERROR(VLOOKUP(U34,CADASTRO_04!A:D,3,0)),"",(VLOOKUP(U34,CADASTRO_04!A:D,3,0)))</f>
        <v/>
      </c>
      <c r="X35" s="1">
        <f>IF(RELATORIO_03!$O$1=1,(SUMIFS(LANÇAMENTOS_01!J:J,LANÇAMENTOS_01!L:L,"&lt;&gt;"&amp;"",LANÇAMENTOS_01!G:G,CADASTRO_AUX!V35)-SUMIFS(LANÇAMENTOS_02!J:J,LANÇAMENTOS_02!L:L,"&lt;&gt;"&amp;"",LANÇAMENTOS_02!G:G,CADASTRO_AUX!V35)),SUMIFS(LANÇAMENTOS_01!J:J,LANÇAMENTOS_01!K:K,"&lt;&gt;"&amp;"",LANÇAMENTOS_01!G:G,CADASTRO_AUX!V35)-SUMIFS(LANÇAMENTOS_02!J:J,LANÇAMENTOS_02!K:K,"&lt;&gt;"&amp;"",LANÇAMENTOS_02!G:G,CADASTRO_AUX!V35))</f>
        <v>0</v>
      </c>
      <c r="Y35" s="1">
        <f>IF(V35="",0,SUMIF(LANÇAMENTOS_03!G:G,V35,LANÇAMENTOS_03!J:J))</f>
        <v>0</v>
      </c>
      <c r="Z35" s="29">
        <f t="shared" si="3"/>
        <v>0</v>
      </c>
      <c r="AA35">
        <v>35</v>
      </c>
      <c r="AF35" s="25">
        <f t="shared" si="6"/>
        <v>35</v>
      </c>
      <c r="AG35" s="20" t="str">
        <f>IF(ISERROR(VLOOKUP(AF34,CADASTRO_05!A:D,2,0)),"",(VLOOKUP(AF34,CADASTRO_05!A:D,2,0)))</f>
        <v/>
      </c>
      <c r="AH35" s="1">
        <f>IF(RELATORIO_03!$O$1=1,(SUMIFS(LANÇAMENTOS_01!J:J,LANÇAMENTOS_01!L:L,"&lt;&gt;"&amp;"",LANÇAMENTOS_01!F:F,CADASTRO_AUX!AG35)),SUMIFS(LANÇAMENTOS_01!J:J,LANÇAMENTOS_01!K:K,"&lt;&gt;"&amp;"",LANÇAMENTOS_01!F:F,CADASTRO_AUX!AG35))</f>
        <v>0</v>
      </c>
      <c r="AI35">
        <f>IF(RELATORIO_03!$O$1=1,(SUMIFS(LANÇAMENTOS_02!J:J,LANÇAMENTOS_02!L:L,"&lt;&gt;"&amp;"",LANÇAMENTOS_02!F:F,CADASTRO_AUX!AG35)),SUMIFS(LANÇAMENTOS_02!J:J,LANÇAMENTOS_02!K:K,"&lt;&gt;"&amp;"",LANÇAMENTOS_02!F:F,CADASTRO_AUX!AG35))</f>
        <v>0</v>
      </c>
      <c r="AJ35">
        <f t="shared" si="4"/>
        <v>0</v>
      </c>
    </row>
    <row r="36" spans="18:36" x14ac:dyDescent="0.25">
      <c r="R36" s="25">
        <f t="shared" si="2"/>
        <v>36</v>
      </c>
      <c r="S36" s="20" t="str">
        <f>IF(ISERROR(VLOOKUP(R35,CADASTRO_03!A:B,2,0)),"",(VLOOKUP(R35,CADASTRO_03!A:B,2,0)))</f>
        <v/>
      </c>
      <c r="U36" s="25">
        <f t="shared" si="5"/>
        <v>36</v>
      </c>
      <c r="V36" s="20" t="str">
        <f>IF(ISERROR(VLOOKUP(U35,CADASTRO_04!A:C,2,0)),"",(VLOOKUP(U35,CADASTRO_04!A:C,2,0)))</f>
        <v/>
      </c>
      <c r="W36" s="1" t="str">
        <f>IF(ISERROR(VLOOKUP(U35,CADASTRO_04!A:D,3,0)),"",(VLOOKUP(U35,CADASTRO_04!A:D,3,0)))</f>
        <v/>
      </c>
      <c r="X36" s="1">
        <f>IF(RELATORIO_03!$O$1=1,(SUMIFS(LANÇAMENTOS_01!J:J,LANÇAMENTOS_01!L:L,"&lt;&gt;"&amp;"",LANÇAMENTOS_01!G:G,CADASTRO_AUX!V36)-SUMIFS(LANÇAMENTOS_02!J:J,LANÇAMENTOS_02!L:L,"&lt;&gt;"&amp;"",LANÇAMENTOS_02!G:G,CADASTRO_AUX!V36)),SUMIFS(LANÇAMENTOS_01!J:J,LANÇAMENTOS_01!K:K,"&lt;&gt;"&amp;"",LANÇAMENTOS_01!G:G,CADASTRO_AUX!V36)-SUMIFS(LANÇAMENTOS_02!J:J,LANÇAMENTOS_02!K:K,"&lt;&gt;"&amp;"",LANÇAMENTOS_02!G:G,CADASTRO_AUX!V36))</f>
        <v>0</v>
      </c>
      <c r="Y36" s="1">
        <f>IF(V36="",0,SUMIF(LANÇAMENTOS_03!G:G,V36,LANÇAMENTOS_03!J:J))</f>
        <v>0</v>
      </c>
      <c r="Z36" s="29">
        <f t="shared" si="3"/>
        <v>0</v>
      </c>
      <c r="AA36">
        <v>36</v>
      </c>
      <c r="AF36" s="25">
        <f t="shared" si="6"/>
        <v>36</v>
      </c>
      <c r="AG36" s="20" t="str">
        <f>IF(ISERROR(VLOOKUP(AF35,CADASTRO_05!A:D,2,0)),"",(VLOOKUP(AF35,CADASTRO_05!A:D,2,0)))</f>
        <v/>
      </c>
      <c r="AH36" s="1">
        <f>IF(RELATORIO_03!$O$1=1,(SUMIFS(LANÇAMENTOS_01!J:J,LANÇAMENTOS_01!L:L,"&lt;&gt;"&amp;"",LANÇAMENTOS_01!F:F,CADASTRO_AUX!AG36)),SUMIFS(LANÇAMENTOS_01!J:J,LANÇAMENTOS_01!K:K,"&lt;&gt;"&amp;"",LANÇAMENTOS_01!F:F,CADASTRO_AUX!AG36))</f>
        <v>0</v>
      </c>
      <c r="AI36">
        <f>IF(RELATORIO_03!$O$1=1,(SUMIFS(LANÇAMENTOS_02!J:J,LANÇAMENTOS_02!L:L,"&lt;&gt;"&amp;"",LANÇAMENTOS_02!F:F,CADASTRO_AUX!AG36)),SUMIFS(LANÇAMENTOS_02!J:J,LANÇAMENTOS_02!K:K,"&lt;&gt;"&amp;"",LANÇAMENTOS_02!F:F,CADASTRO_AUX!AG36))</f>
        <v>0</v>
      </c>
      <c r="AJ36">
        <f t="shared" si="4"/>
        <v>0</v>
      </c>
    </row>
    <row r="37" spans="18:36" x14ac:dyDescent="0.25">
      <c r="R37" s="25">
        <f t="shared" si="2"/>
        <v>37</v>
      </c>
      <c r="S37" s="20" t="str">
        <f>IF(ISERROR(VLOOKUP(R36,CADASTRO_03!A:B,2,0)),"",(VLOOKUP(R36,CADASTRO_03!A:B,2,0)))</f>
        <v/>
      </c>
      <c r="U37" s="25">
        <f t="shared" si="5"/>
        <v>37</v>
      </c>
      <c r="V37" s="20" t="str">
        <f>IF(ISERROR(VLOOKUP(U36,CADASTRO_04!A:C,2,0)),"",(VLOOKUP(U36,CADASTRO_04!A:C,2,0)))</f>
        <v/>
      </c>
      <c r="W37" s="1" t="str">
        <f>IF(ISERROR(VLOOKUP(U36,CADASTRO_04!A:D,3,0)),"",(VLOOKUP(U36,CADASTRO_04!A:D,3,0)))</f>
        <v/>
      </c>
      <c r="X37" s="1">
        <f>IF(RELATORIO_03!$O$1=1,(SUMIFS(LANÇAMENTOS_01!J:J,LANÇAMENTOS_01!L:L,"&lt;&gt;"&amp;"",LANÇAMENTOS_01!G:G,CADASTRO_AUX!V37)-SUMIFS(LANÇAMENTOS_02!J:J,LANÇAMENTOS_02!L:L,"&lt;&gt;"&amp;"",LANÇAMENTOS_02!G:G,CADASTRO_AUX!V37)),SUMIFS(LANÇAMENTOS_01!J:J,LANÇAMENTOS_01!K:K,"&lt;&gt;"&amp;"",LANÇAMENTOS_01!G:G,CADASTRO_AUX!V37)-SUMIFS(LANÇAMENTOS_02!J:J,LANÇAMENTOS_02!K:K,"&lt;&gt;"&amp;"",LANÇAMENTOS_02!G:G,CADASTRO_AUX!V37))</f>
        <v>0</v>
      </c>
      <c r="Y37" s="1">
        <f>IF(V37="",0,SUMIF(LANÇAMENTOS_03!G:G,V37,LANÇAMENTOS_03!J:J))</f>
        <v>0</v>
      </c>
      <c r="Z37" s="29">
        <f t="shared" si="3"/>
        <v>0</v>
      </c>
      <c r="AA37">
        <v>37</v>
      </c>
      <c r="AF37" s="25">
        <f t="shared" si="6"/>
        <v>37</v>
      </c>
      <c r="AG37" s="20" t="str">
        <f>IF(ISERROR(VLOOKUP(AF36,CADASTRO_05!A:D,2,0)),"",(VLOOKUP(AF36,CADASTRO_05!A:D,2,0)))</f>
        <v/>
      </c>
      <c r="AH37" s="1">
        <f>IF(RELATORIO_03!$O$1=1,(SUMIFS(LANÇAMENTOS_01!J:J,LANÇAMENTOS_01!L:L,"&lt;&gt;"&amp;"",LANÇAMENTOS_01!F:F,CADASTRO_AUX!AG37)),SUMIFS(LANÇAMENTOS_01!J:J,LANÇAMENTOS_01!K:K,"&lt;&gt;"&amp;"",LANÇAMENTOS_01!F:F,CADASTRO_AUX!AG37))</f>
        <v>0</v>
      </c>
      <c r="AI37">
        <f>IF(RELATORIO_03!$O$1=1,(SUMIFS(LANÇAMENTOS_02!J:J,LANÇAMENTOS_02!L:L,"&lt;&gt;"&amp;"",LANÇAMENTOS_02!F:F,CADASTRO_AUX!AG37)),SUMIFS(LANÇAMENTOS_02!J:J,LANÇAMENTOS_02!K:K,"&lt;&gt;"&amp;"",LANÇAMENTOS_02!F:F,CADASTRO_AUX!AG37))</f>
        <v>0</v>
      </c>
      <c r="AJ37">
        <f t="shared" si="4"/>
        <v>0</v>
      </c>
    </row>
    <row r="38" spans="18:36" x14ac:dyDescent="0.25">
      <c r="R38" s="25">
        <f t="shared" si="2"/>
        <v>38</v>
      </c>
      <c r="S38" s="20" t="str">
        <f>IF(ISERROR(VLOOKUP(R37,CADASTRO_03!A:B,2,0)),"",(VLOOKUP(R37,CADASTRO_03!A:B,2,0)))</f>
        <v/>
      </c>
      <c r="U38" s="25">
        <f t="shared" si="5"/>
        <v>38</v>
      </c>
      <c r="V38" s="20" t="str">
        <f>IF(ISERROR(VLOOKUP(U37,CADASTRO_04!A:C,2,0)),"",(VLOOKUP(U37,CADASTRO_04!A:C,2,0)))</f>
        <v/>
      </c>
      <c r="W38" s="1" t="str">
        <f>IF(ISERROR(VLOOKUP(U37,CADASTRO_04!A:D,3,0)),"",(VLOOKUP(U37,CADASTRO_04!A:D,3,0)))</f>
        <v/>
      </c>
      <c r="X38" s="1">
        <f>IF(RELATORIO_03!$O$1=1,(SUMIFS(LANÇAMENTOS_01!J:J,LANÇAMENTOS_01!L:L,"&lt;&gt;"&amp;"",LANÇAMENTOS_01!G:G,CADASTRO_AUX!V38)-SUMIFS(LANÇAMENTOS_02!J:J,LANÇAMENTOS_02!L:L,"&lt;&gt;"&amp;"",LANÇAMENTOS_02!G:G,CADASTRO_AUX!V38)),SUMIFS(LANÇAMENTOS_01!J:J,LANÇAMENTOS_01!K:K,"&lt;&gt;"&amp;"",LANÇAMENTOS_01!G:G,CADASTRO_AUX!V38)-SUMIFS(LANÇAMENTOS_02!J:J,LANÇAMENTOS_02!K:K,"&lt;&gt;"&amp;"",LANÇAMENTOS_02!G:G,CADASTRO_AUX!V38))</f>
        <v>0</v>
      </c>
      <c r="Y38" s="1">
        <f>IF(V38="",0,SUMIF(LANÇAMENTOS_03!G:G,V38,LANÇAMENTOS_03!J:J))</f>
        <v>0</v>
      </c>
      <c r="Z38" s="29">
        <f t="shared" si="3"/>
        <v>0</v>
      </c>
      <c r="AA38">
        <v>38</v>
      </c>
      <c r="AF38" s="25">
        <f t="shared" si="6"/>
        <v>38</v>
      </c>
      <c r="AG38" s="20" t="str">
        <f>IF(ISERROR(VLOOKUP(AF37,CADASTRO_05!A:D,2,0)),"",(VLOOKUP(AF37,CADASTRO_05!A:D,2,0)))</f>
        <v/>
      </c>
      <c r="AH38" s="1">
        <f>IF(RELATORIO_03!$O$1=1,(SUMIFS(LANÇAMENTOS_01!J:J,LANÇAMENTOS_01!L:L,"&lt;&gt;"&amp;"",LANÇAMENTOS_01!F:F,CADASTRO_AUX!AG38)),SUMIFS(LANÇAMENTOS_01!J:J,LANÇAMENTOS_01!K:K,"&lt;&gt;"&amp;"",LANÇAMENTOS_01!F:F,CADASTRO_AUX!AG38))</f>
        <v>0</v>
      </c>
      <c r="AI38">
        <f>IF(RELATORIO_03!$O$1=1,(SUMIFS(LANÇAMENTOS_02!J:J,LANÇAMENTOS_02!L:L,"&lt;&gt;"&amp;"",LANÇAMENTOS_02!F:F,CADASTRO_AUX!AG38)),SUMIFS(LANÇAMENTOS_02!J:J,LANÇAMENTOS_02!K:K,"&lt;&gt;"&amp;"",LANÇAMENTOS_02!F:F,CADASTRO_AUX!AG38))</f>
        <v>0</v>
      </c>
      <c r="AJ38">
        <f t="shared" si="4"/>
        <v>0</v>
      </c>
    </row>
    <row r="39" spans="18:36" x14ac:dyDescent="0.25">
      <c r="R39" s="25">
        <f t="shared" si="2"/>
        <v>39</v>
      </c>
      <c r="S39" s="20" t="str">
        <f>IF(ISERROR(VLOOKUP(R38,CADASTRO_03!A:B,2,0)),"",(VLOOKUP(R38,CADASTRO_03!A:B,2,0)))</f>
        <v/>
      </c>
      <c r="U39" s="25">
        <f t="shared" si="5"/>
        <v>39</v>
      </c>
      <c r="V39" s="20" t="str">
        <f>IF(ISERROR(VLOOKUP(U38,CADASTRO_04!A:C,2,0)),"",(VLOOKUP(U38,CADASTRO_04!A:C,2,0)))</f>
        <v/>
      </c>
      <c r="W39" s="1" t="str">
        <f>IF(ISERROR(VLOOKUP(U38,CADASTRO_04!A:D,3,0)),"",(VLOOKUP(U38,CADASTRO_04!A:D,3,0)))</f>
        <v/>
      </c>
      <c r="X39" s="1">
        <f>IF(RELATORIO_03!$O$1=1,(SUMIFS(LANÇAMENTOS_01!J:J,LANÇAMENTOS_01!L:L,"&lt;&gt;"&amp;"",LANÇAMENTOS_01!G:G,CADASTRO_AUX!V39)-SUMIFS(LANÇAMENTOS_02!J:J,LANÇAMENTOS_02!L:L,"&lt;&gt;"&amp;"",LANÇAMENTOS_02!G:G,CADASTRO_AUX!V39)),SUMIFS(LANÇAMENTOS_01!J:J,LANÇAMENTOS_01!K:K,"&lt;&gt;"&amp;"",LANÇAMENTOS_01!G:G,CADASTRO_AUX!V39)-SUMIFS(LANÇAMENTOS_02!J:J,LANÇAMENTOS_02!K:K,"&lt;&gt;"&amp;"",LANÇAMENTOS_02!G:G,CADASTRO_AUX!V39))</f>
        <v>0</v>
      </c>
      <c r="Y39" s="1">
        <f>IF(V39="",0,SUMIF(LANÇAMENTOS_03!G:G,V39,LANÇAMENTOS_03!J:J))</f>
        <v>0</v>
      </c>
      <c r="Z39" s="29">
        <f t="shared" si="3"/>
        <v>0</v>
      </c>
      <c r="AA39">
        <v>39</v>
      </c>
      <c r="AF39" s="25">
        <f t="shared" si="6"/>
        <v>39</v>
      </c>
      <c r="AG39" s="20" t="str">
        <f>IF(ISERROR(VLOOKUP(AF38,CADASTRO_05!A:D,2,0)),"",(VLOOKUP(AF38,CADASTRO_05!A:D,2,0)))</f>
        <v/>
      </c>
      <c r="AH39" s="1">
        <f>IF(RELATORIO_03!$O$1=1,(SUMIFS(LANÇAMENTOS_01!J:J,LANÇAMENTOS_01!L:L,"&lt;&gt;"&amp;"",LANÇAMENTOS_01!F:F,CADASTRO_AUX!AG39)),SUMIFS(LANÇAMENTOS_01!J:J,LANÇAMENTOS_01!K:K,"&lt;&gt;"&amp;"",LANÇAMENTOS_01!F:F,CADASTRO_AUX!AG39))</f>
        <v>0</v>
      </c>
      <c r="AI39">
        <f>IF(RELATORIO_03!$O$1=1,(SUMIFS(LANÇAMENTOS_02!J:J,LANÇAMENTOS_02!L:L,"&lt;&gt;"&amp;"",LANÇAMENTOS_02!F:F,CADASTRO_AUX!AG39)),SUMIFS(LANÇAMENTOS_02!J:J,LANÇAMENTOS_02!K:K,"&lt;&gt;"&amp;"",LANÇAMENTOS_02!F:F,CADASTRO_AUX!AG39))</f>
        <v>0</v>
      </c>
      <c r="AJ39">
        <f t="shared" si="4"/>
        <v>0</v>
      </c>
    </row>
    <row r="40" spans="18:36" x14ac:dyDescent="0.25">
      <c r="R40" s="25">
        <f t="shared" si="2"/>
        <v>40</v>
      </c>
      <c r="S40" s="20" t="str">
        <f>IF(ISERROR(VLOOKUP(R39,CADASTRO_03!A:B,2,0)),"",(VLOOKUP(R39,CADASTRO_03!A:B,2,0)))</f>
        <v/>
      </c>
      <c r="U40" s="25">
        <f t="shared" si="5"/>
        <v>40</v>
      </c>
      <c r="V40" s="20" t="str">
        <f>IF(ISERROR(VLOOKUP(U39,CADASTRO_04!A:C,2,0)),"",(VLOOKUP(U39,CADASTRO_04!A:C,2,0)))</f>
        <v/>
      </c>
      <c r="W40" s="1" t="str">
        <f>IF(ISERROR(VLOOKUP(U39,CADASTRO_04!A:D,3,0)),"",(VLOOKUP(U39,CADASTRO_04!A:D,3,0)))</f>
        <v/>
      </c>
      <c r="X40" s="1">
        <f>IF(RELATORIO_03!$O$1=1,(SUMIFS(LANÇAMENTOS_01!J:J,LANÇAMENTOS_01!L:L,"&lt;&gt;"&amp;"",LANÇAMENTOS_01!G:G,CADASTRO_AUX!V40)-SUMIFS(LANÇAMENTOS_02!J:J,LANÇAMENTOS_02!L:L,"&lt;&gt;"&amp;"",LANÇAMENTOS_02!G:G,CADASTRO_AUX!V40)),SUMIFS(LANÇAMENTOS_01!J:J,LANÇAMENTOS_01!K:K,"&lt;&gt;"&amp;"",LANÇAMENTOS_01!G:G,CADASTRO_AUX!V40)-SUMIFS(LANÇAMENTOS_02!J:J,LANÇAMENTOS_02!K:K,"&lt;&gt;"&amp;"",LANÇAMENTOS_02!G:G,CADASTRO_AUX!V40))</f>
        <v>0</v>
      </c>
      <c r="Y40" s="1">
        <f>IF(V40="",0,SUMIF(LANÇAMENTOS_03!G:G,V40,LANÇAMENTOS_03!J:J))</f>
        <v>0</v>
      </c>
      <c r="Z40" s="29">
        <f t="shared" si="3"/>
        <v>0</v>
      </c>
      <c r="AA40">
        <v>40</v>
      </c>
      <c r="AF40" s="25">
        <f t="shared" si="6"/>
        <v>40</v>
      </c>
      <c r="AG40" s="20" t="str">
        <f>IF(ISERROR(VLOOKUP(AF39,CADASTRO_05!A:D,2,0)),"",(VLOOKUP(AF39,CADASTRO_05!A:D,2,0)))</f>
        <v/>
      </c>
      <c r="AH40" s="1">
        <f>IF(RELATORIO_03!$O$1=1,(SUMIFS(LANÇAMENTOS_01!J:J,LANÇAMENTOS_01!L:L,"&lt;&gt;"&amp;"",LANÇAMENTOS_01!F:F,CADASTRO_AUX!AG40)),SUMIFS(LANÇAMENTOS_01!J:J,LANÇAMENTOS_01!K:K,"&lt;&gt;"&amp;"",LANÇAMENTOS_01!F:F,CADASTRO_AUX!AG40))</f>
        <v>0</v>
      </c>
      <c r="AI40">
        <f>IF(RELATORIO_03!$O$1=1,(SUMIFS(LANÇAMENTOS_02!J:J,LANÇAMENTOS_02!L:L,"&lt;&gt;"&amp;"",LANÇAMENTOS_02!F:F,CADASTRO_AUX!AG40)),SUMIFS(LANÇAMENTOS_02!J:J,LANÇAMENTOS_02!K:K,"&lt;&gt;"&amp;"",LANÇAMENTOS_02!F:F,CADASTRO_AUX!AG40))</f>
        <v>0</v>
      </c>
      <c r="AJ40">
        <f t="shared" si="4"/>
        <v>0</v>
      </c>
    </row>
    <row r="41" spans="18:36" x14ac:dyDescent="0.25">
      <c r="R41" s="25">
        <f t="shared" si="2"/>
        <v>41</v>
      </c>
      <c r="S41" s="20" t="str">
        <f>IF(ISERROR(VLOOKUP(R40,CADASTRO_03!A:B,2,0)),"",(VLOOKUP(R40,CADASTRO_03!A:B,2,0)))</f>
        <v/>
      </c>
      <c r="U41" s="25">
        <f t="shared" si="5"/>
        <v>41</v>
      </c>
      <c r="V41" s="20" t="str">
        <f>IF(ISERROR(VLOOKUP(U40,CADASTRO_04!A:C,2,0)),"",(VLOOKUP(U40,CADASTRO_04!A:C,2,0)))</f>
        <v/>
      </c>
      <c r="W41" s="1" t="str">
        <f>IF(ISERROR(VLOOKUP(U40,CADASTRO_04!A:D,3,0)),"",(VLOOKUP(U40,CADASTRO_04!A:D,3,0)))</f>
        <v/>
      </c>
      <c r="X41" s="1">
        <f>IF(RELATORIO_03!$O$1=1,(SUMIFS(LANÇAMENTOS_01!J:J,LANÇAMENTOS_01!L:L,"&lt;&gt;"&amp;"",LANÇAMENTOS_01!G:G,CADASTRO_AUX!V41)-SUMIFS(LANÇAMENTOS_02!J:J,LANÇAMENTOS_02!L:L,"&lt;&gt;"&amp;"",LANÇAMENTOS_02!G:G,CADASTRO_AUX!V41)),SUMIFS(LANÇAMENTOS_01!J:J,LANÇAMENTOS_01!K:K,"&lt;&gt;"&amp;"",LANÇAMENTOS_01!G:G,CADASTRO_AUX!V41)-SUMIFS(LANÇAMENTOS_02!J:J,LANÇAMENTOS_02!K:K,"&lt;&gt;"&amp;"",LANÇAMENTOS_02!G:G,CADASTRO_AUX!V41))</f>
        <v>0</v>
      </c>
      <c r="Y41" s="1">
        <f>IF(V41="",0,SUMIF(LANÇAMENTOS_03!G:G,V41,LANÇAMENTOS_03!J:J))</f>
        <v>0</v>
      </c>
      <c r="Z41" s="29">
        <f t="shared" si="3"/>
        <v>0</v>
      </c>
      <c r="AA41">
        <v>41</v>
      </c>
      <c r="AF41" s="25">
        <f t="shared" si="6"/>
        <v>41</v>
      </c>
      <c r="AG41" s="20" t="str">
        <f>IF(ISERROR(VLOOKUP(AF40,CADASTRO_05!A:D,2,0)),"",(VLOOKUP(AF40,CADASTRO_05!A:D,2,0)))</f>
        <v/>
      </c>
      <c r="AH41" s="1">
        <f>IF(RELATORIO_03!$O$1=1,(SUMIFS(LANÇAMENTOS_01!J:J,LANÇAMENTOS_01!L:L,"&lt;&gt;"&amp;"",LANÇAMENTOS_01!F:F,CADASTRO_AUX!AG41)),SUMIFS(LANÇAMENTOS_01!J:J,LANÇAMENTOS_01!K:K,"&lt;&gt;"&amp;"",LANÇAMENTOS_01!F:F,CADASTRO_AUX!AG41))</f>
        <v>0</v>
      </c>
      <c r="AI41">
        <f>IF(RELATORIO_03!$O$1=1,(SUMIFS(LANÇAMENTOS_02!J:J,LANÇAMENTOS_02!L:L,"&lt;&gt;"&amp;"",LANÇAMENTOS_02!F:F,CADASTRO_AUX!AG41)),SUMIFS(LANÇAMENTOS_02!J:J,LANÇAMENTOS_02!K:K,"&lt;&gt;"&amp;"",LANÇAMENTOS_02!F:F,CADASTRO_AUX!AG41))</f>
        <v>0</v>
      </c>
      <c r="AJ41">
        <f t="shared" si="4"/>
        <v>0</v>
      </c>
    </row>
    <row r="42" spans="18:36" x14ac:dyDescent="0.25">
      <c r="R42" s="25">
        <f t="shared" si="2"/>
        <v>42</v>
      </c>
      <c r="S42" s="20" t="str">
        <f>IF(ISERROR(VLOOKUP(R41,CADASTRO_03!A:B,2,0)),"",(VLOOKUP(R41,CADASTRO_03!A:B,2,0)))</f>
        <v/>
      </c>
      <c r="U42" s="25">
        <f t="shared" si="5"/>
        <v>42</v>
      </c>
      <c r="V42" s="20" t="str">
        <f>IF(ISERROR(VLOOKUP(U41,CADASTRO_04!A:C,2,0)),"",(VLOOKUP(U41,CADASTRO_04!A:C,2,0)))</f>
        <v/>
      </c>
      <c r="W42" s="1" t="str">
        <f>IF(ISERROR(VLOOKUP(U41,CADASTRO_04!A:D,3,0)),"",(VLOOKUP(U41,CADASTRO_04!A:D,3,0)))</f>
        <v/>
      </c>
      <c r="X42" s="1">
        <f>IF(RELATORIO_03!$O$1=1,(SUMIFS(LANÇAMENTOS_01!J:J,LANÇAMENTOS_01!L:L,"&lt;&gt;"&amp;"",LANÇAMENTOS_01!G:G,CADASTRO_AUX!V42)-SUMIFS(LANÇAMENTOS_02!J:J,LANÇAMENTOS_02!L:L,"&lt;&gt;"&amp;"",LANÇAMENTOS_02!G:G,CADASTRO_AUX!V42)),SUMIFS(LANÇAMENTOS_01!J:J,LANÇAMENTOS_01!K:K,"&lt;&gt;"&amp;"",LANÇAMENTOS_01!G:G,CADASTRO_AUX!V42)-SUMIFS(LANÇAMENTOS_02!J:J,LANÇAMENTOS_02!K:K,"&lt;&gt;"&amp;"",LANÇAMENTOS_02!G:G,CADASTRO_AUX!V42))</f>
        <v>0</v>
      </c>
      <c r="Y42" s="1">
        <f>IF(V42="",0,SUMIF(LANÇAMENTOS_03!G:G,V42,LANÇAMENTOS_03!J:J))</f>
        <v>0</v>
      </c>
      <c r="Z42" s="29">
        <f t="shared" si="3"/>
        <v>0</v>
      </c>
      <c r="AA42">
        <v>42</v>
      </c>
      <c r="AF42" s="25">
        <f t="shared" si="6"/>
        <v>42</v>
      </c>
      <c r="AG42" s="20" t="str">
        <f>IF(ISERROR(VLOOKUP(AF41,CADASTRO_05!A:D,2,0)),"",(VLOOKUP(AF41,CADASTRO_05!A:D,2,0)))</f>
        <v/>
      </c>
      <c r="AH42" s="1">
        <f>IF(RELATORIO_03!$O$1=1,(SUMIFS(LANÇAMENTOS_01!J:J,LANÇAMENTOS_01!L:L,"&lt;&gt;"&amp;"",LANÇAMENTOS_01!F:F,CADASTRO_AUX!AG42)),SUMIFS(LANÇAMENTOS_01!J:J,LANÇAMENTOS_01!K:K,"&lt;&gt;"&amp;"",LANÇAMENTOS_01!F:F,CADASTRO_AUX!AG42))</f>
        <v>0</v>
      </c>
      <c r="AI42">
        <f>IF(RELATORIO_03!$O$1=1,(SUMIFS(LANÇAMENTOS_02!J:J,LANÇAMENTOS_02!L:L,"&lt;&gt;"&amp;"",LANÇAMENTOS_02!F:F,CADASTRO_AUX!AG42)),SUMIFS(LANÇAMENTOS_02!J:J,LANÇAMENTOS_02!K:K,"&lt;&gt;"&amp;"",LANÇAMENTOS_02!F:F,CADASTRO_AUX!AG42))</f>
        <v>0</v>
      </c>
      <c r="AJ42">
        <f t="shared" si="4"/>
        <v>0</v>
      </c>
    </row>
    <row r="43" spans="18:36" x14ac:dyDescent="0.25">
      <c r="R43" s="25">
        <f t="shared" si="2"/>
        <v>43</v>
      </c>
      <c r="S43" s="20" t="str">
        <f>IF(ISERROR(VLOOKUP(R42,CADASTRO_03!A:B,2,0)),"",(VLOOKUP(R42,CADASTRO_03!A:B,2,0)))</f>
        <v/>
      </c>
      <c r="U43" s="25">
        <f t="shared" si="5"/>
        <v>43</v>
      </c>
      <c r="V43" s="20" t="str">
        <f>IF(ISERROR(VLOOKUP(U42,CADASTRO_04!A:C,2,0)),"",(VLOOKUP(U42,CADASTRO_04!A:C,2,0)))</f>
        <v/>
      </c>
      <c r="W43" s="1" t="str">
        <f>IF(ISERROR(VLOOKUP(U42,CADASTRO_04!A:D,3,0)),"",(VLOOKUP(U42,CADASTRO_04!A:D,3,0)))</f>
        <v/>
      </c>
      <c r="X43" s="1">
        <f>IF(RELATORIO_03!$O$1=1,(SUMIFS(LANÇAMENTOS_01!J:J,LANÇAMENTOS_01!L:L,"&lt;&gt;"&amp;"",LANÇAMENTOS_01!G:G,CADASTRO_AUX!V43)-SUMIFS(LANÇAMENTOS_02!J:J,LANÇAMENTOS_02!L:L,"&lt;&gt;"&amp;"",LANÇAMENTOS_02!G:G,CADASTRO_AUX!V43)),SUMIFS(LANÇAMENTOS_01!J:J,LANÇAMENTOS_01!K:K,"&lt;&gt;"&amp;"",LANÇAMENTOS_01!G:G,CADASTRO_AUX!V43)-SUMIFS(LANÇAMENTOS_02!J:J,LANÇAMENTOS_02!K:K,"&lt;&gt;"&amp;"",LANÇAMENTOS_02!G:G,CADASTRO_AUX!V43))</f>
        <v>0</v>
      </c>
      <c r="Y43" s="1">
        <f>IF(V43="",0,SUMIF(LANÇAMENTOS_03!G:G,V43,LANÇAMENTOS_03!J:J))</f>
        <v>0</v>
      </c>
      <c r="Z43" s="29">
        <f t="shared" si="3"/>
        <v>0</v>
      </c>
      <c r="AA43">
        <v>43</v>
      </c>
      <c r="AF43" s="25">
        <f t="shared" si="6"/>
        <v>43</v>
      </c>
      <c r="AG43" s="20" t="str">
        <f>IF(ISERROR(VLOOKUP(AF42,CADASTRO_05!A:D,2,0)),"",(VLOOKUP(AF42,CADASTRO_05!A:D,2,0)))</f>
        <v/>
      </c>
      <c r="AH43" s="1">
        <f>IF(RELATORIO_03!$O$1=1,(SUMIFS(LANÇAMENTOS_01!J:J,LANÇAMENTOS_01!L:L,"&lt;&gt;"&amp;"",LANÇAMENTOS_01!F:F,CADASTRO_AUX!AG43)),SUMIFS(LANÇAMENTOS_01!J:J,LANÇAMENTOS_01!K:K,"&lt;&gt;"&amp;"",LANÇAMENTOS_01!F:F,CADASTRO_AUX!AG43))</f>
        <v>0</v>
      </c>
      <c r="AI43">
        <f>IF(RELATORIO_03!$O$1=1,(SUMIFS(LANÇAMENTOS_02!J:J,LANÇAMENTOS_02!L:L,"&lt;&gt;"&amp;"",LANÇAMENTOS_02!F:F,CADASTRO_AUX!AG43)),SUMIFS(LANÇAMENTOS_02!J:J,LANÇAMENTOS_02!K:K,"&lt;&gt;"&amp;"",LANÇAMENTOS_02!F:F,CADASTRO_AUX!AG43))</f>
        <v>0</v>
      </c>
      <c r="AJ43">
        <f t="shared" si="4"/>
        <v>0</v>
      </c>
    </row>
    <row r="44" spans="18:36" x14ac:dyDescent="0.25">
      <c r="R44" s="25">
        <f t="shared" si="2"/>
        <v>44</v>
      </c>
      <c r="S44" s="20" t="str">
        <f>IF(ISERROR(VLOOKUP(R43,CADASTRO_03!A:B,2,0)),"",(VLOOKUP(R43,CADASTRO_03!A:B,2,0)))</f>
        <v/>
      </c>
      <c r="U44" s="25">
        <f t="shared" si="5"/>
        <v>44</v>
      </c>
      <c r="V44" s="20" t="str">
        <f>IF(ISERROR(VLOOKUP(U43,CADASTRO_04!A:C,2,0)),"",(VLOOKUP(U43,CADASTRO_04!A:C,2,0)))</f>
        <v/>
      </c>
      <c r="W44" s="1" t="str">
        <f>IF(ISERROR(VLOOKUP(U43,CADASTRO_04!A:D,3,0)),"",(VLOOKUP(U43,CADASTRO_04!A:D,3,0)))</f>
        <v/>
      </c>
      <c r="X44" s="1">
        <f>IF(RELATORIO_03!$O$1=1,(SUMIFS(LANÇAMENTOS_01!J:J,LANÇAMENTOS_01!L:L,"&lt;&gt;"&amp;"",LANÇAMENTOS_01!G:G,CADASTRO_AUX!V44)-SUMIFS(LANÇAMENTOS_02!J:J,LANÇAMENTOS_02!L:L,"&lt;&gt;"&amp;"",LANÇAMENTOS_02!G:G,CADASTRO_AUX!V44)),SUMIFS(LANÇAMENTOS_01!J:J,LANÇAMENTOS_01!K:K,"&lt;&gt;"&amp;"",LANÇAMENTOS_01!G:G,CADASTRO_AUX!V44)-SUMIFS(LANÇAMENTOS_02!J:J,LANÇAMENTOS_02!K:K,"&lt;&gt;"&amp;"",LANÇAMENTOS_02!G:G,CADASTRO_AUX!V44))</f>
        <v>0</v>
      </c>
      <c r="Y44" s="1">
        <f>IF(V44="",0,SUMIF(LANÇAMENTOS_03!G:G,V44,LANÇAMENTOS_03!J:J))</f>
        <v>0</v>
      </c>
      <c r="Z44" s="29">
        <f t="shared" si="3"/>
        <v>0</v>
      </c>
      <c r="AA44">
        <v>44</v>
      </c>
      <c r="AF44" s="25">
        <f t="shared" si="6"/>
        <v>44</v>
      </c>
      <c r="AG44" s="20" t="str">
        <f>IF(ISERROR(VLOOKUP(AF43,CADASTRO_05!A:D,2,0)),"",(VLOOKUP(AF43,CADASTRO_05!A:D,2,0)))</f>
        <v/>
      </c>
      <c r="AH44" s="1">
        <f>IF(RELATORIO_03!$O$1=1,(SUMIFS(LANÇAMENTOS_01!J:J,LANÇAMENTOS_01!L:L,"&lt;&gt;"&amp;"",LANÇAMENTOS_01!F:F,CADASTRO_AUX!AG44)),SUMIFS(LANÇAMENTOS_01!J:J,LANÇAMENTOS_01!K:K,"&lt;&gt;"&amp;"",LANÇAMENTOS_01!F:F,CADASTRO_AUX!AG44))</f>
        <v>0</v>
      </c>
      <c r="AI44">
        <f>IF(RELATORIO_03!$O$1=1,(SUMIFS(LANÇAMENTOS_02!J:J,LANÇAMENTOS_02!L:L,"&lt;&gt;"&amp;"",LANÇAMENTOS_02!F:F,CADASTRO_AUX!AG44)),SUMIFS(LANÇAMENTOS_02!J:J,LANÇAMENTOS_02!K:K,"&lt;&gt;"&amp;"",LANÇAMENTOS_02!F:F,CADASTRO_AUX!AG44))</f>
        <v>0</v>
      </c>
      <c r="AJ44">
        <f t="shared" si="4"/>
        <v>0</v>
      </c>
    </row>
    <row r="45" spans="18:36" x14ac:dyDescent="0.25">
      <c r="R45" s="25">
        <f t="shared" si="2"/>
        <v>45</v>
      </c>
      <c r="S45" s="20" t="str">
        <f>IF(ISERROR(VLOOKUP(R44,CADASTRO_03!A:B,2,0)),"",(VLOOKUP(R44,CADASTRO_03!A:B,2,0)))</f>
        <v/>
      </c>
      <c r="U45" s="25">
        <f t="shared" si="5"/>
        <v>45</v>
      </c>
      <c r="V45" s="20" t="str">
        <f>IF(ISERROR(VLOOKUP(U44,CADASTRO_04!A:C,2,0)),"",(VLOOKUP(U44,CADASTRO_04!A:C,2,0)))</f>
        <v/>
      </c>
      <c r="W45" s="1" t="str">
        <f>IF(ISERROR(VLOOKUP(U44,CADASTRO_04!A:D,3,0)),"",(VLOOKUP(U44,CADASTRO_04!A:D,3,0)))</f>
        <v/>
      </c>
      <c r="X45" s="1">
        <f>IF(RELATORIO_03!$O$1=1,(SUMIFS(LANÇAMENTOS_01!J:J,LANÇAMENTOS_01!L:L,"&lt;&gt;"&amp;"",LANÇAMENTOS_01!G:G,CADASTRO_AUX!V45)-SUMIFS(LANÇAMENTOS_02!J:J,LANÇAMENTOS_02!L:L,"&lt;&gt;"&amp;"",LANÇAMENTOS_02!G:G,CADASTRO_AUX!V45)),SUMIFS(LANÇAMENTOS_01!J:J,LANÇAMENTOS_01!K:K,"&lt;&gt;"&amp;"",LANÇAMENTOS_01!G:G,CADASTRO_AUX!V45)-SUMIFS(LANÇAMENTOS_02!J:J,LANÇAMENTOS_02!K:K,"&lt;&gt;"&amp;"",LANÇAMENTOS_02!G:G,CADASTRO_AUX!V45))</f>
        <v>0</v>
      </c>
      <c r="Y45" s="1">
        <f>IF(V45="",0,SUMIF(LANÇAMENTOS_03!G:G,V45,LANÇAMENTOS_03!J:J))</f>
        <v>0</v>
      </c>
      <c r="Z45" s="29">
        <f t="shared" si="3"/>
        <v>0</v>
      </c>
      <c r="AA45">
        <v>45</v>
      </c>
      <c r="AF45" s="25">
        <f t="shared" si="6"/>
        <v>45</v>
      </c>
      <c r="AG45" s="20" t="str">
        <f>IF(ISERROR(VLOOKUP(AF44,CADASTRO_05!A:D,2,0)),"",(VLOOKUP(AF44,CADASTRO_05!A:D,2,0)))</f>
        <v/>
      </c>
      <c r="AH45" s="1">
        <f>IF(RELATORIO_03!$O$1=1,(SUMIFS(LANÇAMENTOS_01!J:J,LANÇAMENTOS_01!L:L,"&lt;&gt;"&amp;"",LANÇAMENTOS_01!F:F,CADASTRO_AUX!AG45)),SUMIFS(LANÇAMENTOS_01!J:J,LANÇAMENTOS_01!K:K,"&lt;&gt;"&amp;"",LANÇAMENTOS_01!F:F,CADASTRO_AUX!AG45))</f>
        <v>0</v>
      </c>
      <c r="AI45">
        <f>IF(RELATORIO_03!$O$1=1,(SUMIFS(LANÇAMENTOS_02!J:J,LANÇAMENTOS_02!L:L,"&lt;&gt;"&amp;"",LANÇAMENTOS_02!F:F,CADASTRO_AUX!AG45)),SUMIFS(LANÇAMENTOS_02!J:J,LANÇAMENTOS_02!K:K,"&lt;&gt;"&amp;"",LANÇAMENTOS_02!F:F,CADASTRO_AUX!AG45))</f>
        <v>0</v>
      </c>
      <c r="AJ45">
        <f t="shared" si="4"/>
        <v>0</v>
      </c>
    </row>
    <row r="46" spans="18:36" x14ac:dyDescent="0.25">
      <c r="R46" s="25">
        <f t="shared" si="2"/>
        <v>46</v>
      </c>
      <c r="S46" s="20" t="str">
        <f>IF(ISERROR(VLOOKUP(R45,CADASTRO_03!A:B,2,0)),"",(VLOOKUP(R45,CADASTRO_03!A:B,2,0)))</f>
        <v/>
      </c>
      <c r="U46" s="25">
        <f t="shared" si="5"/>
        <v>46</v>
      </c>
      <c r="V46" s="20" t="str">
        <f>IF(ISERROR(VLOOKUP(U45,CADASTRO_04!A:C,2,0)),"",(VLOOKUP(U45,CADASTRO_04!A:C,2,0)))</f>
        <v/>
      </c>
      <c r="W46" s="1" t="str">
        <f>IF(ISERROR(VLOOKUP(U45,CADASTRO_04!A:D,3,0)),"",(VLOOKUP(U45,CADASTRO_04!A:D,3,0)))</f>
        <v/>
      </c>
      <c r="X46" s="1">
        <f>IF(RELATORIO_03!$O$1=1,(SUMIFS(LANÇAMENTOS_01!J:J,LANÇAMENTOS_01!L:L,"&lt;&gt;"&amp;"",LANÇAMENTOS_01!G:G,CADASTRO_AUX!V46)-SUMIFS(LANÇAMENTOS_02!J:J,LANÇAMENTOS_02!L:L,"&lt;&gt;"&amp;"",LANÇAMENTOS_02!G:G,CADASTRO_AUX!V46)),SUMIFS(LANÇAMENTOS_01!J:J,LANÇAMENTOS_01!K:K,"&lt;&gt;"&amp;"",LANÇAMENTOS_01!G:G,CADASTRO_AUX!V46)-SUMIFS(LANÇAMENTOS_02!J:J,LANÇAMENTOS_02!K:K,"&lt;&gt;"&amp;"",LANÇAMENTOS_02!G:G,CADASTRO_AUX!V46))</f>
        <v>0</v>
      </c>
      <c r="Y46" s="1">
        <f>IF(V46="",0,SUMIF(LANÇAMENTOS_03!G:G,V46,LANÇAMENTOS_03!J:J))</f>
        <v>0</v>
      </c>
      <c r="Z46" s="29">
        <f t="shared" si="3"/>
        <v>0</v>
      </c>
      <c r="AA46">
        <v>46</v>
      </c>
      <c r="AF46" s="25">
        <f t="shared" si="6"/>
        <v>46</v>
      </c>
      <c r="AG46" s="20" t="str">
        <f>IF(ISERROR(VLOOKUP(AF45,CADASTRO_05!A:D,2,0)),"",(VLOOKUP(AF45,CADASTRO_05!A:D,2,0)))</f>
        <v/>
      </c>
      <c r="AH46" s="1">
        <f>IF(RELATORIO_03!$O$1=1,(SUMIFS(LANÇAMENTOS_01!J:J,LANÇAMENTOS_01!L:L,"&lt;&gt;"&amp;"",LANÇAMENTOS_01!F:F,CADASTRO_AUX!AG46)),SUMIFS(LANÇAMENTOS_01!J:J,LANÇAMENTOS_01!K:K,"&lt;&gt;"&amp;"",LANÇAMENTOS_01!F:F,CADASTRO_AUX!AG46))</f>
        <v>0</v>
      </c>
      <c r="AI46">
        <f>IF(RELATORIO_03!$O$1=1,(SUMIFS(LANÇAMENTOS_02!J:J,LANÇAMENTOS_02!L:L,"&lt;&gt;"&amp;"",LANÇAMENTOS_02!F:F,CADASTRO_AUX!AG46)),SUMIFS(LANÇAMENTOS_02!J:J,LANÇAMENTOS_02!K:K,"&lt;&gt;"&amp;"",LANÇAMENTOS_02!F:F,CADASTRO_AUX!AG46))</f>
        <v>0</v>
      </c>
      <c r="AJ46">
        <f t="shared" si="4"/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48</vt:i4>
      </vt:variant>
      <vt:variant>
        <vt:lpstr>Intervalos Nomeados</vt:lpstr>
      </vt:variant>
      <vt:variant>
        <vt:i4>18</vt:i4>
      </vt:variant>
    </vt:vector>
  </HeadingPairs>
  <TitlesOfParts>
    <vt:vector size="66" baseType="lpstr">
      <vt:lpstr>INICIO</vt:lpstr>
      <vt:lpstr>CADASTROS</vt:lpstr>
      <vt:lpstr>LANÇAMENTOS</vt:lpstr>
      <vt:lpstr>CADASTRO_01</vt:lpstr>
      <vt:lpstr>CADASTRO_02</vt:lpstr>
      <vt:lpstr>CADASTRO_03</vt:lpstr>
      <vt:lpstr>CADASTRO_04</vt:lpstr>
      <vt:lpstr>CADASTRO_05</vt:lpstr>
      <vt:lpstr>CADASTRO_06</vt:lpstr>
      <vt:lpstr>CADASTRO_07</vt:lpstr>
      <vt:lpstr>CADASTRO_08</vt:lpstr>
      <vt:lpstr>CADASTRO_09</vt:lpstr>
      <vt:lpstr>CADASTRO_10</vt:lpstr>
      <vt:lpstr>LANÇAMENTOS_01</vt:lpstr>
      <vt:lpstr>LANÇAMENTOS_02</vt:lpstr>
      <vt:lpstr>LANÇAMENTOS_03</vt:lpstr>
      <vt:lpstr>LANÇAMENTOS_04</vt:lpstr>
      <vt:lpstr>RELATORIO_01</vt:lpstr>
      <vt:lpstr>RELATORIO_02</vt:lpstr>
      <vt:lpstr>RELATORIO_03</vt:lpstr>
      <vt:lpstr>RELATORIO_04</vt:lpstr>
      <vt:lpstr>RELATORIO_05</vt:lpstr>
      <vt:lpstr>RELATORIO_06</vt:lpstr>
      <vt:lpstr>RELATORIO_07</vt:lpstr>
      <vt:lpstr>RELATORIO_08</vt:lpstr>
      <vt:lpstr>RELATORIO_09</vt:lpstr>
      <vt:lpstr>RELATORIO_10</vt:lpstr>
      <vt:lpstr>RELATORIO_11</vt:lpstr>
      <vt:lpstr>RELATORIO_12</vt:lpstr>
      <vt:lpstr>LANÇAMENTOS_</vt:lpstr>
      <vt:lpstr>FORM_RECEITAS</vt:lpstr>
      <vt:lpstr>FORM_DESPESAS</vt:lpstr>
      <vt:lpstr>FORM_TRANSF</vt:lpstr>
      <vt:lpstr>Planilha36</vt:lpstr>
      <vt:lpstr>CADASTRO_01_</vt:lpstr>
      <vt:lpstr>CADASTRO_02_</vt:lpstr>
      <vt:lpstr>CADASTROS_</vt:lpstr>
      <vt:lpstr>FORM_CLIENTES</vt:lpstr>
      <vt:lpstr>FORM_FORNECEDORES</vt:lpstr>
      <vt:lpstr>FORM_CONT_RECEITAS</vt:lpstr>
      <vt:lpstr>FORM_CONT_DESPESAS</vt:lpstr>
      <vt:lpstr>FORM_CENTRO_DE_CUSTO</vt:lpstr>
      <vt:lpstr>FORM_CAIXA</vt:lpstr>
      <vt:lpstr>FORM_FORMAS_DE_PAGAMENTO</vt:lpstr>
      <vt:lpstr>APOIO</vt:lpstr>
      <vt:lpstr>Plan1</vt:lpstr>
      <vt:lpstr>AUX_03</vt:lpstr>
      <vt:lpstr>CADASTRO_AUX</vt:lpstr>
      <vt:lpstr>RELATORIO_01!Area_de_impressao</vt:lpstr>
      <vt:lpstr>RELATORIO_02!Area_de_impressao</vt:lpstr>
      <vt:lpstr>RELATORIO_03!Area_de_impressao</vt:lpstr>
      <vt:lpstr>RELATORIO_04!Area_de_impressao</vt:lpstr>
      <vt:lpstr>RELATORIO_05!Area_de_impressao</vt:lpstr>
      <vt:lpstr>RELATORIO_06!Area_de_impressao</vt:lpstr>
      <vt:lpstr>RELATORIO_07!Area_de_impressao</vt:lpstr>
      <vt:lpstr>RELATORIO_08!Area_de_impressao</vt:lpstr>
      <vt:lpstr>RELATORIO_09!Area_de_impressao</vt:lpstr>
      <vt:lpstr>RELATORIO_10!Area_de_impressao</vt:lpstr>
      <vt:lpstr>RELATORIO_11!Area_de_impressao</vt:lpstr>
      <vt:lpstr>RELATORIO_01!Titulos_de_impressao</vt:lpstr>
      <vt:lpstr>RELATORIO_06!Titulos_de_impressao</vt:lpstr>
      <vt:lpstr>RELATORIO_07!Titulos_de_impressao</vt:lpstr>
      <vt:lpstr>RELATORIO_08!Titulos_de_impressao</vt:lpstr>
      <vt:lpstr>RELATORIO_09!Titulos_de_impressao</vt:lpstr>
      <vt:lpstr>RELATORIO_10!Titulos_de_impressao</vt:lpstr>
      <vt:lpstr>RELATORIO_11!Titulos_de_impressao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Ananias</dc:creator>
  <cp:lastModifiedBy>Alexandre</cp:lastModifiedBy>
  <cp:lastPrinted>2022-01-31T18:27:49Z</cp:lastPrinted>
  <dcterms:created xsi:type="dcterms:W3CDTF">2020-02-26T19:23:12Z</dcterms:created>
  <dcterms:modified xsi:type="dcterms:W3CDTF">2022-02-01T18:07:41Z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9aea886e-24f1-459f-aa34-86a7aefe6100</vt:lpwstr>
  </property>
</Properties>
</file>