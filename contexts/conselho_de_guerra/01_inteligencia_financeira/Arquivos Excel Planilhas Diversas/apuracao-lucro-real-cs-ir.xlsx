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esktop\EXCEL_CURSOS\EXCEL_FISCAL\PLANILHAS\"/>
    </mc:Choice>
  </mc:AlternateContent>
  <xr:revisionPtr revIDLastSave="0" documentId="13_ncr:1_{43B1784B-0B73-4E7B-ADB6-37F65C775FD0}" xr6:coauthVersionLast="45" xr6:coauthVersionMax="45" xr10:uidLastSave="{00000000-0000-0000-0000-000000000000}"/>
  <bookViews>
    <workbookView xWindow="-120" yWindow="-120" windowWidth="20730" windowHeight="11160" tabRatio="858" xr2:uid="{00000000-000D-0000-FFFF-FFFF00000000}"/>
  </bookViews>
  <sheets>
    <sheet name="inicio" sheetId="1" r:id="rId1"/>
    <sheet name="tab" sheetId="6" r:id="rId2"/>
    <sheet name="jan" sheetId="7" r:id="rId3"/>
    <sheet name="fev" sheetId="11" r:id="rId4"/>
    <sheet name="mar" sheetId="12" r:id="rId5"/>
    <sheet name="abr" sheetId="13" r:id="rId6"/>
    <sheet name="mai" sheetId="14" r:id="rId7"/>
    <sheet name="jun" sheetId="15" r:id="rId8"/>
    <sheet name="jul" sheetId="16" r:id="rId9"/>
    <sheet name="ago" sheetId="17" r:id="rId10"/>
    <sheet name="set" sheetId="18" r:id="rId11"/>
    <sheet name="out" sheetId="19" r:id="rId12"/>
    <sheet name="nov" sheetId="20" r:id="rId13"/>
    <sheet name="dez" sheetId="21" r:id="rId14"/>
    <sheet name="result" sheetId="8" r:id="rId15"/>
    <sheet name="graf" sheetId="9" r:id="rId16"/>
    <sheet name="imp" sheetId="10" r:id="rId17"/>
  </sheets>
  <definedNames>
    <definedName name="_xlnm._FilterDatabase" localSheetId="2" hidden="1">jan!#REF!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9" l="1"/>
  <c r="C6" i="9"/>
  <c r="C5" i="9"/>
  <c r="C9" i="9" s="1"/>
  <c r="E6" i="10" s="1"/>
  <c r="C49" i="8" l="1"/>
  <c r="B49" i="8"/>
  <c r="C48" i="8"/>
  <c r="B48" i="8"/>
  <c r="C47" i="8"/>
  <c r="D47" i="8" s="1"/>
  <c r="B47" i="8"/>
  <c r="C46" i="8"/>
  <c r="B46" i="8"/>
  <c r="C45" i="8"/>
  <c r="B45" i="8"/>
  <c r="C44" i="8"/>
  <c r="B44" i="8"/>
  <c r="C43" i="8"/>
  <c r="D43" i="8" s="1"/>
  <c r="B43" i="8"/>
  <c r="C42" i="8"/>
  <c r="B42" i="8"/>
  <c r="C41" i="8"/>
  <c r="D41" i="8" s="1"/>
  <c r="B41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F5" i="6"/>
  <c r="G5" i="6" s="1"/>
  <c r="H5" i="6" s="1"/>
  <c r="I5" i="6" s="1"/>
  <c r="J5" i="6" s="1"/>
  <c r="K5" i="6" s="1"/>
  <c r="L5" i="6" s="1"/>
  <c r="M5" i="6" s="1"/>
  <c r="N5" i="6" s="1"/>
  <c r="O5" i="6" s="1"/>
  <c r="P5" i="6" s="1"/>
  <c r="C49" i="21"/>
  <c r="B49" i="21"/>
  <c r="C48" i="21"/>
  <c r="B48" i="21"/>
  <c r="C47" i="21"/>
  <c r="B47" i="21"/>
  <c r="C46" i="21"/>
  <c r="D46" i="21" s="1"/>
  <c r="B46" i="21"/>
  <c r="C45" i="21"/>
  <c r="B45" i="21"/>
  <c r="C44" i="21"/>
  <c r="B44" i="21"/>
  <c r="C43" i="21"/>
  <c r="B43" i="21"/>
  <c r="C42" i="21"/>
  <c r="B42" i="21"/>
  <c r="C41" i="21"/>
  <c r="B41" i="21"/>
  <c r="C40" i="21"/>
  <c r="B40" i="21"/>
  <c r="D39" i="21"/>
  <c r="C39" i="21"/>
  <c r="B39" i="21"/>
  <c r="D38" i="21"/>
  <c r="C38" i="21"/>
  <c r="B38" i="21"/>
  <c r="D37" i="21"/>
  <c r="C37" i="21"/>
  <c r="B37" i="21"/>
  <c r="D36" i="21"/>
  <c r="C36" i="21"/>
  <c r="B36" i="21"/>
  <c r="E35" i="21"/>
  <c r="E35" i="8" s="1"/>
  <c r="C35" i="21"/>
  <c r="B35" i="21"/>
  <c r="C34" i="21"/>
  <c r="B34" i="21"/>
  <c r="C33" i="21"/>
  <c r="B33" i="21"/>
  <c r="C32" i="21"/>
  <c r="B32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C18" i="21"/>
  <c r="B18" i="21"/>
  <c r="C17" i="21"/>
  <c r="B17" i="21"/>
  <c r="C16" i="21"/>
  <c r="B16" i="21"/>
  <c r="C15" i="21"/>
  <c r="B15" i="21"/>
  <c r="C14" i="21"/>
  <c r="B14" i="21"/>
  <c r="C13" i="21"/>
  <c r="B13" i="21"/>
  <c r="C12" i="21"/>
  <c r="B12" i="21"/>
  <c r="C11" i="21"/>
  <c r="B11" i="21"/>
  <c r="C10" i="21"/>
  <c r="B10" i="21"/>
  <c r="C9" i="21"/>
  <c r="B9" i="21"/>
  <c r="C8" i="21"/>
  <c r="B8" i="21"/>
  <c r="C7" i="21"/>
  <c r="B7" i="21"/>
  <c r="C6" i="21"/>
  <c r="B6" i="21"/>
  <c r="C5" i="21"/>
  <c r="B5" i="21"/>
  <c r="C49" i="20"/>
  <c r="B49" i="20"/>
  <c r="C48" i="20"/>
  <c r="B48" i="20"/>
  <c r="C47" i="20"/>
  <c r="D47" i="20" s="1"/>
  <c r="B47" i="20"/>
  <c r="C46" i="20"/>
  <c r="D46" i="20" s="1"/>
  <c r="B46" i="20"/>
  <c r="C45" i="20"/>
  <c r="B45" i="20"/>
  <c r="C44" i="20"/>
  <c r="D44" i="20" s="1"/>
  <c r="B44" i="20"/>
  <c r="C43" i="20"/>
  <c r="B43" i="20"/>
  <c r="C42" i="20"/>
  <c r="B42" i="20"/>
  <c r="C41" i="20"/>
  <c r="B41" i="20"/>
  <c r="C40" i="20"/>
  <c r="B40" i="20"/>
  <c r="D39" i="20"/>
  <c r="C39" i="20"/>
  <c r="B39" i="20"/>
  <c r="D38" i="20"/>
  <c r="C38" i="20"/>
  <c r="B38" i="20"/>
  <c r="D37" i="20"/>
  <c r="C37" i="20"/>
  <c r="B37" i="20"/>
  <c r="D36" i="20"/>
  <c r="C36" i="20"/>
  <c r="B36" i="20"/>
  <c r="E35" i="20"/>
  <c r="C35" i="20"/>
  <c r="B35" i="20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1" i="20"/>
  <c r="B11" i="20"/>
  <c r="C10" i="20"/>
  <c r="B10" i="20"/>
  <c r="C9" i="20"/>
  <c r="B9" i="20"/>
  <c r="C8" i="20"/>
  <c r="B8" i="20"/>
  <c r="C7" i="20"/>
  <c r="B7" i="20"/>
  <c r="C6" i="20"/>
  <c r="K8" i="20" s="1"/>
  <c r="B6" i="20"/>
  <c r="C5" i="20"/>
  <c r="B5" i="20"/>
  <c r="N9" i="19"/>
  <c r="N18" i="19"/>
  <c r="N31" i="19"/>
  <c r="C49" i="19"/>
  <c r="B49" i="19"/>
  <c r="C48" i="19"/>
  <c r="B48" i="19"/>
  <c r="C47" i="19"/>
  <c r="B47" i="19"/>
  <c r="C46" i="19"/>
  <c r="B46" i="19"/>
  <c r="C45" i="19"/>
  <c r="B45" i="19"/>
  <c r="C44" i="19"/>
  <c r="B44" i="19"/>
  <c r="C43" i="19"/>
  <c r="B43" i="19"/>
  <c r="C42" i="19"/>
  <c r="B42" i="19"/>
  <c r="C41" i="19"/>
  <c r="B41" i="19"/>
  <c r="C40" i="19"/>
  <c r="B40" i="19"/>
  <c r="D39" i="19"/>
  <c r="C39" i="19"/>
  <c r="B39" i="19"/>
  <c r="D38" i="19"/>
  <c r="C38" i="19"/>
  <c r="B38" i="19"/>
  <c r="D37" i="19"/>
  <c r="C37" i="19"/>
  <c r="B37" i="19"/>
  <c r="D36" i="19"/>
  <c r="C36" i="19"/>
  <c r="B36" i="19"/>
  <c r="E35" i="19"/>
  <c r="C35" i="19"/>
  <c r="B35" i="19"/>
  <c r="C34" i="19"/>
  <c r="B34" i="19"/>
  <c r="C33" i="19"/>
  <c r="B33" i="19"/>
  <c r="C32" i="19"/>
  <c r="B32" i="19"/>
  <c r="C31" i="19"/>
  <c r="B31" i="19"/>
  <c r="C30" i="19"/>
  <c r="B30" i="19"/>
  <c r="C29" i="19"/>
  <c r="B29" i="19"/>
  <c r="C28" i="19"/>
  <c r="B28" i="19"/>
  <c r="C27" i="19"/>
  <c r="N27" i="19" s="1"/>
  <c r="B27" i="19"/>
  <c r="C26" i="19"/>
  <c r="N26" i="19" s="1"/>
  <c r="B26" i="19"/>
  <c r="C25" i="19"/>
  <c r="B25" i="19"/>
  <c r="C24" i="19"/>
  <c r="B24" i="19"/>
  <c r="C23" i="19"/>
  <c r="B23" i="19"/>
  <c r="C22" i="19"/>
  <c r="B22" i="19"/>
  <c r="C21" i="19"/>
  <c r="B21" i="19"/>
  <c r="C20" i="19"/>
  <c r="B20" i="19"/>
  <c r="C19" i="19"/>
  <c r="B19" i="19"/>
  <c r="C18" i="19"/>
  <c r="B18" i="19"/>
  <c r="C17" i="19"/>
  <c r="N17" i="19" s="1"/>
  <c r="B17" i="19"/>
  <c r="C16" i="19"/>
  <c r="B16" i="19"/>
  <c r="C15" i="19"/>
  <c r="B15" i="19"/>
  <c r="C14" i="19"/>
  <c r="N14" i="19" s="1"/>
  <c r="B14" i="19"/>
  <c r="C13" i="19"/>
  <c r="B13" i="19"/>
  <c r="C12" i="19"/>
  <c r="B12" i="19"/>
  <c r="C11" i="19"/>
  <c r="B11" i="19"/>
  <c r="C10" i="19"/>
  <c r="N10" i="19" s="1"/>
  <c r="B10" i="19"/>
  <c r="C9" i="19"/>
  <c r="B9" i="19"/>
  <c r="C8" i="19"/>
  <c r="B8" i="19"/>
  <c r="C7" i="19"/>
  <c r="B7" i="19"/>
  <c r="C6" i="19"/>
  <c r="N13" i="19" s="1"/>
  <c r="B6" i="19"/>
  <c r="C5" i="19"/>
  <c r="E5" i="19" s="1"/>
  <c r="B5" i="19"/>
  <c r="C49" i="18"/>
  <c r="B49" i="18"/>
  <c r="C48" i="18"/>
  <c r="B48" i="18"/>
  <c r="D47" i="18"/>
  <c r="C47" i="18"/>
  <c r="B47" i="18"/>
  <c r="C46" i="18"/>
  <c r="B46" i="18"/>
  <c r="C45" i="18"/>
  <c r="B45" i="18"/>
  <c r="C44" i="18"/>
  <c r="B44" i="18"/>
  <c r="C43" i="18"/>
  <c r="B43" i="18"/>
  <c r="D42" i="18"/>
  <c r="C42" i="18"/>
  <c r="B42" i="18"/>
  <c r="C41" i="18"/>
  <c r="B41" i="18"/>
  <c r="C40" i="18"/>
  <c r="B40" i="18"/>
  <c r="D39" i="18"/>
  <c r="C39" i="18"/>
  <c r="B39" i="18"/>
  <c r="D38" i="18"/>
  <c r="C38" i="18"/>
  <c r="B38" i="18"/>
  <c r="D37" i="18"/>
  <c r="C37" i="18"/>
  <c r="B37" i="18"/>
  <c r="D36" i="18"/>
  <c r="C36" i="18"/>
  <c r="B36" i="18"/>
  <c r="E35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J23" i="18" s="1"/>
  <c r="B8" i="18"/>
  <c r="C7" i="18"/>
  <c r="F7" i="18" s="1"/>
  <c r="B7" i="18"/>
  <c r="C6" i="18"/>
  <c r="M7" i="18" s="1"/>
  <c r="B6" i="18"/>
  <c r="C5" i="18"/>
  <c r="E5" i="18" s="1"/>
  <c r="B5" i="18"/>
  <c r="C49" i="17"/>
  <c r="B49" i="17"/>
  <c r="C48" i="17"/>
  <c r="B48" i="17"/>
  <c r="C47" i="17"/>
  <c r="B47" i="17"/>
  <c r="C46" i="17"/>
  <c r="D46" i="17" s="1"/>
  <c r="B46" i="17"/>
  <c r="C45" i="17"/>
  <c r="B45" i="17"/>
  <c r="C44" i="17"/>
  <c r="B44" i="17"/>
  <c r="C43" i="17"/>
  <c r="D43" i="17" s="1"/>
  <c r="B43" i="17"/>
  <c r="C42" i="17"/>
  <c r="B42" i="17"/>
  <c r="C41" i="17"/>
  <c r="B41" i="17"/>
  <c r="C40" i="17"/>
  <c r="B40" i="17"/>
  <c r="D39" i="17"/>
  <c r="C39" i="17"/>
  <c r="B39" i="17"/>
  <c r="D38" i="17"/>
  <c r="C38" i="17"/>
  <c r="B38" i="17"/>
  <c r="D37" i="17"/>
  <c r="C37" i="17"/>
  <c r="B37" i="17"/>
  <c r="D36" i="17"/>
  <c r="C36" i="17"/>
  <c r="B36" i="17"/>
  <c r="E35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L23" i="17" s="1"/>
  <c r="B23" i="17"/>
  <c r="C22" i="17"/>
  <c r="B22" i="17"/>
  <c r="C21" i="17"/>
  <c r="L21" i="17" s="1"/>
  <c r="B21" i="17"/>
  <c r="C20" i="17"/>
  <c r="B20" i="17"/>
  <c r="K19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L11" i="17" s="1"/>
  <c r="B11" i="17"/>
  <c r="C10" i="17"/>
  <c r="B10" i="17"/>
  <c r="C9" i="17"/>
  <c r="B9" i="17"/>
  <c r="C8" i="17"/>
  <c r="B8" i="17"/>
  <c r="C7" i="17"/>
  <c r="J7" i="17" s="1"/>
  <c r="B7" i="17"/>
  <c r="C6" i="17"/>
  <c r="B6" i="17"/>
  <c r="E5" i="17"/>
  <c r="C5" i="17"/>
  <c r="B5" i="17"/>
  <c r="C49" i="16"/>
  <c r="B49" i="16"/>
  <c r="C48" i="16"/>
  <c r="B48" i="16"/>
  <c r="C47" i="16"/>
  <c r="D47" i="16" s="1"/>
  <c r="B47" i="16"/>
  <c r="C46" i="16"/>
  <c r="B46" i="16"/>
  <c r="C45" i="16"/>
  <c r="B45" i="16"/>
  <c r="C44" i="16"/>
  <c r="D44" i="16" s="1"/>
  <c r="B44" i="16"/>
  <c r="C43" i="16"/>
  <c r="B43" i="16"/>
  <c r="C42" i="16"/>
  <c r="B42" i="16"/>
  <c r="D41" i="16"/>
  <c r="C41" i="16"/>
  <c r="B41" i="16"/>
  <c r="C40" i="16"/>
  <c r="B40" i="16"/>
  <c r="D39" i="16"/>
  <c r="C39" i="16"/>
  <c r="B39" i="16"/>
  <c r="D38" i="16"/>
  <c r="C38" i="16"/>
  <c r="B38" i="16"/>
  <c r="D37" i="16"/>
  <c r="C37" i="16"/>
  <c r="B37" i="16"/>
  <c r="D36" i="16"/>
  <c r="C36" i="16"/>
  <c r="B36" i="16"/>
  <c r="E35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9" i="16"/>
  <c r="G9" i="16" s="1"/>
  <c r="B9" i="16"/>
  <c r="C8" i="16"/>
  <c r="I8" i="16" s="1"/>
  <c r="B8" i="16"/>
  <c r="C7" i="16"/>
  <c r="B7" i="16"/>
  <c r="C6" i="16"/>
  <c r="K8" i="16" s="1"/>
  <c r="B6" i="16"/>
  <c r="C5" i="16"/>
  <c r="E5" i="16" s="1"/>
  <c r="B5" i="16"/>
  <c r="J22" i="15"/>
  <c r="C49" i="15"/>
  <c r="B49" i="15"/>
  <c r="C48" i="15"/>
  <c r="B48" i="15"/>
  <c r="C47" i="15"/>
  <c r="D47" i="15" s="1"/>
  <c r="B47" i="15"/>
  <c r="C46" i="15"/>
  <c r="B46" i="15"/>
  <c r="C45" i="15"/>
  <c r="B45" i="15"/>
  <c r="C44" i="15"/>
  <c r="D44" i="15" s="1"/>
  <c r="B44" i="15"/>
  <c r="C43" i="15"/>
  <c r="B43" i="15"/>
  <c r="C42" i="15"/>
  <c r="B42" i="15"/>
  <c r="D41" i="15"/>
  <c r="C41" i="15"/>
  <c r="B41" i="15"/>
  <c r="C40" i="15"/>
  <c r="B40" i="15"/>
  <c r="D39" i="15"/>
  <c r="C39" i="15"/>
  <c r="B39" i="15"/>
  <c r="D38" i="15"/>
  <c r="C38" i="15"/>
  <c r="B38" i="15"/>
  <c r="D37" i="15"/>
  <c r="C37" i="15"/>
  <c r="B37" i="15"/>
  <c r="D36" i="15"/>
  <c r="C36" i="15"/>
  <c r="J46" i="15" s="1"/>
  <c r="B36" i="15"/>
  <c r="E35" i="15"/>
  <c r="C35" i="15"/>
  <c r="B35" i="15"/>
  <c r="C34" i="15"/>
  <c r="B34" i="15"/>
  <c r="C33" i="15"/>
  <c r="J33" i="15" s="1"/>
  <c r="B33" i="15"/>
  <c r="C32" i="15"/>
  <c r="B32" i="15"/>
  <c r="C31" i="15"/>
  <c r="B31" i="15"/>
  <c r="C30" i="15"/>
  <c r="J30" i="15" s="1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J16" i="15" s="1"/>
  <c r="B16" i="15"/>
  <c r="C15" i="15"/>
  <c r="B15" i="15"/>
  <c r="C14" i="15"/>
  <c r="B14" i="15"/>
  <c r="C13" i="15"/>
  <c r="J13" i="15" s="1"/>
  <c r="B13" i="15"/>
  <c r="C12" i="15"/>
  <c r="B12" i="15"/>
  <c r="C11" i="15"/>
  <c r="B11" i="15"/>
  <c r="C10" i="15"/>
  <c r="B10" i="15"/>
  <c r="C9" i="15"/>
  <c r="B9" i="15"/>
  <c r="C8" i="15"/>
  <c r="J8" i="15" s="1"/>
  <c r="B8" i="15"/>
  <c r="C7" i="15"/>
  <c r="B7" i="15"/>
  <c r="C6" i="15"/>
  <c r="J9" i="15" s="1"/>
  <c r="B6" i="15"/>
  <c r="C5" i="15"/>
  <c r="B5" i="15"/>
  <c r="C49" i="14"/>
  <c r="B49" i="14"/>
  <c r="C48" i="14"/>
  <c r="B48" i="14"/>
  <c r="C47" i="14"/>
  <c r="B47" i="14"/>
  <c r="C46" i="14"/>
  <c r="D46" i="14" s="1"/>
  <c r="B46" i="14"/>
  <c r="C45" i="14"/>
  <c r="B45" i="14"/>
  <c r="C44" i="14"/>
  <c r="B44" i="14"/>
  <c r="C43" i="14"/>
  <c r="B43" i="14"/>
  <c r="C42" i="14"/>
  <c r="B42" i="14"/>
  <c r="D41" i="14"/>
  <c r="C41" i="14"/>
  <c r="B41" i="14"/>
  <c r="C40" i="14"/>
  <c r="B40" i="14"/>
  <c r="D39" i="14"/>
  <c r="C39" i="14"/>
  <c r="B39" i="14"/>
  <c r="D38" i="14"/>
  <c r="C38" i="14"/>
  <c r="B38" i="14"/>
  <c r="D37" i="14"/>
  <c r="C37" i="14"/>
  <c r="B37" i="14"/>
  <c r="D36" i="14"/>
  <c r="C36" i="14"/>
  <c r="B36" i="14"/>
  <c r="E35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I14" i="14" s="1"/>
  <c r="B14" i="14"/>
  <c r="C13" i="14"/>
  <c r="B13" i="14"/>
  <c r="C12" i="14"/>
  <c r="B12" i="14"/>
  <c r="C11" i="14"/>
  <c r="I11" i="14" s="1"/>
  <c r="B11" i="14"/>
  <c r="C10" i="14"/>
  <c r="B10" i="14"/>
  <c r="C9" i="14"/>
  <c r="B9" i="14"/>
  <c r="C8" i="14"/>
  <c r="B8" i="14"/>
  <c r="C7" i="14"/>
  <c r="B7" i="14"/>
  <c r="C6" i="14"/>
  <c r="E30" i="14" s="1"/>
  <c r="B6" i="14"/>
  <c r="C5" i="14"/>
  <c r="B5" i="14"/>
  <c r="E35" i="13"/>
  <c r="E35" i="12"/>
  <c r="C49" i="13"/>
  <c r="B49" i="13"/>
  <c r="C48" i="13"/>
  <c r="B48" i="13"/>
  <c r="C47" i="13"/>
  <c r="B47" i="13"/>
  <c r="C46" i="13"/>
  <c r="D46" i="13" s="1"/>
  <c r="B46" i="13"/>
  <c r="C45" i="13"/>
  <c r="B45" i="13"/>
  <c r="C44" i="13"/>
  <c r="D44" i="13" s="1"/>
  <c r="B44" i="13"/>
  <c r="C43" i="13"/>
  <c r="H43" i="13" s="1"/>
  <c r="B43" i="13"/>
  <c r="C42" i="13"/>
  <c r="D42" i="13" s="1"/>
  <c r="B42" i="13"/>
  <c r="C41" i="13"/>
  <c r="B41" i="13"/>
  <c r="C40" i="13"/>
  <c r="B40" i="13"/>
  <c r="D39" i="13"/>
  <c r="C39" i="13"/>
  <c r="B39" i="13"/>
  <c r="D38" i="13"/>
  <c r="C38" i="13"/>
  <c r="B38" i="13"/>
  <c r="D37" i="13"/>
  <c r="C37" i="13"/>
  <c r="B37" i="13"/>
  <c r="D36" i="13"/>
  <c r="C36" i="13"/>
  <c r="B36" i="13"/>
  <c r="C35" i="13"/>
  <c r="B35" i="13"/>
  <c r="C34" i="13"/>
  <c r="B34" i="13"/>
  <c r="C33" i="13"/>
  <c r="B33" i="13"/>
  <c r="C32" i="13"/>
  <c r="G32" i="13" s="1"/>
  <c r="B32" i="13"/>
  <c r="C31" i="13"/>
  <c r="B31" i="13"/>
  <c r="C30" i="13"/>
  <c r="E30" i="13" s="1"/>
  <c r="B30" i="13"/>
  <c r="C29" i="13"/>
  <c r="B29" i="13"/>
  <c r="C28" i="13"/>
  <c r="H28" i="13" s="1"/>
  <c r="B28" i="13"/>
  <c r="C27" i="13"/>
  <c r="B27" i="13"/>
  <c r="C26" i="13"/>
  <c r="B26" i="13"/>
  <c r="C25" i="13"/>
  <c r="B25" i="13"/>
  <c r="C24" i="13"/>
  <c r="G24" i="13" s="1"/>
  <c r="B24" i="13"/>
  <c r="C23" i="13"/>
  <c r="B23" i="13"/>
  <c r="C22" i="13"/>
  <c r="E22" i="13" s="1"/>
  <c r="B22" i="13"/>
  <c r="C21" i="13"/>
  <c r="B21" i="13"/>
  <c r="C20" i="13"/>
  <c r="B20" i="13"/>
  <c r="C19" i="13"/>
  <c r="B19" i="13"/>
  <c r="C18" i="13"/>
  <c r="F18" i="13" s="1"/>
  <c r="B18" i="13"/>
  <c r="C17" i="13"/>
  <c r="B17" i="13"/>
  <c r="C16" i="13"/>
  <c r="B16" i="13"/>
  <c r="C15" i="13"/>
  <c r="B15" i="13"/>
  <c r="C14" i="13"/>
  <c r="B14" i="13"/>
  <c r="C13" i="13"/>
  <c r="E13" i="13" s="1"/>
  <c r="B13" i="13"/>
  <c r="C12" i="13"/>
  <c r="B12" i="13"/>
  <c r="C11" i="13"/>
  <c r="B11" i="13"/>
  <c r="C10" i="13"/>
  <c r="F10" i="13" s="1"/>
  <c r="B10" i="13"/>
  <c r="C9" i="13"/>
  <c r="B9" i="13"/>
  <c r="C8" i="13"/>
  <c r="B8" i="13"/>
  <c r="C7" i="13"/>
  <c r="B7" i="13"/>
  <c r="C6" i="13"/>
  <c r="F45" i="13" s="1"/>
  <c r="B6" i="13"/>
  <c r="C5" i="13"/>
  <c r="B5" i="13"/>
  <c r="G7" i="13" l="1"/>
  <c r="H11" i="13"/>
  <c r="I10" i="14"/>
  <c r="I7" i="14"/>
  <c r="J12" i="15"/>
  <c r="J26" i="15"/>
  <c r="J25" i="15"/>
  <c r="J7" i="16"/>
  <c r="K9" i="18"/>
  <c r="N22" i="19"/>
  <c r="N30" i="19"/>
  <c r="N41" i="19"/>
  <c r="N23" i="19"/>
  <c r="P27" i="21"/>
  <c r="P27" i="8" s="1"/>
  <c r="I43" i="14"/>
  <c r="I19" i="14"/>
  <c r="J11" i="15"/>
  <c r="J15" i="15"/>
  <c r="J23" i="15"/>
  <c r="J31" i="15"/>
  <c r="K19" i="16"/>
  <c r="L8" i="17"/>
  <c r="L16" i="17"/>
  <c r="N7" i="19"/>
  <c r="N11" i="19"/>
  <c r="N15" i="19"/>
  <c r="N19" i="19"/>
  <c r="I32" i="14"/>
  <c r="J7" i="15"/>
  <c r="J19" i="15"/>
  <c r="J27" i="15"/>
  <c r="L12" i="17"/>
  <c r="L14" i="17"/>
  <c r="M19" i="18"/>
  <c r="K7" i="16"/>
  <c r="N42" i="19"/>
  <c r="L27" i="18"/>
  <c r="M27" i="18"/>
  <c r="O41" i="21"/>
  <c r="O41" i="8" s="1"/>
  <c r="P41" i="21"/>
  <c r="P41" i="8" s="1"/>
  <c r="D41" i="21"/>
  <c r="P45" i="21"/>
  <c r="P45" i="8" s="1"/>
  <c r="K27" i="16"/>
  <c r="K31" i="16"/>
  <c r="J31" i="16"/>
  <c r="M22" i="18"/>
  <c r="H22" i="18"/>
  <c r="O11" i="20"/>
  <c r="K22" i="16"/>
  <c r="J24" i="16"/>
  <c r="K24" i="16"/>
  <c r="G24" i="16"/>
  <c r="L32" i="17"/>
  <c r="O24" i="20"/>
  <c r="O32" i="20"/>
  <c r="O29" i="21"/>
  <c r="O29" i="8" s="1"/>
  <c r="K16" i="16"/>
  <c r="K25" i="16"/>
  <c r="K33" i="16"/>
  <c r="J19" i="16"/>
  <c r="K43" i="16"/>
  <c r="L25" i="17"/>
  <c r="L28" i="17"/>
  <c r="M12" i="18"/>
  <c r="L12" i="18"/>
  <c r="K12" i="18"/>
  <c r="M25" i="18"/>
  <c r="M29" i="18"/>
  <c r="M33" i="18"/>
  <c r="M46" i="18"/>
  <c r="D46" i="18"/>
  <c r="M43" i="18"/>
  <c r="O15" i="20"/>
  <c r="E9" i="20"/>
  <c r="J8" i="20"/>
  <c r="L7" i="20"/>
  <c r="O7" i="20"/>
  <c r="P43" i="21"/>
  <c r="P43" i="8" s="1"/>
  <c r="O28" i="20"/>
  <c r="D45" i="14"/>
  <c r="I45" i="14"/>
  <c r="J25" i="16"/>
  <c r="K29" i="16"/>
  <c r="H42" i="16"/>
  <c r="K46" i="16"/>
  <c r="K28" i="16"/>
  <c r="L19" i="17"/>
  <c r="M28" i="18"/>
  <c r="O45" i="20"/>
  <c r="F8" i="21"/>
  <c r="F8" i="8" s="1"/>
  <c r="P8" i="21"/>
  <c r="P8" i="8" s="1"/>
  <c r="P14" i="21"/>
  <c r="P14" i="8" s="1"/>
  <c r="P31" i="21"/>
  <c r="P31" i="8" s="1"/>
  <c r="O16" i="21"/>
  <c r="O16" i="8" s="1"/>
  <c r="O33" i="21"/>
  <c r="O33" i="8" s="1"/>
  <c r="L9" i="21"/>
  <c r="L9" i="8" s="1"/>
  <c r="P23" i="21"/>
  <c r="P23" i="8" s="1"/>
  <c r="O8" i="21"/>
  <c r="O8" i="8" s="1"/>
  <c r="O25" i="21"/>
  <c r="O25" i="8" s="1"/>
  <c r="I13" i="14"/>
  <c r="I24" i="14"/>
  <c r="I28" i="14"/>
  <c r="I15" i="14"/>
  <c r="I17" i="14"/>
  <c r="I21" i="14"/>
  <c r="E21" i="14"/>
  <c r="I27" i="14"/>
  <c r="I31" i="14"/>
  <c r="H10" i="13"/>
  <c r="H18" i="13"/>
  <c r="H42" i="13"/>
  <c r="F42" i="13"/>
  <c r="F26" i="13"/>
  <c r="F22" i="13"/>
  <c r="G18" i="13"/>
  <c r="G14" i="13"/>
  <c r="E12" i="13"/>
  <c r="G10" i="13"/>
  <c r="E8" i="13"/>
  <c r="H14" i="13"/>
  <c r="F30" i="13"/>
  <c r="E16" i="13"/>
  <c r="E5" i="13"/>
  <c r="H12" i="13"/>
  <c r="F32" i="13"/>
  <c r="F24" i="13"/>
  <c r="E18" i="13"/>
  <c r="G12" i="13"/>
  <c r="E10" i="13"/>
  <c r="H16" i="13"/>
  <c r="G16" i="13"/>
  <c r="H24" i="13"/>
  <c r="H32" i="13"/>
  <c r="G46" i="13"/>
  <c r="G28" i="13"/>
  <c r="E26" i="13"/>
  <c r="F14" i="13"/>
  <c r="H8" i="13"/>
  <c r="F46" i="13"/>
  <c r="F28" i="13"/>
  <c r="E14" i="13"/>
  <c r="G8" i="13"/>
  <c r="E7" i="13"/>
  <c r="F7" i="13"/>
  <c r="H7" i="13"/>
  <c r="H9" i="13"/>
  <c r="G9" i="13"/>
  <c r="F9" i="13"/>
  <c r="E9" i="13"/>
  <c r="E11" i="13"/>
  <c r="G11" i="13"/>
  <c r="F11" i="13"/>
  <c r="H13" i="13"/>
  <c r="G13" i="13"/>
  <c r="F13" i="13"/>
  <c r="E15" i="13"/>
  <c r="F15" i="13"/>
  <c r="H15" i="13"/>
  <c r="H17" i="13"/>
  <c r="G17" i="13"/>
  <c r="F17" i="13"/>
  <c r="E17" i="13"/>
  <c r="E19" i="13"/>
  <c r="G19" i="13"/>
  <c r="F19" i="13"/>
  <c r="F21" i="13"/>
  <c r="E21" i="13"/>
  <c r="H21" i="13"/>
  <c r="G21" i="13"/>
  <c r="H23" i="13"/>
  <c r="G23" i="13"/>
  <c r="F23" i="13"/>
  <c r="E23" i="13"/>
  <c r="F25" i="13"/>
  <c r="E25" i="13"/>
  <c r="G25" i="13"/>
  <c r="H25" i="13"/>
  <c r="H27" i="13"/>
  <c r="G27" i="13"/>
  <c r="E27" i="13"/>
  <c r="F29" i="13"/>
  <c r="E29" i="13"/>
  <c r="H29" i="13"/>
  <c r="G29" i="13"/>
  <c r="H31" i="13"/>
  <c r="G31" i="13"/>
  <c r="F31" i="13"/>
  <c r="E31" i="13"/>
  <c r="F33" i="13"/>
  <c r="E33" i="13"/>
  <c r="H33" i="13"/>
  <c r="G33" i="13"/>
  <c r="D41" i="13"/>
  <c r="H41" i="13"/>
  <c r="F41" i="13"/>
  <c r="E41" i="13"/>
  <c r="G41" i="13"/>
  <c r="D43" i="13"/>
  <c r="G43" i="13"/>
  <c r="F43" i="13"/>
  <c r="E43" i="13"/>
  <c r="D45" i="13"/>
  <c r="G45" i="13"/>
  <c r="H45" i="13"/>
  <c r="E45" i="13"/>
  <c r="D47" i="13"/>
  <c r="E47" i="13"/>
  <c r="G15" i="13"/>
  <c r="F27" i="13"/>
  <c r="E42" i="13"/>
  <c r="H19" i="13"/>
  <c r="I23" i="14"/>
  <c r="K32" i="16"/>
  <c r="K11" i="16"/>
  <c r="L42" i="17"/>
  <c r="L43" i="17"/>
  <c r="M8" i="18"/>
  <c r="K8" i="18"/>
  <c r="M14" i="18"/>
  <c r="M23" i="18"/>
  <c r="M31" i="18"/>
  <c r="K14" i="18"/>
  <c r="J10" i="18"/>
  <c r="M10" i="18"/>
  <c r="M18" i="18"/>
  <c r="M42" i="18"/>
  <c r="H8" i="18"/>
  <c r="L13" i="18"/>
  <c r="I19" i="18"/>
  <c r="M11" i="18"/>
  <c r="N7" i="20"/>
  <c r="O12" i="21"/>
  <c r="O12" i="8" s="1"/>
  <c r="P10" i="21"/>
  <c r="P10" i="8" s="1"/>
  <c r="I29" i="14"/>
  <c r="J42" i="15"/>
  <c r="K13" i="16"/>
  <c r="K17" i="16"/>
  <c r="K41" i="16"/>
  <c r="L29" i="17"/>
  <c r="L33" i="17"/>
  <c r="L27" i="17"/>
  <c r="L18" i="17"/>
  <c r="L10" i="17"/>
  <c r="I11" i="18"/>
  <c r="L15" i="18"/>
  <c r="M41" i="18"/>
  <c r="N43" i="19"/>
  <c r="N45" i="19"/>
  <c r="I10" i="20"/>
  <c r="L10" i="20"/>
  <c r="O10" i="20"/>
  <c r="O12" i="20"/>
  <c r="O14" i="20"/>
  <c r="O16" i="20"/>
  <c r="O18" i="20"/>
  <c r="O22" i="20"/>
  <c r="O26" i="20"/>
  <c r="O30" i="20"/>
  <c r="K10" i="21"/>
  <c r="K10" i="8" s="1"/>
  <c r="P12" i="21"/>
  <c r="P12" i="8" s="1"/>
  <c r="E12" i="21"/>
  <c r="E12" i="8" s="1"/>
  <c r="O14" i="21"/>
  <c r="O14" i="8" s="1"/>
  <c r="P16" i="21"/>
  <c r="P16" i="8" s="1"/>
  <c r="O18" i="21"/>
  <c r="O18" i="8" s="1"/>
  <c r="O22" i="21"/>
  <c r="O22" i="8" s="1"/>
  <c r="P24" i="21"/>
  <c r="P24" i="8" s="1"/>
  <c r="O26" i="21"/>
  <c r="O26" i="8" s="1"/>
  <c r="P28" i="21"/>
  <c r="P28" i="8" s="1"/>
  <c r="O30" i="21"/>
  <c r="O30" i="8" s="1"/>
  <c r="P32" i="21"/>
  <c r="P32" i="8" s="1"/>
  <c r="I9" i="14"/>
  <c r="I26" i="14"/>
  <c r="I30" i="14"/>
  <c r="I41" i="14"/>
  <c r="I22" i="14"/>
  <c r="I8" i="14"/>
  <c r="I12" i="14"/>
  <c r="E12" i="14"/>
  <c r="I16" i="14"/>
  <c r="I33" i="14"/>
  <c r="I42" i="14"/>
  <c r="I18" i="14"/>
  <c r="J45" i="15"/>
  <c r="J29" i="15"/>
  <c r="J21" i="15"/>
  <c r="K10" i="16"/>
  <c r="E8" i="16"/>
  <c r="J21" i="16"/>
  <c r="G21" i="16"/>
  <c r="K23" i="16"/>
  <c r="K26" i="16"/>
  <c r="J28" i="16"/>
  <c r="K30" i="16"/>
  <c r="K15" i="16"/>
  <c r="K7" i="17"/>
  <c r="J9" i="17"/>
  <c r="L9" i="17"/>
  <c r="J11" i="17"/>
  <c r="L13" i="17"/>
  <c r="E13" i="17"/>
  <c r="F15" i="17"/>
  <c r="L24" i="17"/>
  <c r="L15" i="17"/>
  <c r="L7" i="17"/>
  <c r="G7" i="18"/>
  <c r="L10" i="18"/>
  <c r="H11" i="18"/>
  <c r="M21" i="18"/>
  <c r="J21" i="18"/>
  <c r="G24" i="18"/>
  <c r="M30" i="18"/>
  <c r="K32" i="18"/>
  <c r="E43" i="18"/>
  <c r="M45" i="18"/>
  <c r="M32" i="18"/>
  <c r="M24" i="18"/>
  <c r="M15" i="18"/>
  <c r="N8" i="19"/>
  <c r="N12" i="19"/>
  <c r="N16" i="19"/>
  <c r="N24" i="19"/>
  <c r="N28" i="19"/>
  <c r="N32" i="19"/>
  <c r="N46" i="19"/>
  <c r="N9" i="20"/>
  <c r="E5" i="20"/>
  <c r="O23" i="20"/>
  <c r="O31" i="20"/>
  <c r="H9" i="20"/>
  <c r="O9" i="20"/>
  <c r="O41" i="20"/>
  <c r="O27" i="20"/>
  <c r="F7" i="20"/>
  <c r="O8" i="20"/>
  <c r="O42" i="20"/>
  <c r="O23" i="21"/>
  <c r="O23" i="8" s="1"/>
  <c r="O31" i="21"/>
  <c r="O31" i="8" s="1"/>
  <c r="O42" i="21"/>
  <c r="O42" i="8" s="1"/>
  <c r="P9" i="21"/>
  <c r="P9" i="8" s="1"/>
  <c r="P17" i="21"/>
  <c r="P17" i="8" s="1"/>
  <c r="P46" i="21"/>
  <c r="P46" i="8" s="1"/>
  <c r="O15" i="21"/>
  <c r="O15" i="8" s="1"/>
  <c r="P21" i="21"/>
  <c r="P21" i="8" s="1"/>
  <c r="P25" i="21"/>
  <c r="P25" i="8" s="1"/>
  <c r="P29" i="21"/>
  <c r="P29" i="8" s="1"/>
  <c r="P33" i="21"/>
  <c r="P33" i="8" s="1"/>
  <c r="O27" i="21"/>
  <c r="O27" i="8" s="1"/>
  <c r="P13" i="21"/>
  <c r="P13" i="8" s="1"/>
  <c r="O19" i="21"/>
  <c r="O19" i="8" s="1"/>
  <c r="P7" i="21"/>
  <c r="P7" i="8" s="1"/>
  <c r="H7" i="21"/>
  <c r="H7" i="8" s="1"/>
  <c r="O7" i="21"/>
  <c r="O7" i="8" s="1"/>
  <c r="F7" i="21"/>
  <c r="F7" i="8" s="1"/>
  <c r="O9" i="21"/>
  <c r="O9" i="8" s="1"/>
  <c r="O46" i="21"/>
  <c r="O46" i="8" s="1"/>
  <c r="O45" i="21"/>
  <c r="O45" i="8" s="1"/>
  <c r="O21" i="21"/>
  <c r="O21" i="8" s="1"/>
  <c r="O43" i="20"/>
  <c r="O19" i="20"/>
  <c r="P42" i="21"/>
  <c r="P42" i="8" s="1"/>
  <c r="P18" i="21"/>
  <c r="P18" i="8" s="1"/>
  <c r="I25" i="14"/>
  <c r="F8" i="13"/>
  <c r="F6" i="13" s="1"/>
  <c r="F12" i="13"/>
  <c r="F16" i="13"/>
  <c r="H22" i="13"/>
  <c r="E24" i="13"/>
  <c r="H26" i="13"/>
  <c r="E28" i="13"/>
  <c r="H30" i="13"/>
  <c r="E32" i="13"/>
  <c r="J10" i="15"/>
  <c r="J14" i="15"/>
  <c r="J18" i="15"/>
  <c r="J24" i="15"/>
  <c r="J20" i="15" s="1"/>
  <c r="J28" i="15"/>
  <c r="J32" i="15"/>
  <c r="J43" i="15"/>
  <c r="J41" i="15"/>
  <c r="J17" i="15"/>
  <c r="I7" i="16"/>
  <c r="F7" i="16"/>
  <c r="H8" i="16"/>
  <c r="E9" i="16"/>
  <c r="G12" i="16"/>
  <c r="K14" i="16"/>
  <c r="J16" i="16"/>
  <c r="K18" i="16"/>
  <c r="K45" i="16"/>
  <c r="K21" i="16"/>
  <c r="K20" i="16" s="1"/>
  <c r="K12" i="16"/>
  <c r="L17" i="17"/>
  <c r="G17" i="17"/>
  <c r="H26" i="17"/>
  <c r="L30" i="17"/>
  <c r="L45" i="17"/>
  <c r="L31" i="17"/>
  <c r="L9" i="18"/>
  <c r="M9" i="18"/>
  <c r="M13" i="18"/>
  <c r="M16" i="18"/>
  <c r="J18" i="18"/>
  <c r="H11" i="20"/>
  <c r="E11" i="20"/>
  <c r="O13" i="20"/>
  <c r="O17" i="20"/>
  <c r="O21" i="20"/>
  <c r="O25" i="20"/>
  <c r="O29" i="20"/>
  <c r="O33" i="20"/>
  <c r="P11" i="21"/>
  <c r="P11" i="8" s="1"/>
  <c r="O13" i="21"/>
  <c r="O13" i="8" s="1"/>
  <c r="P15" i="21"/>
  <c r="P15" i="8" s="1"/>
  <c r="O17" i="21"/>
  <c r="O17" i="8" s="1"/>
  <c r="P19" i="21"/>
  <c r="P19" i="8" s="1"/>
  <c r="P30" i="21"/>
  <c r="P30" i="8" s="1"/>
  <c r="P26" i="21"/>
  <c r="P26" i="8" s="1"/>
  <c r="P22" i="21"/>
  <c r="P22" i="8" s="1"/>
  <c r="J33" i="16"/>
  <c r="L41" i="17"/>
  <c r="L22" i="17"/>
  <c r="L20" i="17" s="1"/>
  <c r="M26" i="18"/>
  <c r="N21" i="19"/>
  <c r="H11" i="21"/>
  <c r="H11" i="8" s="1"/>
  <c r="O43" i="21"/>
  <c r="O43" i="8" s="1"/>
  <c r="O32" i="21"/>
  <c r="O32" i="8" s="1"/>
  <c r="O28" i="21"/>
  <c r="O28" i="8" s="1"/>
  <c r="O24" i="21"/>
  <c r="O24" i="8" s="1"/>
  <c r="O11" i="21"/>
  <c r="O11" i="8" s="1"/>
  <c r="I46" i="14"/>
  <c r="J15" i="16"/>
  <c r="K42" i="16"/>
  <c r="L46" i="17"/>
  <c r="L26" i="17"/>
  <c r="I7" i="18"/>
  <c r="M17" i="18"/>
  <c r="N33" i="19"/>
  <c r="N29" i="19"/>
  <c r="N25" i="19"/>
  <c r="E47" i="21"/>
  <c r="E47" i="8" s="1"/>
  <c r="O10" i="21"/>
  <c r="O10" i="8" s="1"/>
  <c r="O46" i="20"/>
  <c r="G22" i="13"/>
  <c r="G26" i="13"/>
  <c r="G30" i="13"/>
  <c r="G42" i="13"/>
  <c r="E44" i="13"/>
  <c r="E46" i="13"/>
  <c r="H46" i="13"/>
  <c r="D42" i="15"/>
  <c r="J9" i="16"/>
  <c r="J12" i="16"/>
  <c r="G15" i="16"/>
  <c r="K9" i="16"/>
  <c r="K6" i="16" s="1"/>
  <c r="J10" i="17"/>
  <c r="K29" i="18"/>
  <c r="D42" i="8"/>
  <c r="D45" i="8"/>
  <c r="D46" i="8"/>
  <c r="D44" i="8"/>
  <c r="E40" i="13"/>
  <c r="E6" i="13"/>
  <c r="O6" i="20"/>
  <c r="P20" i="21"/>
  <c r="P20" i="8" s="1"/>
  <c r="M20" i="18"/>
  <c r="I6" i="14"/>
  <c r="M13" i="21"/>
  <c r="M13" i="8" s="1"/>
  <c r="G13" i="21"/>
  <c r="G13" i="8" s="1"/>
  <c r="J13" i="21"/>
  <c r="J13" i="8" s="1"/>
  <c r="I13" i="21"/>
  <c r="I13" i="8" s="1"/>
  <c r="N13" i="21"/>
  <c r="N13" i="8" s="1"/>
  <c r="J14" i="21"/>
  <c r="J14" i="8" s="1"/>
  <c r="J15" i="21"/>
  <c r="J15" i="8" s="1"/>
  <c r="F16" i="21"/>
  <c r="F16" i="8" s="1"/>
  <c r="L18" i="21"/>
  <c r="L18" i="8" s="1"/>
  <c r="K19" i="21"/>
  <c r="K19" i="8" s="1"/>
  <c r="I21" i="21"/>
  <c r="I21" i="8" s="1"/>
  <c r="F22" i="21"/>
  <c r="F22" i="8" s="1"/>
  <c r="F23" i="21"/>
  <c r="F23" i="8" s="1"/>
  <c r="I24" i="21"/>
  <c r="I24" i="8" s="1"/>
  <c r="F25" i="21"/>
  <c r="F25" i="8" s="1"/>
  <c r="F26" i="21"/>
  <c r="F26" i="8" s="1"/>
  <c r="I27" i="21"/>
  <c r="I27" i="8" s="1"/>
  <c r="F28" i="21"/>
  <c r="F28" i="8" s="1"/>
  <c r="F29" i="21"/>
  <c r="F29" i="8" s="1"/>
  <c r="I30" i="21"/>
  <c r="I30" i="8" s="1"/>
  <c r="F31" i="21"/>
  <c r="F31" i="8" s="1"/>
  <c r="F32" i="21"/>
  <c r="F32" i="8" s="1"/>
  <c r="I33" i="21"/>
  <c r="I33" i="8" s="1"/>
  <c r="F41" i="21"/>
  <c r="F41" i="8" s="1"/>
  <c r="E42" i="21"/>
  <c r="E42" i="8" s="1"/>
  <c r="E44" i="21"/>
  <c r="E44" i="8" s="1"/>
  <c r="D44" i="21"/>
  <c r="E45" i="21"/>
  <c r="E45" i="8" s="1"/>
  <c r="M9" i="21"/>
  <c r="M9" i="8" s="1"/>
  <c r="G9" i="21"/>
  <c r="G9" i="8" s="1"/>
  <c r="H9" i="21"/>
  <c r="H9" i="8" s="1"/>
  <c r="N9" i="21"/>
  <c r="N9" i="8" s="1"/>
  <c r="F9" i="21"/>
  <c r="F9" i="8" s="1"/>
  <c r="L10" i="21"/>
  <c r="L10" i="8" s="1"/>
  <c r="I11" i="21"/>
  <c r="I11" i="8" s="1"/>
  <c r="I12" i="21"/>
  <c r="I12" i="8" s="1"/>
  <c r="E13" i="21"/>
  <c r="E13" i="8" s="1"/>
  <c r="N14" i="21"/>
  <c r="N14" i="8" s="1"/>
  <c r="K15" i="21"/>
  <c r="K15" i="8" s="1"/>
  <c r="H16" i="21"/>
  <c r="H16" i="8" s="1"/>
  <c r="F17" i="21"/>
  <c r="F17" i="8" s="1"/>
  <c r="M18" i="21"/>
  <c r="M18" i="8" s="1"/>
  <c r="G18" i="21"/>
  <c r="G18" i="8" s="1"/>
  <c r="H18" i="21"/>
  <c r="H18" i="8" s="1"/>
  <c r="N18" i="21"/>
  <c r="N18" i="8" s="1"/>
  <c r="F18" i="21"/>
  <c r="F18" i="8" s="1"/>
  <c r="L19" i="21"/>
  <c r="L19" i="8" s="1"/>
  <c r="J21" i="21"/>
  <c r="J21" i="8" s="1"/>
  <c r="K22" i="21"/>
  <c r="K22" i="8" s="1"/>
  <c r="H23" i="21"/>
  <c r="H23" i="8" s="1"/>
  <c r="J24" i="21"/>
  <c r="J24" i="8" s="1"/>
  <c r="K25" i="21"/>
  <c r="K25" i="8" s="1"/>
  <c r="H26" i="21"/>
  <c r="H26" i="8" s="1"/>
  <c r="J27" i="21"/>
  <c r="J27" i="8" s="1"/>
  <c r="K28" i="21"/>
  <c r="K28" i="8" s="1"/>
  <c r="H29" i="21"/>
  <c r="H29" i="8" s="1"/>
  <c r="J30" i="21"/>
  <c r="J30" i="8" s="1"/>
  <c r="K31" i="21"/>
  <c r="K31" i="8" s="1"/>
  <c r="H32" i="21"/>
  <c r="H32" i="8" s="1"/>
  <c r="J33" i="21"/>
  <c r="J33" i="8" s="1"/>
  <c r="K41" i="21"/>
  <c r="K41" i="8" s="1"/>
  <c r="F42" i="21"/>
  <c r="F42" i="8" s="1"/>
  <c r="G43" i="21"/>
  <c r="G43" i="8" s="1"/>
  <c r="I45" i="21"/>
  <c r="I45" i="8" s="1"/>
  <c r="E46" i="21"/>
  <c r="E46" i="8" s="1"/>
  <c r="D47" i="21"/>
  <c r="H46" i="21"/>
  <c r="H46" i="8" s="1"/>
  <c r="N46" i="21"/>
  <c r="N46" i="8" s="1"/>
  <c r="G46" i="21"/>
  <c r="G46" i="8" s="1"/>
  <c r="I41" i="21"/>
  <c r="I41" i="8" s="1"/>
  <c r="E5" i="21"/>
  <c r="E5" i="8" s="1"/>
  <c r="M46" i="21"/>
  <c r="M46" i="8" s="1"/>
  <c r="F46" i="21"/>
  <c r="F46" i="8" s="1"/>
  <c r="I42" i="21"/>
  <c r="I42" i="8" s="1"/>
  <c r="G41" i="21"/>
  <c r="G41" i="8" s="1"/>
  <c r="J32" i="21"/>
  <c r="J32" i="8" s="1"/>
  <c r="J29" i="21"/>
  <c r="J29" i="8" s="1"/>
  <c r="J26" i="21"/>
  <c r="J26" i="8" s="1"/>
  <c r="J23" i="21"/>
  <c r="J23" i="8" s="1"/>
  <c r="K7" i="21"/>
  <c r="K7" i="8" s="1"/>
  <c r="H8" i="21"/>
  <c r="H8" i="8" s="1"/>
  <c r="E9" i="21"/>
  <c r="E9" i="8" s="1"/>
  <c r="M10" i="21"/>
  <c r="M10" i="8" s="1"/>
  <c r="G10" i="21"/>
  <c r="G10" i="8" s="1"/>
  <c r="J10" i="21"/>
  <c r="J10" i="8" s="1"/>
  <c r="I10" i="21"/>
  <c r="I10" i="8" s="1"/>
  <c r="N10" i="21"/>
  <c r="N10" i="8" s="1"/>
  <c r="J11" i="21"/>
  <c r="J11" i="8" s="1"/>
  <c r="J12" i="21"/>
  <c r="J12" i="8" s="1"/>
  <c r="F13" i="21"/>
  <c r="F13" i="8" s="1"/>
  <c r="L15" i="21"/>
  <c r="L15" i="8" s="1"/>
  <c r="K16" i="21"/>
  <c r="K16" i="8" s="1"/>
  <c r="H17" i="21"/>
  <c r="H17" i="8" s="1"/>
  <c r="E18" i="21"/>
  <c r="E18" i="8" s="1"/>
  <c r="M19" i="21"/>
  <c r="M19" i="8" s="1"/>
  <c r="G19" i="21"/>
  <c r="G19" i="8" s="1"/>
  <c r="J19" i="21"/>
  <c r="J19" i="8" s="1"/>
  <c r="I19" i="21"/>
  <c r="I19" i="8" s="1"/>
  <c r="N19" i="21"/>
  <c r="N19" i="8" s="1"/>
  <c r="K21" i="21"/>
  <c r="K21" i="8" s="1"/>
  <c r="L22" i="21"/>
  <c r="L22" i="8" s="1"/>
  <c r="I23" i="21"/>
  <c r="I23" i="8" s="1"/>
  <c r="K24" i="21"/>
  <c r="K24" i="8" s="1"/>
  <c r="L25" i="21"/>
  <c r="L25" i="8" s="1"/>
  <c r="I26" i="21"/>
  <c r="I26" i="8" s="1"/>
  <c r="K27" i="21"/>
  <c r="K27" i="8" s="1"/>
  <c r="L28" i="21"/>
  <c r="L28" i="8" s="1"/>
  <c r="I29" i="21"/>
  <c r="I29" i="8" s="1"/>
  <c r="K30" i="21"/>
  <c r="K30" i="8" s="1"/>
  <c r="L31" i="21"/>
  <c r="L31" i="8" s="1"/>
  <c r="I32" i="21"/>
  <c r="I32" i="8" s="1"/>
  <c r="K33" i="21"/>
  <c r="K33" i="8" s="1"/>
  <c r="L41" i="21"/>
  <c r="L41" i="8" s="1"/>
  <c r="H42" i="21"/>
  <c r="H42" i="8" s="1"/>
  <c r="H43" i="21"/>
  <c r="H43" i="8" s="1"/>
  <c r="K45" i="21"/>
  <c r="K45" i="8" s="1"/>
  <c r="J46" i="21"/>
  <c r="J46" i="8" s="1"/>
  <c r="L7" i="21"/>
  <c r="L7" i="8" s="1"/>
  <c r="I8" i="21"/>
  <c r="I8" i="8" s="1"/>
  <c r="I9" i="21"/>
  <c r="I9" i="8" s="1"/>
  <c r="E10" i="21"/>
  <c r="E10" i="8" s="1"/>
  <c r="N11" i="21"/>
  <c r="N11" i="8" s="1"/>
  <c r="K12" i="21"/>
  <c r="K12" i="8" s="1"/>
  <c r="H13" i="21"/>
  <c r="H13" i="8" s="1"/>
  <c r="F14" i="21"/>
  <c r="F14" i="8" s="1"/>
  <c r="M15" i="21"/>
  <c r="M15" i="8" s="1"/>
  <c r="G15" i="21"/>
  <c r="G15" i="8" s="1"/>
  <c r="H15" i="21"/>
  <c r="H15" i="8" s="1"/>
  <c r="N15" i="21"/>
  <c r="N15" i="8" s="1"/>
  <c r="F15" i="21"/>
  <c r="F15" i="8" s="1"/>
  <c r="L16" i="21"/>
  <c r="L16" i="8" s="1"/>
  <c r="I17" i="21"/>
  <c r="I17" i="8" s="1"/>
  <c r="I18" i="21"/>
  <c r="I18" i="8" s="1"/>
  <c r="E19" i="21"/>
  <c r="E19" i="8" s="1"/>
  <c r="N22" i="21"/>
  <c r="N22" i="8" s="1"/>
  <c r="N23" i="21"/>
  <c r="N23" i="8" s="1"/>
  <c r="N25" i="21"/>
  <c r="N25" i="8" s="1"/>
  <c r="N26" i="21"/>
  <c r="N26" i="8" s="1"/>
  <c r="N28" i="21"/>
  <c r="N28" i="8" s="1"/>
  <c r="N29" i="21"/>
  <c r="N29" i="8" s="1"/>
  <c r="N31" i="21"/>
  <c r="N31" i="8" s="1"/>
  <c r="N32" i="21"/>
  <c r="N32" i="8" s="1"/>
  <c r="M41" i="21"/>
  <c r="M41" i="8" s="1"/>
  <c r="L42" i="21"/>
  <c r="L42" i="8" s="1"/>
  <c r="I43" i="21"/>
  <c r="I43" i="8" s="1"/>
  <c r="L45" i="21"/>
  <c r="L45" i="8" s="1"/>
  <c r="K46" i="21"/>
  <c r="K46" i="8" s="1"/>
  <c r="M7" i="21"/>
  <c r="M7" i="8" s="1"/>
  <c r="G7" i="21"/>
  <c r="G7" i="8" s="1"/>
  <c r="J7" i="21"/>
  <c r="J7" i="8" s="1"/>
  <c r="I7" i="21"/>
  <c r="I7" i="8" s="1"/>
  <c r="N7" i="21"/>
  <c r="N7" i="8" s="1"/>
  <c r="J8" i="21"/>
  <c r="J8" i="8" s="1"/>
  <c r="J9" i="21"/>
  <c r="J9" i="8" s="1"/>
  <c r="F10" i="21"/>
  <c r="F10" i="8" s="1"/>
  <c r="L12" i="21"/>
  <c r="L12" i="8" s="1"/>
  <c r="K13" i="21"/>
  <c r="K13" i="8" s="1"/>
  <c r="H14" i="21"/>
  <c r="H14" i="8" s="1"/>
  <c r="E15" i="21"/>
  <c r="E15" i="8" s="1"/>
  <c r="M16" i="21"/>
  <c r="M16" i="8" s="1"/>
  <c r="G16" i="21"/>
  <c r="G16" i="8" s="1"/>
  <c r="J16" i="21"/>
  <c r="J16" i="8" s="1"/>
  <c r="I16" i="21"/>
  <c r="I16" i="8" s="1"/>
  <c r="N16" i="21"/>
  <c r="N16" i="8" s="1"/>
  <c r="J17" i="21"/>
  <c r="J17" i="8" s="1"/>
  <c r="J18" i="21"/>
  <c r="J18" i="8" s="1"/>
  <c r="F19" i="21"/>
  <c r="F19" i="8" s="1"/>
  <c r="M22" i="21"/>
  <c r="M22" i="8" s="1"/>
  <c r="G22" i="21"/>
  <c r="G22" i="8" s="1"/>
  <c r="J22" i="21"/>
  <c r="J22" i="8" s="1"/>
  <c r="I22" i="21"/>
  <c r="I22" i="8" s="1"/>
  <c r="H22" i="21"/>
  <c r="H22" i="8" s="1"/>
  <c r="M25" i="21"/>
  <c r="M25" i="8" s="1"/>
  <c r="G25" i="21"/>
  <c r="G25" i="8" s="1"/>
  <c r="J25" i="21"/>
  <c r="J25" i="8" s="1"/>
  <c r="I25" i="21"/>
  <c r="I25" i="8" s="1"/>
  <c r="H25" i="21"/>
  <c r="H25" i="8" s="1"/>
  <c r="M28" i="21"/>
  <c r="M28" i="8" s="1"/>
  <c r="G28" i="21"/>
  <c r="G28" i="8" s="1"/>
  <c r="J28" i="21"/>
  <c r="J28" i="8" s="1"/>
  <c r="I28" i="21"/>
  <c r="I28" i="8" s="1"/>
  <c r="H28" i="21"/>
  <c r="H28" i="8" s="1"/>
  <c r="M31" i="21"/>
  <c r="M31" i="8" s="1"/>
  <c r="G31" i="21"/>
  <c r="G31" i="8" s="1"/>
  <c r="J31" i="21"/>
  <c r="J31" i="8" s="1"/>
  <c r="I31" i="21"/>
  <c r="I31" i="8" s="1"/>
  <c r="H31" i="21"/>
  <c r="H31" i="8" s="1"/>
  <c r="N42" i="21"/>
  <c r="N42" i="8" s="1"/>
  <c r="N43" i="21"/>
  <c r="N43" i="8" s="1"/>
  <c r="L46" i="21"/>
  <c r="L46" i="8" s="1"/>
  <c r="E7" i="21"/>
  <c r="E7" i="8" s="1"/>
  <c r="N8" i="21"/>
  <c r="N8" i="8" s="1"/>
  <c r="K9" i="21"/>
  <c r="K9" i="8" s="1"/>
  <c r="H10" i="21"/>
  <c r="H10" i="8" s="1"/>
  <c r="F11" i="21"/>
  <c r="F11" i="8" s="1"/>
  <c r="M12" i="21"/>
  <c r="M12" i="8" s="1"/>
  <c r="G12" i="21"/>
  <c r="G12" i="8" s="1"/>
  <c r="H12" i="21"/>
  <c r="H12" i="8" s="1"/>
  <c r="N12" i="21"/>
  <c r="N12" i="8" s="1"/>
  <c r="F12" i="21"/>
  <c r="F12" i="8" s="1"/>
  <c r="L13" i="21"/>
  <c r="L13" i="8" s="1"/>
  <c r="I14" i="21"/>
  <c r="I14" i="8" s="1"/>
  <c r="I15" i="21"/>
  <c r="I15" i="8" s="1"/>
  <c r="E16" i="21"/>
  <c r="E16" i="8" s="1"/>
  <c r="N17" i="21"/>
  <c r="N17" i="8" s="1"/>
  <c r="K18" i="21"/>
  <c r="K18" i="8" s="1"/>
  <c r="H19" i="21"/>
  <c r="H19" i="8" s="1"/>
  <c r="M21" i="21"/>
  <c r="M21" i="8" s="1"/>
  <c r="G21" i="21"/>
  <c r="G21" i="8" s="1"/>
  <c r="H21" i="21"/>
  <c r="H21" i="8" s="1"/>
  <c r="N21" i="21"/>
  <c r="N21" i="8" s="1"/>
  <c r="F21" i="21"/>
  <c r="F21" i="8" s="1"/>
  <c r="L21" i="21"/>
  <c r="L21" i="8" s="1"/>
  <c r="E21" i="21"/>
  <c r="E21" i="8" s="1"/>
  <c r="E22" i="21"/>
  <c r="E22" i="8" s="1"/>
  <c r="M24" i="21"/>
  <c r="M24" i="8" s="1"/>
  <c r="G24" i="21"/>
  <c r="G24" i="8" s="1"/>
  <c r="H24" i="21"/>
  <c r="H24" i="8" s="1"/>
  <c r="N24" i="21"/>
  <c r="N24" i="8" s="1"/>
  <c r="F24" i="21"/>
  <c r="F24" i="8" s="1"/>
  <c r="L24" i="21"/>
  <c r="L24" i="8" s="1"/>
  <c r="E24" i="21"/>
  <c r="E24" i="8" s="1"/>
  <c r="E25" i="21"/>
  <c r="E25" i="8" s="1"/>
  <c r="M27" i="21"/>
  <c r="M27" i="8" s="1"/>
  <c r="G27" i="21"/>
  <c r="G27" i="8" s="1"/>
  <c r="H27" i="21"/>
  <c r="H27" i="8" s="1"/>
  <c r="N27" i="21"/>
  <c r="N27" i="8" s="1"/>
  <c r="F27" i="21"/>
  <c r="F27" i="8" s="1"/>
  <c r="L27" i="21"/>
  <c r="L27" i="8" s="1"/>
  <c r="E27" i="21"/>
  <c r="E27" i="8" s="1"/>
  <c r="E28" i="21"/>
  <c r="E28" i="8" s="1"/>
  <c r="M30" i="21"/>
  <c r="M30" i="8" s="1"/>
  <c r="G30" i="21"/>
  <c r="G30" i="8" s="1"/>
  <c r="H30" i="21"/>
  <c r="H30" i="8" s="1"/>
  <c r="N30" i="21"/>
  <c r="N30" i="8" s="1"/>
  <c r="F30" i="21"/>
  <c r="F30" i="8" s="1"/>
  <c r="L30" i="21"/>
  <c r="L30" i="8" s="1"/>
  <c r="E30" i="21"/>
  <c r="E30" i="8" s="1"/>
  <c r="E31" i="21"/>
  <c r="E31" i="8" s="1"/>
  <c r="M33" i="21"/>
  <c r="M33" i="8" s="1"/>
  <c r="G33" i="21"/>
  <c r="G33" i="8" s="1"/>
  <c r="H33" i="21"/>
  <c r="H33" i="8" s="1"/>
  <c r="N33" i="21"/>
  <c r="N33" i="8" s="1"/>
  <c r="F33" i="21"/>
  <c r="F33" i="8" s="1"/>
  <c r="L33" i="21"/>
  <c r="L33" i="8" s="1"/>
  <c r="E33" i="21"/>
  <c r="E33" i="8" s="1"/>
  <c r="E41" i="21"/>
  <c r="E41" i="8" s="1"/>
  <c r="J45" i="21"/>
  <c r="J45" i="8" s="1"/>
  <c r="D45" i="21"/>
  <c r="H45" i="21"/>
  <c r="H45" i="8" s="1"/>
  <c r="N45" i="21"/>
  <c r="N45" i="8" s="1"/>
  <c r="G45" i="21"/>
  <c r="G45" i="8" s="1"/>
  <c r="M45" i="21"/>
  <c r="M45" i="8" s="1"/>
  <c r="F45" i="21"/>
  <c r="F45" i="8" s="1"/>
  <c r="I46" i="21"/>
  <c r="I46" i="8" s="1"/>
  <c r="L43" i="21"/>
  <c r="L43" i="8" s="1"/>
  <c r="F43" i="21"/>
  <c r="F43" i="8" s="1"/>
  <c r="J43" i="21"/>
  <c r="J43" i="8" s="1"/>
  <c r="M8" i="21"/>
  <c r="M8" i="8" s="1"/>
  <c r="G8" i="21"/>
  <c r="G8" i="8" s="1"/>
  <c r="K8" i="21"/>
  <c r="K8" i="8" s="1"/>
  <c r="M11" i="21"/>
  <c r="M11" i="8" s="1"/>
  <c r="G11" i="21"/>
  <c r="G11" i="8" s="1"/>
  <c r="K11" i="21"/>
  <c r="K11" i="8" s="1"/>
  <c r="M14" i="21"/>
  <c r="M14" i="8" s="1"/>
  <c r="G14" i="21"/>
  <c r="G14" i="8" s="1"/>
  <c r="K14" i="21"/>
  <c r="K14" i="8" s="1"/>
  <c r="M17" i="21"/>
  <c r="M17" i="8" s="1"/>
  <c r="G17" i="21"/>
  <c r="G17" i="8" s="1"/>
  <c r="K17" i="21"/>
  <c r="K17" i="8" s="1"/>
  <c r="M23" i="21"/>
  <c r="M23" i="8" s="1"/>
  <c r="G23" i="21"/>
  <c r="G23" i="8" s="1"/>
  <c r="K23" i="21"/>
  <c r="K23" i="8" s="1"/>
  <c r="M26" i="21"/>
  <c r="M26" i="8" s="1"/>
  <c r="G26" i="21"/>
  <c r="G26" i="8" s="1"/>
  <c r="K26" i="21"/>
  <c r="K26" i="8" s="1"/>
  <c r="M29" i="21"/>
  <c r="M29" i="8" s="1"/>
  <c r="G29" i="21"/>
  <c r="G29" i="8" s="1"/>
  <c r="K29" i="21"/>
  <c r="K29" i="8" s="1"/>
  <c r="M32" i="21"/>
  <c r="M32" i="8" s="1"/>
  <c r="G32" i="21"/>
  <c r="G32" i="8" s="1"/>
  <c r="K32" i="21"/>
  <c r="K32" i="8" s="1"/>
  <c r="M42" i="21"/>
  <c r="M42" i="8" s="1"/>
  <c r="G42" i="21"/>
  <c r="G42" i="8" s="1"/>
  <c r="J42" i="21"/>
  <c r="J42" i="8" s="1"/>
  <c r="D43" i="21"/>
  <c r="K43" i="21"/>
  <c r="K43" i="8" s="1"/>
  <c r="E8" i="21"/>
  <c r="E8" i="8" s="1"/>
  <c r="L8" i="21"/>
  <c r="L8" i="8" s="1"/>
  <c r="E11" i="21"/>
  <c r="E11" i="8" s="1"/>
  <c r="L11" i="21"/>
  <c r="L11" i="8" s="1"/>
  <c r="E14" i="21"/>
  <c r="E14" i="8" s="1"/>
  <c r="L14" i="21"/>
  <c r="L14" i="8" s="1"/>
  <c r="E17" i="21"/>
  <c r="E17" i="8" s="1"/>
  <c r="L17" i="21"/>
  <c r="L17" i="8" s="1"/>
  <c r="E23" i="21"/>
  <c r="E23" i="8" s="1"/>
  <c r="L23" i="21"/>
  <c r="L23" i="8" s="1"/>
  <c r="E26" i="21"/>
  <c r="E26" i="8" s="1"/>
  <c r="L26" i="21"/>
  <c r="L26" i="8" s="1"/>
  <c r="E29" i="21"/>
  <c r="E29" i="8" s="1"/>
  <c r="L29" i="21"/>
  <c r="L29" i="8" s="1"/>
  <c r="E32" i="21"/>
  <c r="E32" i="8" s="1"/>
  <c r="L32" i="21"/>
  <c r="L32" i="8" s="1"/>
  <c r="N41" i="21"/>
  <c r="N41" i="8" s="1"/>
  <c r="H41" i="21"/>
  <c r="H41" i="8" s="1"/>
  <c r="J41" i="21"/>
  <c r="J41" i="8" s="1"/>
  <c r="D42" i="21"/>
  <c r="K42" i="21"/>
  <c r="K42" i="8" s="1"/>
  <c r="E43" i="21"/>
  <c r="E43" i="8" s="1"/>
  <c r="M43" i="21"/>
  <c r="M43" i="8" s="1"/>
  <c r="M14" i="20"/>
  <c r="G14" i="20"/>
  <c r="N14" i="20"/>
  <c r="F14" i="20"/>
  <c r="J14" i="20"/>
  <c r="I14" i="20"/>
  <c r="H14" i="20"/>
  <c r="H15" i="20"/>
  <c r="F16" i="20"/>
  <c r="J17" i="20"/>
  <c r="H18" i="20"/>
  <c r="L19" i="20"/>
  <c r="M23" i="20"/>
  <c r="G23" i="20"/>
  <c r="N23" i="20"/>
  <c r="F23" i="20"/>
  <c r="J23" i="20"/>
  <c r="I23" i="20"/>
  <c r="H23" i="20"/>
  <c r="H24" i="20"/>
  <c r="F25" i="20"/>
  <c r="J26" i="20"/>
  <c r="H27" i="20"/>
  <c r="L28" i="20"/>
  <c r="K32" i="20"/>
  <c r="M41" i="20"/>
  <c r="M12" i="20"/>
  <c r="G12" i="20"/>
  <c r="I12" i="20"/>
  <c r="J12" i="20"/>
  <c r="H12" i="20"/>
  <c r="F12" i="20"/>
  <c r="E14" i="20"/>
  <c r="J15" i="20"/>
  <c r="L16" i="20"/>
  <c r="K17" i="20"/>
  <c r="N18" i="20"/>
  <c r="M21" i="20"/>
  <c r="G21" i="20"/>
  <c r="I21" i="20"/>
  <c r="J21" i="20"/>
  <c r="H21" i="20"/>
  <c r="F21" i="20"/>
  <c r="E23" i="20"/>
  <c r="J24" i="20"/>
  <c r="L25" i="20"/>
  <c r="K26" i="20"/>
  <c r="N27" i="20"/>
  <c r="M30" i="20"/>
  <c r="G30" i="20"/>
  <c r="I30" i="20"/>
  <c r="J30" i="20"/>
  <c r="H30" i="20"/>
  <c r="F30" i="20"/>
  <c r="L32" i="20"/>
  <c r="H43" i="20"/>
  <c r="E12" i="20"/>
  <c r="F13" i="20"/>
  <c r="K14" i="20"/>
  <c r="K15" i="20"/>
  <c r="N16" i="20"/>
  <c r="E21" i="20"/>
  <c r="F22" i="20"/>
  <c r="K23" i="20"/>
  <c r="K24" i="20"/>
  <c r="N25" i="20"/>
  <c r="E30" i="20"/>
  <c r="F31" i="20"/>
  <c r="I43" i="20"/>
  <c r="J45" i="20"/>
  <c r="D45" i="20"/>
  <c r="I45" i="20"/>
  <c r="H45" i="20"/>
  <c r="K45" i="20"/>
  <c r="G45" i="20"/>
  <c r="F45" i="20"/>
  <c r="N45" i="20"/>
  <c r="E45" i="20"/>
  <c r="E46" i="20"/>
  <c r="K12" i="20"/>
  <c r="H13" i="20"/>
  <c r="L14" i="20"/>
  <c r="K21" i="20"/>
  <c r="H22" i="20"/>
  <c r="L23" i="20"/>
  <c r="E29" i="20"/>
  <c r="K30" i="20"/>
  <c r="H31" i="20"/>
  <c r="I42" i="20"/>
  <c r="L45" i="20"/>
  <c r="F46" i="20"/>
  <c r="L12" i="20"/>
  <c r="I13" i="20"/>
  <c r="E18" i="20"/>
  <c r="I19" i="20"/>
  <c r="L21" i="20"/>
  <c r="I22" i="20"/>
  <c r="E27" i="20"/>
  <c r="I28" i="20"/>
  <c r="H29" i="20"/>
  <c r="L30" i="20"/>
  <c r="H33" i="20"/>
  <c r="J42" i="20"/>
  <c r="M45" i="20"/>
  <c r="N46" i="20"/>
  <c r="J46" i="20"/>
  <c r="H46" i="20"/>
  <c r="M46" i="20"/>
  <c r="I41" i="20"/>
  <c r="N31" i="20"/>
  <c r="E31" i="20"/>
  <c r="H28" i="20"/>
  <c r="J25" i="20"/>
  <c r="N22" i="20"/>
  <c r="E22" i="20"/>
  <c r="H19" i="20"/>
  <c r="J16" i="20"/>
  <c r="N13" i="20"/>
  <c r="E13" i="20"/>
  <c r="H10" i="20"/>
  <c r="J7" i="20"/>
  <c r="E47" i="20"/>
  <c r="L46" i="20"/>
  <c r="G41" i="20"/>
  <c r="L31" i="20"/>
  <c r="K29" i="20"/>
  <c r="F28" i="20"/>
  <c r="K27" i="20"/>
  <c r="I25" i="20"/>
  <c r="L22" i="20"/>
  <c r="F19" i="20"/>
  <c r="K18" i="20"/>
  <c r="I16" i="20"/>
  <c r="L13" i="20"/>
  <c r="K11" i="20"/>
  <c r="F10" i="20"/>
  <c r="K9" i="20"/>
  <c r="I7" i="20"/>
  <c r="K46" i="20"/>
  <c r="K43" i="20"/>
  <c r="F41" i="20"/>
  <c r="J31" i="20"/>
  <c r="J29" i="20"/>
  <c r="N28" i="20"/>
  <c r="E28" i="20"/>
  <c r="J27" i="20"/>
  <c r="H25" i="20"/>
  <c r="J22" i="20"/>
  <c r="N19" i="20"/>
  <c r="E19" i="20"/>
  <c r="J18" i="20"/>
  <c r="H16" i="20"/>
  <c r="J13" i="20"/>
  <c r="J11" i="20"/>
  <c r="N10" i="20"/>
  <c r="E10" i="20"/>
  <c r="J9" i="20"/>
  <c r="H7" i="20"/>
  <c r="G46" i="20"/>
  <c r="J43" i="20"/>
  <c r="N42" i="20"/>
  <c r="E41" i="20"/>
  <c r="K33" i="20"/>
  <c r="I31" i="20"/>
  <c r="E7" i="20"/>
  <c r="I8" i="20"/>
  <c r="F9" i="20"/>
  <c r="J10" i="20"/>
  <c r="I11" i="20"/>
  <c r="N12" i="20"/>
  <c r="E16" i="20"/>
  <c r="I17" i="20"/>
  <c r="F18" i="20"/>
  <c r="J19" i="20"/>
  <c r="N21" i="20"/>
  <c r="E25" i="20"/>
  <c r="I26" i="20"/>
  <c r="F27" i="20"/>
  <c r="J28" i="20"/>
  <c r="I29" i="20"/>
  <c r="N30" i="20"/>
  <c r="M32" i="20"/>
  <c r="G32" i="20"/>
  <c r="N32" i="20"/>
  <c r="F32" i="20"/>
  <c r="J32" i="20"/>
  <c r="I32" i="20"/>
  <c r="H32" i="20"/>
  <c r="E32" i="20"/>
  <c r="J33" i="20"/>
  <c r="L41" i="20"/>
  <c r="M8" i="20"/>
  <c r="G8" i="20"/>
  <c r="N8" i="20"/>
  <c r="F8" i="20"/>
  <c r="L8" i="20"/>
  <c r="M15" i="20"/>
  <c r="G15" i="20"/>
  <c r="I15" i="20"/>
  <c r="L15" i="20"/>
  <c r="M17" i="20"/>
  <c r="G17" i="20"/>
  <c r="N17" i="20"/>
  <c r="F17" i="20"/>
  <c r="L17" i="20"/>
  <c r="M24" i="20"/>
  <c r="G24" i="20"/>
  <c r="I24" i="20"/>
  <c r="L24" i="20"/>
  <c r="M26" i="20"/>
  <c r="G26" i="20"/>
  <c r="N26" i="20"/>
  <c r="F26" i="20"/>
  <c r="L26" i="20"/>
  <c r="M33" i="20"/>
  <c r="G33" i="20"/>
  <c r="I33" i="20"/>
  <c r="L33" i="20"/>
  <c r="M42" i="20"/>
  <c r="G42" i="20"/>
  <c r="L42" i="20"/>
  <c r="E42" i="20"/>
  <c r="K42" i="20"/>
  <c r="D42" i="20"/>
  <c r="E8" i="20"/>
  <c r="E15" i="20"/>
  <c r="N15" i="20"/>
  <c r="E17" i="20"/>
  <c r="E24" i="20"/>
  <c r="N24" i="20"/>
  <c r="E26" i="20"/>
  <c r="E33" i="20"/>
  <c r="N33" i="20"/>
  <c r="F42" i="20"/>
  <c r="L43" i="20"/>
  <c r="F43" i="20"/>
  <c r="N43" i="20"/>
  <c r="G43" i="20"/>
  <c r="M43" i="20"/>
  <c r="E43" i="20"/>
  <c r="H8" i="20"/>
  <c r="M9" i="20"/>
  <c r="G9" i="20"/>
  <c r="I9" i="20"/>
  <c r="L9" i="20"/>
  <c r="M11" i="20"/>
  <c r="G11" i="20"/>
  <c r="N11" i="20"/>
  <c r="F11" i="20"/>
  <c r="L11" i="20"/>
  <c r="F15" i="20"/>
  <c r="H17" i="20"/>
  <c r="M18" i="20"/>
  <c r="G18" i="20"/>
  <c r="I18" i="20"/>
  <c r="L18" i="20"/>
  <c r="F24" i="20"/>
  <c r="H26" i="20"/>
  <c r="M27" i="20"/>
  <c r="G27" i="20"/>
  <c r="I27" i="20"/>
  <c r="L27" i="20"/>
  <c r="M29" i="20"/>
  <c r="G29" i="20"/>
  <c r="N29" i="20"/>
  <c r="F29" i="20"/>
  <c r="L29" i="20"/>
  <c r="F33" i="20"/>
  <c r="H42" i="20"/>
  <c r="D43" i="20"/>
  <c r="E44" i="20"/>
  <c r="N41" i="20"/>
  <c r="H41" i="20"/>
  <c r="J41" i="20"/>
  <c r="M7" i="20"/>
  <c r="G7" i="20"/>
  <c r="K7" i="20"/>
  <c r="M10" i="20"/>
  <c r="G10" i="20"/>
  <c r="K10" i="20"/>
  <c r="M13" i="20"/>
  <c r="G13" i="20"/>
  <c r="K13" i="20"/>
  <c r="M16" i="20"/>
  <c r="G16" i="20"/>
  <c r="K16" i="20"/>
  <c r="M19" i="20"/>
  <c r="G19" i="20"/>
  <c r="K19" i="20"/>
  <c r="M22" i="20"/>
  <c r="G22" i="20"/>
  <c r="K22" i="20"/>
  <c r="M25" i="20"/>
  <c r="G25" i="20"/>
  <c r="K25" i="20"/>
  <c r="M28" i="20"/>
  <c r="G28" i="20"/>
  <c r="K28" i="20"/>
  <c r="M31" i="20"/>
  <c r="G31" i="20"/>
  <c r="K31" i="20"/>
  <c r="D41" i="20"/>
  <c r="K41" i="20"/>
  <c r="I46" i="20"/>
  <c r="L7" i="19"/>
  <c r="F7" i="19"/>
  <c r="I7" i="19"/>
  <c r="H7" i="19"/>
  <c r="I45" i="19"/>
  <c r="I42" i="19"/>
  <c r="J32" i="19"/>
  <c r="J30" i="19"/>
  <c r="G29" i="19"/>
  <c r="J27" i="19"/>
  <c r="J25" i="19"/>
  <c r="K23" i="19"/>
  <c r="H22" i="19"/>
  <c r="J18" i="19"/>
  <c r="G17" i="19"/>
  <c r="J15" i="19"/>
  <c r="J13" i="19"/>
  <c r="K11" i="19"/>
  <c r="H10" i="19"/>
  <c r="J8" i="19"/>
  <c r="G7" i="19"/>
  <c r="E9" i="19"/>
  <c r="E10" i="19"/>
  <c r="F12" i="19"/>
  <c r="G13" i="19"/>
  <c r="J14" i="19"/>
  <c r="G15" i="19"/>
  <c r="J16" i="19"/>
  <c r="K17" i="19"/>
  <c r="H18" i="19"/>
  <c r="K19" i="19"/>
  <c r="L21" i="19"/>
  <c r="L22" i="19"/>
  <c r="I23" i="19"/>
  <c r="M24" i="19"/>
  <c r="J29" i="19"/>
  <c r="L31" i="19"/>
  <c r="F31" i="19"/>
  <c r="I31" i="19"/>
  <c r="H31" i="19"/>
  <c r="G31" i="19"/>
  <c r="E33" i="19"/>
  <c r="F41" i="19"/>
  <c r="F42" i="19"/>
  <c r="L43" i="19"/>
  <c r="I29" i="19"/>
  <c r="E7" i="19"/>
  <c r="F8" i="19"/>
  <c r="J9" i="19"/>
  <c r="F10" i="19"/>
  <c r="G11" i="19"/>
  <c r="J12" i="19"/>
  <c r="H13" i="19"/>
  <c r="K14" i="19"/>
  <c r="I15" i="19"/>
  <c r="K16" i="19"/>
  <c r="L17" i="19"/>
  <c r="I18" i="19"/>
  <c r="M19" i="19"/>
  <c r="M22" i="19"/>
  <c r="M26" i="19"/>
  <c r="G26" i="19"/>
  <c r="I26" i="19"/>
  <c r="H26" i="19"/>
  <c r="F26" i="19"/>
  <c r="I28" i="19"/>
  <c r="G28" i="19"/>
  <c r="M28" i="19"/>
  <c r="F28" i="19"/>
  <c r="L28" i="19"/>
  <c r="E28" i="19"/>
  <c r="E29" i="19"/>
  <c r="E31" i="19"/>
  <c r="F32" i="19"/>
  <c r="J33" i="19"/>
  <c r="J41" i="19"/>
  <c r="G42" i="19"/>
  <c r="M43" i="19"/>
  <c r="K46" i="19"/>
  <c r="E46" i="19"/>
  <c r="J46" i="19"/>
  <c r="D46" i="19"/>
  <c r="I46" i="19"/>
  <c r="H46" i="19"/>
  <c r="G46" i="19"/>
  <c r="J7" i="19"/>
  <c r="H8" i="19"/>
  <c r="K9" i="19"/>
  <c r="G10" i="19"/>
  <c r="H11" i="19"/>
  <c r="L12" i="19"/>
  <c r="I13" i="19"/>
  <c r="L14" i="19"/>
  <c r="M15" i="19"/>
  <c r="M17" i="19"/>
  <c r="H21" i="19"/>
  <c r="I21" i="19"/>
  <c r="G21" i="19"/>
  <c r="M21" i="19"/>
  <c r="F21" i="19"/>
  <c r="K24" i="19"/>
  <c r="E24" i="19"/>
  <c r="I24" i="19"/>
  <c r="H24" i="19"/>
  <c r="G24" i="19"/>
  <c r="E26" i="19"/>
  <c r="F27" i="19"/>
  <c r="H28" i="19"/>
  <c r="F29" i="19"/>
  <c r="G30" i="19"/>
  <c r="J31" i="19"/>
  <c r="H32" i="19"/>
  <c r="K33" i="19"/>
  <c r="L41" i="19"/>
  <c r="H42" i="19"/>
  <c r="F46" i="19"/>
  <c r="K7" i="19"/>
  <c r="I8" i="19"/>
  <c r="L9" i="19"/>
  <c r="L10" i="19"/>
  <c r="I11" i="19"/>
  <c r="M12" i="19"/>
  <c r="J17" i="19"/>
  <c r="L19" i="19"/>
  <c r="F19" i="19"/>
  <c r="I19" i="19"/>
  <c r="H19" i="19"/>
  <c r="G19" i="19"/>
  <c r="E21" i="19"/>
  <c r="E22" i="19"/>
  <c r="F24" i="19"/>
  <c r="G25" i="19"/>
  <c r="J26" i="19"/>
  <c r="G27" i="19"/>
  <c r="J28" i="19"/>
  <c r="K29" i="19"/>
  <c r="H30" i="19"/>
  <c r="K31" i="19"/>
  <c r="I32" i="19"/>
  <c r="L33" i="19"/>
  <c r="M41" i="19"/>
  <c r="F45" i="19"/>
  <c r="L46" i="19"/>
  <c r="M7" i="19"/>
  <c r="M10" i="19"/>
  <c r="M14" i="19"/>
  <c r="G14" i="19"/>
  <c r="I14" i="19"/>
  <c r="H14" i="19"/>
  <c r="F14" i="19"/>
  <c r="I16" i="19"/>
  <c r="G16" i="19"/>
  <c r="M16" i="19"/>
  <c r="F16" i="19"/>
  <c r="L16" i="19"/>
  <c r="E16" i="19"/>
  <c r="E17" i="19"/>
  <c r="E19" i="19"/>
  <c r="J21" i="19"/>
  <c r="F22" i="19"/>
  <c r="G23" i="19"/>
  <c r="J24" i="19"/>
  <c r="H25" i="19"/>
  <c r="K26" i="19"/>
  <c r="I27" i="19"/>
  <c r="K28" i="19"/>
  <c r="L29" i="19"/>
  <c r="I30" i="19"/>
  <c r="M31" i="19"/>
  <c r="K41" i="19"/>
  <c r="E41" i="19"/>
  <c r="I41" i="19"/>
  <c r="H41" i="19"/>
  <c r="G41" i="19"/>
  <c r="K43" i="19"/>
  <c r="E43" i="19"/>
  <c r="J43" i="19"/>
  <c r="D43" i="19"/>
  <c r="I43" i="19"/>
  <c r="H43" i="19"/>
  <c r="G43" i="19"/>
  <c r="G45" i="19"/>
  <c r="M46" i="19"/>
  <c r="H9" i="19"/>
  <c r="I9" i="19"/>
  <c r="G9" i="19"/>
  <c r="M9" i="19"/>
  <c r="F9" i="19"/>
  <c r="K12" i="19"/>
  <c r="E12" i="19"/>
  <c r="I12" i="19"/>
  <c r="H12" i="19"/>
  <c r="G12" i="19"/>
  <c r="E14" i="19"/>
  <c r="F15" i="19"/>
  <c r="H16" i="19"/>
  <c r="F17" i="19"/>
  <c r="G18" i="19"/>
  <c r="J19" i="19"/>
  <c r="K21" i="19"/>
  <c r="G22" i="19"/>
  <c r="H23" i="19"/>
  <c r="L24" i="19"/>
  <c r="I25" i="19"/>
  <c r="L26" i="19"/>
  <c r="M27" i="19"/>
  <c r="M29" i="19"/>
  <c r="H33" i="19"/>
  <c r="I33" i="19"/>
  <c r="G33" i="19"/>
  <c r="M33" i="19"/>
  <c r="F33" i="19"/>
  <c r="D41" i="19"/>
  <c r="F43" i="19"/>
  <c r="H45" i="19"/>
  <c r="J11" i="19"/>
  <c r="J23" i="19"/>
  <c r="E44" i="19"/>
  <c r="D44" i="19"/>
  <c r="E47" i="19"/>
  <c r="D47" i="19"/>
  <c r="M8" i="19"/>
  <c r="G8" i="19"/>
  <c r="K8" i="19"/>
  <c r="J10" i="19"/>
  <c r="E11" i="19"/>
  <c r="L11" i="19"/>
  <c r="L13" i="19"/>
  <c r="F13" i="19"/>
  <c r="K13" i="19"/>
  <c r="H15" i="19"/>
  <c r="K15" i="19"/>
  <c r="H17" i="19"/>
  <c r="K18" i="19"/>
  <c r="E18" i="19"/>
  <c r="L18" i="19"/>
  <c r="J22" i="19"/>
  <c r="E23" i="19"/>
  <c r="L23" i="19"/>
  <c r="L25" i="19"/>
  <c r="F25" i="19"/>
  <c r="K25" i="19"/>
  <c r="H27" i="19"/>
  <c r="K27" i="19"/>
  <c r="H29" i="19"/>
  <c r="K30" i="19"/>
  <c r="E30" i="19"/>
  <c r="L30" i="19"/>
  <c r="M32" i="19"/>
  <c r="G32" i="19"/>
  <c r="K32" i="19"/>
  <c r="K42" i="19"/>
  <c r="E42" i="19"/>
  <c r="J42" i="19"/>
  <c r="L42" i="19"/>
  <c r="L45" i="19"/>
  <c r="E8" i="19"/>
  <c r="L8" i="19"/>
  <c r="I10" i="19"/>
  <c r="K10" i="19"/>
  <c r="F11" i="19"/>
  <c r="M11" i="19"/>
  <c r="E13" i="19"/>
  <c r="M13" i="19"/>
  <c r="E15" i="19"/>
  <c r="L15" i="19"/>
  <c r="I17" i="19"/>
  <c r="F18" i="19"/>
  <c r="M18" i="19"/>
  <c r="I22" i="19"/>
  <c r="K22" i="19"/>
  <c r="F23" i="19"/>
  <c r="M23" i="19"/>
  <c r="E25" i="19"/>
  <c r="M25" i="19"/>
  <c r="E27" i="19"/>
  <c r="L27" i="19"/>
  <c r="F30" i="19"/>
  <c r="M30" i="19"/>
  <c r="E32" i="19"/>
  <c r="L32" i="19"/>
  <c r="D42" i="19"/>
  <c r="M42" i="19"/>
  <c r="K45" i="19"/>
  <c r="E45" i="19"/>
  <c r="J45" i="19"/>
  <c r="D45" i="19"/>
  <c r="M45" i="19"/>
  <c r="G17" i="18"/>
  <c r="L17" i="18"/>
  <c r="E17" i="18"/>
  <c r="K17" i="18"/>
  <c r="H17" i="18"/>
  <c r="F17" i="18"/>
  <c r="K18" i="18"/>
  <c r="J19" i="18"/>
  <c r="K21" i="18"/>
  <c r="L22" i="18"/>
  <c r="K23" i="18"/>
  <c r="F26" i="18"/>
  <c r="L29" i="18"/>
  <c r="F43" i="18"/>
  <c r="E47" i="18"/>
  <c r="K16" i="18"/>
  <c r="E16" i="18"/>
  <c r="H16" i="18"/>
  <c r="I16" i="18"/>
  <c r="G16" i="18"/>
  <c r="I17" i="18"/>
  <c r="L18" i="18"/>
  <c r="K25" i="18"/>
  <c r="E25" i="18"/>
  <c r="H25" i="18"/>
  <c r="G25" i="18"/>
  <c r="L25" i="18"/>
  <c r="J25" i="18"/>
  <c r="H26" i="18"/>
  <c r="H31" i="18"/>
  <c r="I33" i="18"/>
  <c r="H33" i="18"/>
  <c r="F33" i="18"/>
  <c r="E33" i="18"/>
  <c r="K33" i="18"/>
  <c r="J33" i="18"/>
  <c r="G33" i="18"/>
  <c r="E41" i="18"/>
  <c r="E42" i="18"/>
  <c r="G45" i="18"/>
  <c r="E46" i="18"/>
  <c r="I9" i="18"/>
  <c r="H9" i="18"/>
  <c r="G9" i="18"/>
  <c r="F9" i="18"/>
  <c r="I12" i="18"/>
  <c r="F12" i="18"/>
  <c r="J12" i="18"/>
  <c r="H12" i="18"/>
  <c r="K13" i="18"/>
  <c r="E13" i="18"/>
  <c r="J13" i="18"/>
  <c r="G13" i="18"/>
  <c r="F13" i="18"/>
  <c r="F14" i="18"/>
  <c r="E15" i="18"/>
  <c r="F16" i="18"/>
  <c r="J17" i="18"/>
  <c r="F25" i="18"/>
  <c r="J28" i="18"/>
  <c r="L31" i="18"/>
  <c r="L33" i="18"/>
  <c r="J41" i="18"/>
  <c r="F42" i="18"/>
  <c r="E44" i="18"/>
  <c r="D44" i="18"/>
  <c r="H45" i="18"/>
  <c r="H46" i="18"/>
  <c r="G8" i="18"/>
  <c r="L8" i="18"/>
  <c r="E8" i="18"/>
  <c r="J8" i="18"/>
  <c r="I8" i="18"/>
  <c r="E9" i="18"/>
  <c r="H10" i="18"/>
  <c r="E11" i="18"/>
  <c r="E12" i="18"/>
  <c r="H13" i="18"/>
  <c r="I14" i="18"/>
  <c r="F15" i="18"/>
  <c r="J16" i="18"/>
  <c r="G21" i="18"/>
  <c r="F22" i="18"/>
  <c r="E23" i="18"/>
  <c r="E24" i="18"/>
  <c r="I25" i="18"/>
  <c r="I27" i="18"/>
  <c r="H27" i="18"/>
  <c r="G27" i="18"/>
  <c r="K27" i="18"/>
  <c r="J27" i="18"/>
  <c r="F27" i="18"/>
  <c r="J30" i="18"/>
  <c r="K41" i="18"/>
  <c r="I45" i="18"/>
  <c r="H42" i="18"/>
  <c r="H43" i="18"/>
  <c r="L42" i="18"/>
  <c r="J46" i="18"/>
  <c r="G43" i="18"/>
  <c r="K42" i="18"/>
  <c r="J24" i="18"/>
  <c r="I28" i="18"/>
  <c r="J26" i="18"/>
  <c r="L24" i="18"/>
  <c r="G19" i="18"/>
  <c r="J15" i="18"/>
  <c r="L43" i="18"/>
  <c r="J42" i="18"/>
  <c r="H28" i="18"/>
  <c r="I26" i="18"/>
  <c r="H24" i="18"/>
  <c r="L23" i="18"/>
  <c r="H15" i="18"/>
  <c r="K11" i="18"/>
  <c r="I46" i="18"/>
  <c r="J45" i="18"/>
  <c r="K43" i="18"/>
  <c r="G42" i="18"/>
  <c r="L41" i="18"/>
  <c r="G28" i="18"/>
  <c r="K7" i="18"/>
  <c r="E7" i="18"/>
  <c r="H7" i="18"/>
  <c r="L7" i="18"/>
  <c r="J7" i="18"/>
  <c r="F8" i="18"/>
  <c r="J9" i="18"/>
  <c r="I10" i="18"/>
  <c r="F11" i="18"/>
  <c r="G12" i="18"/>
  <c r="I13" i="18"/>
  <c r="J14" i="18"/>
  <c r="G15" i="18"/>
  <c r="L16" i="18"/>
  <c r="I18" i="18"/>
  <c r="H18" i="18"/>
  <c r="G18" i="18"/>
  <c r="F18" i="18"/>
  <c r="E18" i="18"/>
  <c r="H19" i="18"/>
  <c r="H21" i="18"/>
  <c r="G22" i="18"/>
  <c r="I23" i="18"/>
  <c r="F24" i="18"/>
  <c r="E27" i="18"/>
  <c r="G29" i="18"/>
  <c r="J29" i="18"/>
  <c r="I29" i="18"/>
  <c r="H29" i="18"/>
  <c r="F29" i="18"/>
  <c r="E29" i="18"/>
  <c r="K30" i="18"/>
  <c r="J43" i="18"/>
  <c r="I30" i="18"/>
  <c r="F30" i="18"/>
  <c r="L30" i="18"/>
  <c r="E30" i="18"/>
  <c r="K31" i="18"/>
  <c r="E31" i="18"/>
  <c r="J31" i="18"/>
  <c r="I31" i="18"/>
  <c r="G32" i="18"/>
  <c r="L32" i="18"/>
  <c r="F32" i="18"/>
  <c r="I32" i="18"/>
  <c r="H32" i="18"/>
  <c r="K10" i="18"/>
  <c r="E10" i="18"/>
  <c r="F10" i="18"/>
  <c r="G14" i="18"/>
  <c r="H14" i="18"/>
  <c r="L14" i="18"/>
  <c r="G30" i="18"/>
  <c r="F31" i="18"/>
  <c r="E32" i="18"/>
  <c r="H41" i="18"/>
  <c r="G41" i="18"/>
  <c r="I41" i="18"/>
  <c r="F41" i="18"/>
  <c r="G10" i="18"/>
  <c r="G11" i="18"/>
  <c r="J11" i="18"/>
  <c r="L11" i="18"/>
  <c r="E14" i="18"/>
  <c r="I21" i="18"/>
  <c r="F21" i="18"/>
  <c r="L21" i="18"/>
  <c r="E21" i="18"/>
  <c r="K22" i="18"/>
  <c r="E22" i="18"/>
  <c r="J22" i="18"/>
  <c r="I22" i="18"/>
  <c r="G23" i="18"/>
  <c r="H23" i="18"/>
  <c r="F23" i="18"/>
  <c r="H30" i="18"/>
  <c r="G31" i="18"/>
  <c r="J32" i="18"/>
  <c r="D41" i="18"/>
  <c r="K19" i="18"/>
  <c r="E19" i="18"/>
  <c r="L19" i="18"/>
  <c r="G26" i="18"/>
  <c r="K26" i="18"/>
  <c r="K28" i="18"/>
  <c r="E28" i="18"/>
  <c r="L28" i="18"/>
  <c r="I42" i="18"/>
  <c r="L45" i="18"/>
  <c r="F45" i="18"/>
  <c r="K45" i="18"/>
  <c r="E45" i="18"/>
  <c r="I15" i="18"/>
  <c r="K15" i="18"/>
  <c r="F19" i="18"/>
  <c r="I24" i="18"/>
  <c r="K24" i="18"/>
  <c r="E26" i="18"/>
  <c r="L26" i="18"/>
  <c r="F28" i="18"/>
  <c r="D45" i="18"/>
  <c r="G46" i="18"/>
  <c r="L46" i="18"/>
  <c r="F46" i="18"/>
  <c r="K46" i="18"/>
  <c r="I43" i="18"/>
  <c r="D43" i="18"/>
  <c r="G24" i="17"/>
  <c r="K24" i="17"/>
  <c r="F24" i="17"/>
  <c r="E24" i="17"/>
  <c r="I24" i="17"/>
  <c r="J24" i="17"/>
  <c r="H24" i="17"/>
  <c r="I28" i="17"/>
  <c r="F27" i="17"/>
  <c r="G29" i="17"/>
  <c r="K31" i="17"/>
  <c r="H18" i="17"/>
  <c r="J23" i="17"/>
  <c r="J30" i="17"/>
  <c r="E25" i="17"/>
  <c r="G12" i="17"/>
  <c r="F12" i="17"/>
  <c r="K12" i="17"/>
  <c r="E12" i="17"/>
  <c r="J12" i="17"/>
  <c r="I12" i="17"/>
  <c r="H12" i="17"/>
  <c r="K43" i="17"/>
  <c r="H14" i="17"/>
  <c r="I16" i="17"/>
  <c r="J18" i="17"/>
  <c r="I32" i="17"/>
  <c r="I46" i="17"/>
  <c r="E47" i="17"/>
  <c r="E11" i="17"/>
  <c r="I14" i="17"/>
  <c r="J16" i="17"/>
  <c r="K17" i="17"/>
  <c r="J21" i="17"/>
  <c r="G22" i="17"/>
  <c r="F22" i="17"/>
  <c r="K22" i="17"/>
  <c r="E22" i="17"/>
  <c r="I26" i="17"/>
  <c r="J28" i="17"/>
  <c r="J33" i="17"/>
  <c r="G42" i="17"/>
  <c r="K42" i="17"/>
  <c r="E42" i="17"/>
  <c r="F42" i="17"/>
  <c r="G45" i="17"/>
  <c r="E45" i="17"/>
  <c r="J45" i="17"/>
  <c r="F45" i="17"/>
  <c r="K45" i="17"/>
  <c r="G8" i="17"/>
  <c r="F8" i="17"/>
  <c r="K8" i="17"/>
  <c r="E8" i="17"/>
  <c r="H10" i="17"/>
  <c r="G13" i="17"/>
  <c r="K15" i="17"/>
  <c r="J19" i="17"/>
  <c r="E21" i="17"/>
  <c r="H22" i="17"/>
  <c r="G25" i="17"/>
  <c r="K27" i="17"/>
  <c r="J31" i="17"/>
  <c r="E46" i="17"/>
  <c r="G46" i="17"/>
  <c r="G43" i="17"/>
  <c r="H33" i="17"/>
  <c r="H29" i="17"/>
  <c r="H27" i="17"/>
  <c r="H23" i="17"/>
  <c r="H21" i="17"/>
  <c r="H15" i="17"/>
  <c r="H13" i="17"/>
  <c r="H9" i="17"/>
  <c r="H7" i="17"/>
  <c r="F46" i="17"/>
  <c r="I17" i="17"/>
  <c r="I15" i="17"/>
  <c r="I13" i="17"/>
  <c r="I11" i="17"/>
  <c r="I9" i="17"/>
  <c r="I7" i="17"/>
  <c r="H31" i="17"/>
  <c r="H25" i="17"/>
  <c r="H19" i="17"/>
  <c r="H17" i="17"/>
  <c r="H11" i="17"/>
  <c r="F9" i="17"/>
  <c r="I10" i="17"/>
  <c r="K13" i="17"/>
  <c r="J17" i="17"/>
  <c r="E19" i="17"/>
  <c r="G23" i="17"/>
  <c r="G30" i="17"/>
  <c r="K30" i="17"/>
  <c r="E30" i="17"/>
  <c r="F30" i="17"/>
  <c r="F33" i="17"/>
  <c r="F41" i="17"/>
  <c r="H42" i="17"/>
  <c r="E43" i="17"/>
  <c r="H45" i="17"/>
  <c r="J46" i="17"/>
  <c r="F7" i="17"/>
  <c r="I8" i="17"/>
  <c r="G9" i="17"/>
  <c r="K11" i="17"/>
  <c r="J15" i="17"/>
  <c r="G16" i="17"/>
  <c r="K16" i="17"/>
  <c r="E16" i="17"/>
  <c r="F16" i="17"/>
  <c r="E17" i="17"/>
  <c r="F19" i="17"/>
  <c r="G21" i="17"/>
  <c r="J22" i="17"/>
  <c r="K23" i="17"/>
  <c r="J27" i="17"/>
  <c r="G28" i="17"/>
  <c r="F28" i="17"/>
  <c r="K28" i="17"/>
  <c r="E28" i="17"/>
  <c r="E29" i="17"/>
  <c r="H30" i="17"/>
  <c r="F31" i="17"/>
  <c r="G33" i="17"/>
  <c r="G41" i="17"/>
  <c r="I42" i="17"/>
  <c r="F43" i="17"/>
  <c r="I45" i="17"/>
  <c r="K46" i="17"/>
  <c r="G10" i="17"/>
  <c r="K10" i="17"/>
  <c r="F10" i="17"/>
  <c r="E10" i="17"/>
  <c r="F13" i="17"/>
  <c r="G15" i="17"/>
  <c r="E23" i="17"/>
  <c r="F25" i="17"/>
  <c r="G27" i="17"/>
  <c r="K29" i="17"/>
  <c r="I43" i="17"/>
  <c r="E9" i="17"/>
  <c r="F11" i="17"/>
  <c r="J14" i="17"/>
  <c r="F23" i="17"/>
  <c r="J26" i="17"/>
  <c r="G32" i="17"/>
  <c r="F32" i="17"/>
  <c r="K32" i="17"/>
  <c r="E32" i="17"/>
  <c r="E33" i="17"/>
  <c r="K41" i="17"/>
  <c r="D42" i="17"/>
  <c r="E44" i="17"/>
  <c r="D45" i="17"/>
  <c r="E7" i="17"/>
  <c r="H8" i="17"/>
  <c r="G11" i="17"/>
  <c r="G18" i="17"/>
  <c r="K18" i="17"/>
  <c r="E18" i="17"/>
  <c r="F18" i="17"/>
  <c r="F21" i="17"/>
  <c r="I22" i="17"/>
  <c r="K25" i="17"/>
  <c r="J29" i="17"/>
  <c r="E31" i="17"/>
  <c r="H32" i="17"/>
  <c r="G7" i="17"/>
  <c r="J8" i="17"/>
  <c r="K9" i="17"/>
  <c r="J13" i="17"/>
  <c r="G14" i="17"/>
  <c r="F14" i="17"/>
  <c r="K14" i="17"/>
  <c r="E14" i="17"/>
  <c r="E15" i="17"/>
  <c r="H16" i="17"/>
  <c r="F17" i="17"/>
  <c r="I18" i="17"/>
  <c r="G19" i="17"/>
  <c r="K21" i="17"/>
  <c r="J25" i="17"/>
  <c r="G26" i="17"/>
  <c r="F26" i="17"/>
  <c r="K26" i="17"/>
  <c r="E26" i="17"/>
  <c r="E27" i="17"/>
  <c r="H28" i="17"/>
  <c r="F29" i="17"/>
  <c r="I30" i="17"/>
  <c r="G31" i="17"/>
  <c r="J32" i="17"/>
  <c r="K33" i="17"/>
  <c r="H41" i="17"/>
  <c r="J42" i="17"/>
  <c r="J43" i="17"/>
  <c r="I19" i="17"/>
  <c r="I21" i="17"/>
  <c r="I23" i="17"/>
  <c r="I25" i="17"/>
  <c r="I27" i="17"/>
  <c r="I29" i="17"/>
  <c r="I31" i="17"/>
  <c r="I33" i="17"/>
  <c r="D41" i="17"/>
  <c r="J41" i="17"/>
  <c r="H43" i="17"/>
  <c r="D44" i="17"/>
  <c r="H46" i="17"/>
  <c r="D47" i="17"/>
  <c r="I41" i="17"/>
  <c r="E41" i="17"/>
  <c r="F11" i="16"/>
  <c r="H11" i="16"/>
  <c r="G11" i="16"/>
  <c r="J11" i="16"/>
  <c r="I11" i="16"/>
  <c r="E11" i="16"/>
  <c r="E46" i="16"/>
  <c r="E45" i="16"/>
  <c r="I41" i="16"/>
  <c r="G33" i="16"/>
  <c r="G30" i="16"/>
  <c r="G27" i="16"/>
  <c r="J13" i="16"/>
  <c r="J18" i="16"/>
  <c r="J22" i="16"/>
  <c r="J27" i="16"/>
  <c r="G18" i="16"/>
  <c r="J30" i="16"/>
  <c r="H10" i="16"/>
  <c r="I10" i="16"/>
  <c r="G10" i="16"/>
  <c r="H12" i="16"/>
  <c r="F14" i="16"/>
  <c r="E14" i="16"/>
  <c r="H14" i="16"/>
  <c r="G14" i="16"/>
  <c r="H15" i="16"/>
  <c r="F17" i="16"/>
  <c r="E17" i="16"/>
  <c r="H17" i="16"/>
  <c r="G17" i="16"/>
  <c r="H18" i="16"/>
  <c r="H21" i="16"/>
  <c r="F23" i="16"/>
  <c r="E23" i="16"/>
  <c r="H23" i="16"/>
  <c r="G23" i="16"/>
  <c r="H24" i="16"/>
  <c r="F26" i="16"/>
  <c r="E26" i="16"/>
  <c r="H26" i="16"/>
  <c r="G26" i="16"/>
  <c r="H27" i="16"/>
  <c r="F29" i="16"/>
  <c r="E29" i="16"/>
  <c r="H29" i="16"/>
  <c r="G29" i="16"/>
  <c r="H30" i="16"/>
  <c r="F32" i="16"/>
  <c r="E32" i="16"/>
  <c r="H32" i="16"/>
  <c r="G32" i="16"/>
  <c r="H33" i="16"/>
  <c r="J41" i="16"/>
  <c r="G43" i="16"/>
  <c r="F43" i="16"/>
  <c r="E43" i="16"/>
  <c r="D43" i="16"/>
  <c r="H45" i="16"/>
  <c r="F46" i="16"/>
  <c r="E47" i="16"/>
  <c r="E10" i="16"/>
  <c r="I14" i="16"/>
  <c r="I17" i="16"/>
  <c r="I23" i="16"/>
  <c r="I26" i="16"/>
  <c r="I29" i="16"/>
  <c r="I32" i="16"/>
  <c r="H43" i="16"/>
  <c r="I45" i="16"/>
  <c r="G46" i="16"/>
  <c r="F10" i="16"/>
  <c r="H13" i="16"/>
  <c r="G13" i="16"/>
  <c r="F13" i="16"/>
  <c r="E13" i="16"/>
  <c r="J14" i="16"/>
  <c r="H16" i="16"/>
  <c r="G16" i="16"/>
  <c r="F16" i="16"/>
  <c r="E16" i="16"/>
  <c r="J17" i="16"/>
  <c r="H19" i="16"/>
  <c r="G19" i="16"/>
  <c r="F19" i="16"/>
  <c r="E19" i="16"/>
  <c r="H22" i="16"/>
  <c r="G22" i="16"/>
  <c r="F22" i="16"/>
  <c r="E22" i="16"/>
  <c r="J23" i="16"/>
  <c r="H25" i="16"/>
  <c r="G25" i="16"/>
  <c r="F25" i="16"/>
  <c r="E25" i="16"/>
  <c r="J26" i="16"/>
  <c r="H28" i="16"/>
  <c r="G28" i="16"/>
  <c r="F28" i="16"/>
  <c r="E28" i="16"/>
  <c r="J29" i="16"/>
  <c r="H31" i="16"/>
  <c r="G31" i="16"/>
  <c r="F31" i="16"/>
  <c r="E31" i="16"/>
  <c r="J32" i="16"/>
  <c r="J42" i="16"/>
  <c r="I43" i="16"/>
  <c r="J45" i="16"/>
  <c r="H46" i="16"/>
  <c r="I33" i="16"/>
  <c r="I30" i="16"/>
  <c r="I27" i="16"/>
  <c r="I24" i="16"/>
  <c r="I21" i="16"/>
  <c r="I18" i="16"/>
  <c r="I15" i="16"/>
  <c r="I12" i="16"/>
  <c r="E44" i="16"/>
  <c r="F42" i="16"/>
  <c r="F33" i="16"/>
  <c r="F30" i="16"/>
  <c r="F27" i="16"/>
  <c r="F24" i="16"/>
  <c r="F21" i="16"/>
  <c r="F18" i="16"/>
  <c r="F15" i="16"/>
  <c r="F12" i="16"/>
  <c r="I9" i="16"/>
  <c r="E42" i="16"/>
  <c r="E33" i="16"/>
  <c r="E30" i="16"/>
  <c r="E27" i="16"/>
  <c r="E24" i="16"/>
  <c r="E21" i="16"/>
  <c r="E18" i="16"/>
  <c r="E15" i="16"/>
  <c r="E12" i="16"/>
  <c r="H9" i="16"/>
  <c r="J8" i="16"/>
  <c r="G7" i="16"/>
  <c r="G8" i="16"/>
  <c r="F9" i="16"/>
  <c r="J10" i="16"/>
  <c r="I13" i="16"/>
  <c r="I16" i="16"/>
  <c r="I19" i="16"/>
  <c r="I22" i="16"/>
  <c r="I25" i="16"/>
  <c r="I28" i="16"/>
  <c r="I31" i="16"/>
  <c r="G41" i="16"/>
  <c r="F41" i="16"/>
  <c r="H41" i="16"/>
  <c r="E41" i="16"/>
  <c r="G42" i="16"/>
  <c r="J43" i="16"/>
  <c r="H7" i="16"/>
  <c r="G45" i="16"/>
  <c r="F45" i="16"/>
  <c r="E7" i="16"/>
  <c r="F8" i="16"/>
  <c r="D45" i="16"/>
  <c r="J46" i="16"/>
  <c r="I42" i="16"/>
  <c r="I46" i="16"/>
  <c r="D42" i="16"/>
  <c r="D46" i="16"/>
  <c r="H41" i="15"/>
  <c r="I33" i="15"/>
  <c r="I27" i="15"/>
  <c r="I21" i="15"/>
  <c r="I15" i="15"/>
  <c r="I9" i="15"/>
  <c r="H46" i="15"/>
  <c r="E27" i="15"/>
  <c r="F26" i="15"/>
  <c r="G21" i="15"/>
  <c r="E9" i="15"/>
  <c r="F8" i="15"/>
  <c r="G46" i="15"/>
  <c r="H33" i="15"/>
  <c r="I32" i="15"/>
  <c r="F21" i="15"/>
  <c r="H15" i="15"/>
  <c r="I14" i="15"/>
  <c r="E47" i="15"/>
  <c r="F46" i="15"/>
  <c r="I42" i="15"/>
  <c r="G41" i="15"/>
  <c r="G33" i="15"/>
  <c r="H32" i="15"/>
  <c r="E21" i="15"/>
  <c r="G15" i="15"/>
  <c r="H14" i="15"/>
  <c r="H43" i="15"/>
  <c r="H42" i="15"/>
  <c r="F41" i="15"/>
  <c r="F33" i="15"/>
  <c r="G32" i="15"/>
  <c r="H27" i="15"/>
  <c r="F9" i="15"/>
  <c r="G10" i="15"/>
  <c r="G14" i="15"/>
  <c r="I16" i="15"/>
  <c r="H16" i="15"/>
  <c r="G16" i="15"/>
  <c r="F17" i="15"/>
  <c r="H23" i="15"/>
  <c r="G23" i="15"/>
  <c r="I23" i="15"/>
  <c r="F23" i="15"/>
  <c r="F27" i="15"/>
  <c r="F31" i="15"/>
  <c r="E31" i="15"/>
  <c r="I31" i="15"/>
  <c r="H31" i="15"/>
  <c r="G31" i="15"/>
  <c r="E33" i="15"/>
  <c r="E5" i="15"/>
  <c r="G8" i="15"/>
  <c r="G9" i="15"/>
  <c r="F13" i="15"/>
  <c r="E13" i="15"/>
  <c r="I13" i="15"/>
  <c r="H13" i="15"/>
  <c r="E16" i="15"/>
  <c r="I17" i="15"/>
  <c r="E23" i="15"/>
  <c r="G26" i="15"/>
  <c r="G27" i="15"/>
  <c r="E42" i="15"/>
  <c r="I45" i="15"/>
  <c r="G7" i="15"/>
  <c r="H8" i="15"/>
  <c r="H9" i="15"/>
  <c r="G13" i="15"/>
  <c r="F16" i="15"/>
  <c r="I19" i="15"/>
  <c r="H21" i="15"/>
  <c r="G25" i="15"/>
  <c r="H26" i="15"/>
  <c r="I29" i="15"/>
  <c r="E32" i="15"/>
  <c r="H7" i="15"/>
  <c r="I8" i="15"/>
  <c r="I11" i="15"/>
  <c r="E15" i="15"/>
  <c r="G24" i="15"/>
  <c r="F24" i="15"/>
  <c r="I24" i="15"/>
  <c r="H25" i="15"/>
  <c r="I26" i="15"/>
  <c r="F32" i="15"/>
  <c r="E41" i="15"/>
  <c r="E44" i="15"/>
  <c r="I7" i="15"/>
  <c r="E14" i="15"/>
  <c r="F15" i="15"/>
  <c r="H18" i="15"/>
  <c r="I22" i="15"/>
  <c r="H22" i="15"/>
  <c r="G22" i="15"/>
  <c r="F22" i="15"/>
  <c r="E22" i="15"/>
  <c r="E24" i="15"/>
  <c r="I25" i="15"/>
  <c r="F28" i="15"/>
  <c r="F43" i="15"/>
  <c r="F10" i="15"/>
  <c r="G12" i="15"/>
  <c r="F12" i="15"/>
  <c r="I12" i="15"/>
  <c r="H12" i="15"/>
  <c r="E12" i="15"/>
  <c r="F14" i="15"/>
  <c r="E17" i="15"/>
  <c r="I18" i="15"/>
  <c r="H24" i="15"/>
  <c r="G28" i="15"/>
  <c r="G43" i="15"/>
  <c r="G30" i="15"/>
  <c r="F30" i="15"/>
  <c r="E46" i="15"/>
  <c r="H11" i="15"/>
  <c r="G11" i="15"/>
  <c r="F19" i="15"/>
  <c r="E19" i="15"/>
  <c r="H29" i="15"/>
  <c r="G29" i="15"/>
  <c r="E30" i="15"/>
  <c r="G45" i="15"/>
  <c r="F45" i="15"/>
  <c r="E45" i="15"/>
  <c r="E8" i="15"/>
  <c r="I10" i="15"/>
  <c r="H10" i="15"/>
  <c r="E11" i="15"/>
  <c r="G18" i="15"/>
  <c r="F18" i="15"/>
  <c r="G19" i="15"/>
  <c r="E26" i="15"/>
  <c r="I28" i="15"/>
  <c r="H28" i="15"/>
  <c r="E29" i="15"/>
  <c r="H30" i="15"/>
  <c r="D45" i="15"/>
  <c r="F7" i="15"/>
  <c r="E7" i="15"/>
  <c r="E10" i="15"/>
  <c r="F11" i="15"/>
  <c r="H17" i="15"/>
  <c r="G17" i="15"/>
  <c r="E18" i="15"/>
  <c r="H19" i="15"/>
  <c r="F25" i="15"/>
  <c r="E25" i="15"/>
  <c r="E28" i="15"/>
  <c r="F29" i="15"/>
  <c r="I30" i="15"/>
  <c r="I41" i="15"/>
  <c r="G42" i="15"/>
  <c r="F42" i="15"/>
  <c r="E43" i="15"/>
  <c r="D43" i="15"/>
  <c r="I43" i="15"/>
  <c r="H45" i="15"/>
  <c r="I46" i="15"/>
  <c r="D46" i="15"/>
  <c r="H42" i="14"/>
  <c r="E41" i="14"/>
  <c r="H10" i="14"/>
  <c r="G15" i="14"/>
  <c r="F15" i="14"/>
  <c r="H15" i="14"/>
  <c r="H19" i="14"/>
  <c r="G24" i="14"/>
  <c r="F24" i="14"/>
  <c r="H24" i="14"/>
  <c r="H28" i="14"/>
  <c r="G33" i="14"/>
  <c r="F33" i="14"/>
  <c r="H33" i="14"/>
  <c r="E15" i="14"/>
  <c r="E24" i="14"/>
  <c r="E33" i="14"/>
  <c r="H43" i="14"/>
  <c r="G9" i="14"/>
  <c r="F9" i="14"/>
  <c r="H9" i="14"/>
  <c r="H13" i="14"/>
  <c r="G18" i="14"/>
  <c r="F18" i="14"/>
  <c r="H18" i="14"/>
  <c r="H22" i="14"/>
  <c r="G27" i="14"/>
  <c r="F27" i="14"/>
  <c r="H27" i="14"/>
  <c r="H31" i="14"/>
  <c r="E9" i="14"/>
  <c r="E18" i="14"/>
  <c r="E27" i="14"/>
  <c r="H7" i="14"/>
  <c r="G12" i="14"/>
  <c r="F12" i="14"/>
  <c r="H12" i="14"/>
  <c r="H16" i="14"/>
  <c r="G21" i="14"/>
  <c r="F21" i="14"/>
  <c r="H21" i="14"/>
  <c r="H25" i="14"/>
  <c r="G30" i="14"/>
  <c r="F30" i="14"/>
  <c r="H30" i="14"/>
  <c r="E42" i="14"/>
  <c r="E47" i="14"/>
  <c r="H46" i="14"/>
  <c r="G8" i="14"/>
  <c r="F8" i="14"/>
  <c r="G11" i="14"/>
  <c r="F11" i="14"/>
  <c r="G14" i="14"/>
  <c r="F14" i="14"/>
  <c r="G17" i="14"/>
  <c r="F17" i="14"/>
  <c r="G23" i="14"/>
  <c r="F23" i="14"/>
  <c r="G26" i="14"/>
  <c r="F26" i="14"/>
  <c r="G29" i="14"/>
  <c r="F29" i="14"/>
  <c r="G32" i="14"/>
  <c r="F32" i="14"/>
  <c r="F41" i="14"/>
  <c r="E44" i="14"/>
  <c r="D44" i="14"/>
  <c r="E45" i="14"/>
  <c r="D47" i="14"/>
  <c r="E5" i="14"/>
  <c r="E8" i="14"/>
  <c r="E11" i="14"/>
  <c r="E14" i="14"/>
  <c r="E17" i="14"/>
  <c r="E23" i="14"/>
  <c r="E26" i="14"/>
  <c r="E29" i="14"/>
  <c r="E32" i="14"/>
  <c r="F43" i="14"/>
  <c r="E43" i="14"/>
  <c r="F45" i="14"/>
  <c r="E46" i="14"/>
  <c r="G7" i="14"/>
  <c r="F7" i="14"/>
  <c r="H8" i="14"/>
  <c r="G10" i="14"/>
  <c r="F10" i="14"/>
  <c r="H11" i="14"/>
  <c r="G13" i="14"/>
  <c r="F13" i="14"/>
  <c r="H14" i="14"/>
  <c r="G16" i="14"/>
  <c r="F16" i="14"/>
  <c r="H17" i="14"/>
  <c r="G19" i="14"/>
  <c r="F19" i="14"/>
  <c r="G22" i="14"/>
  <c r="F22" i="14"/>
  <c r="H23" i="14"/>
  <c r="G25" i="14"/>
  <c r="F25" i="14"/>
  <c r="H26" i="14"/>
  <c r="G28" i="14"/>
  <c r="F28" i="14"/>
  <c r="H29" i="14"/>
  <c r="G31" i="14"/>
  <c r="F31" i="14"/>
  <c r="H32" i="14"/>
  <c r="G42" i="14"/>
  <c r="F42" i="14"/>
  <c r="D43" i="14"/>
  <c r="G45" i="14"/>
  <c r="F46" i="14"/>
  <c r="E7" i="14"/>
  <c r="E10" i="14"/>
  <c r="E13" i="14"/>
  <c r="E16" i="14"/>
  <c r="E19" i="14"/>
  <c r="E22" i="14"/>
  <c r="E25" i="14"/>
  <c r="E28" i="14"/>
  <c r="E31" i="14"/>
  <c r="H41" i="14"/>
  <c r="G41" i="14"/>
  <c r="D42" i="14"/>
  <c r="G43" i="14"/>
  <c r="H45" i="14"/>
  <c r="G46" i="14"/>
  <c r="C49" i="12"/>
  <c r="B49" i="12"/>
  <c r="C48" i="12"/>
  <c r="B48" i="12"/>
  <c r="C47" i="12"/>
  <c r="B47" i="12"/>
  <c r="C46" i="12"/>
  <c r="B46" i="12"/>
  <c r="C45" i="12"/>
  <c r="B45" i="12"/>
  <c r="C44" i="12"/>
  <c r="D44" i="12" s="1"/>
  <c r="B44" i="12"/>
  <c r="C43" i="12"/>
  <c r="B43" i="12"/>
  <c r="C42" i="12"/>
  <c r="B42" i="12"/>
  <c r="C41" i="12"/>
  <c r="B41" i="12"/>
  <c r="C40" i="12"/>
  <c r="B40" i="12"/>
  <c r="D39" i="12"/>
  <c r="C39" i="12"/>
  <c r="B39" i="12"/>
  <c r="D38" i="12"/>
  <c r="C38" i="12"/>
  <c r="B38" i="12"/>
  <c r="D37" i="12"/>
  <c r="C37" i="12"/>
  <c r="B37" i="12"/>
  <c r="D36" i="12"/>
  <c r="C36" i="12"/>
  <c r="B36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E5" i="12" s="1"/>
  <c r="B5" i="12"/>
  <c r="E35" i="11"/>
  <c r="M6" i="18" l="1"/>
  <c r="Q31" i="8"/>
  <c r="Q22" i="8"/>
  <c r="Q16" i="8"/>
  <c r="Q18" i="8"/>
  <c r="Q19" i="8"/>
  <c r="N20" i="19"/>
  <c r="O20" i="20"/>
  <c r="I20" i="14"/>
  <c r="L6" i="17"/>
  <c r="F20" i="13"/>
  <c r="E20" i="13"/>
  <c r="J6" i="15"/>
  <c r="H20" i="13"/>
  <c r="N6" i="19"/>
  <c r="G6" i="13"/>
  <c r="H6" i="13"/>
  <c r="Q33" i="8"/>
  <c r="Q27" i="8"/>
  <c r="Q21" i="8"/>
  <c r="Q43" i="8"/>
  <c r="Q17" i="8"/>
  <c r="Q46" i="8"/>
  <c r="E34" i="13"/>
  <c r="E36" i="13" s="1"/>
  <c r="F35" i="13" s="1"/>
  <c r="F7" i="12"/>
  <c r="E7" i="12"/>
  <c r="G7" i="12"/>
  <c r="G13" i="12"/>
  <c r="F13" i="12"/>
  <c r="E13" i="12"/>
  <c r="G17" i="12"/>
  <c r="F17" i="12"/>
  <c r="E17" i="12"/>
  <c r="G21" i="12"/>
  <c r="F21" i="12"/>
  <c r="E21" i="12"/>
  <c r="F25" i="12"/>
  <c r="E25" i="12"/>
  <c r="G25" i="12"/>
  <c r="G29" i="12"/>
  <c r="F29" i="12"/>
  <c r="E29" i="12"/>
  <c r="F33" i="12"/>
  <c r="E33" i="12"/>
  <c r="G33" i="12"/>
  <c r="D41" i="12"/>
  <c r="G41" i="12"/>
  <c r="E41" i="12"/>
  <c r="F41" i="12"/>
  <c r="D43" i="12"/>
  <c r="E43" i="12"/>
  <c r="F43" i="12"/>
  <c r="G43" i="12"/>
  <c r="Q14" i="8"/>
  <c r="Q8" i="8"/>
  <c r="Q45" i="8"/>
  <c r="Q10" i="8"/>
  <c r="Q29" i="8"/>
  <c r="Q12" i="8"/>
  <c r="Q30" i="8"/>
  <c r="O20" i="21"/>
  <c r="O20" i="8" s="1"/>
  <c r="D45" i="12"/>
  <c r="F45" i="12"/>
  <c r="E45" i="12"/>
  <c r="G45" i="12"/>
  <c r="D47" i="12"/>
  <c r="E47" i="12"/>
  <c r="Q28" i="8"/>
  <c r="Q25" i="8"/>
  <c r="Q15" i="8"/>
  <c r="Q41" i="8"/>
  <c r="D5" i="9"/>
  <c r="Q13" i="8"/>
  <c r="P6" i="21"/>
  <c r="P6" i="8" s="1"/>
  <c r="Q11" i="8"/>
  <c r="D46" i="12"/>
  <c r="G46" i="12"/>
  <c r="F46" i="12"/>
  <c r="E46" i="12"/>
  <c r="G9" i="12"/>
  <c r="F9" i="12"/>
  <c r="E9" i="12"/>
  <c r="F11" i="12"/>
  <c r="E11" i="12"/>
  <c r="G11" i="12"/>
  <c r="F15" i="12"/>
  <c r="E15" i="12"/>
  <c r="G15" i="12"/>
  <c r="F19" i="12"/>
  <c r="E19" i="12"/>
  <c r="G19" i="12"/>
  <c r="G23" i="12"/>
  <c r="E23" i="12"/>
  <c r="F23" i="12"/>
  <c r="G27" i="12"/>
  <c r="F27" i="12"/>
  <c r="E27" i="12"/>
  <c r="G31" i="12"/>
  <c r="F31" i="12"/>
  <c r="E31" i="12"/>
  <c r="F8" i="12"/>
  <c r="E8" i="12"/>
  <c r="G8" i="12"/>
  <c r="G10" i="12"/>
  <c r="F10" i="12"/>
  <c r="E10" i="12"/>
  <c r="G12" i="12"/>
  <c r="F12" i="12"/>
  <c r="E12" i="12"/>
  <c r="G14" i="12"/>
  <c r="F14" i="12"/>
  <c r="E14" i="12"/>
  <c r="F16" i="12"/>
  <c r="G16" i="12"/>
  <c r="E16" i="12"/>
  <c r="G18" i="12"/>
  <c r="F18" i="12"/>
  <c r="E18" i="12"/>
  <c r="G22" i="12"/>
  <c r="F22" i="12"/>
  <c r="E22" i="12"/>
  <c r="F24" i="12"/>
  <c r="E24" i="12"/>
  <c r="G24" i="12"/>
  <c r="G26" i="12"/>
  <c r="F26" i="12"/>
  <c r="E26" i="12"/>
  <c r="F28" i="12"/>
  <c r="E28" i="12"/>
  <c r="G28" i="12"/>
  <c r="G30" i="12"/>
  <c r="F30" i="12"/>
  <c r="E30" i="12"/>
  <c r="F32" i="12"/>
  <c r="E32" i="12"/>
  <c r="G32" i="12"/>
  <c r="D42" i="12"/>
  <c r="G42" i="12"/>
  <c r="F42" i="12"/>
  <c r="E42" i="12"/>
  <c r="E44" i="12"/>
  <c r="Q32" i="8"/>
  <c r="Q26" i="8"/>
  <c r="Q7" i="8"/>
  <c r="Q42" i="8"/>
  <c r="Q23" i="8"/>
  <c r="Q9" i="8"/>
  <c r="Q24" i="8"/>
  <c r="O6" i="21"/>
  <c r="O6" i="8" s="1"/>
  <c r="G20" i="13"/>
  <c r="H6" i="16"/>
  <c r="J6" i="16"/>
  <c r="K6" i="17"/>
  <c r="I6" i="18"/>
  <c r="F6" i="20"/>
  <c r="F6" i="16"/>
  <c r="J20" i="16"/>
  <c r="E40" i="17"/>
  <c r="E20" i="14"/>
  <c r="G20" i="17"/>
  <c r="F6" i="21"/>
  <c r="F6" i="8" s="1"/>
  <c r="I6" i="16"/>
  <c r="J20" i="18"/>
  <c r="N6" i="20"/>
  <c r="H6" i="21"/>
  <c r="H6" i="8" s="1"/>
  <c r="H6" i="20"/>
  <c r="E40" i="16"/>
  <c r="F20" i="16"/>
  <c r="G20" i="16"/>
  <c r="L6" i="20"/>
  <c r="F20" i="21"/>
  <c r="F20" i="8" s="1"/>
  <c r="K6" i="21"/>
  <c r="K6" i="8" s="1"/>
  <c r="J6" i="21"/>
  <c r="J6" i="8" s="1"/>
  <c r="N20" i="21"/>
  <c r="N20" i="8" s="1"/>
  <c r="G6" i="21"/>
  <c r="G6" i="8" s="1"/>
  <c r="H20" i="21"/>
  <c r="H20" i="8" s="1"/>
  <c r="M6" i="21"/>
  <c r="M6" i="8" s="1"/>
  <c r="J20" i="21"/>
  <c r="J20" i="8" s="1"/>
  <c r="E40" i="21"/>
  <c r="E40" i="8" s="1"/>
  <c r="G20" i="21"/>
  <c r="G20" i="8" s="1"/>
  <c r="E6" i="21"/>
  <c r="E6" i="8" s="1"/>
  <c r="E20" i="21"/>
  <c r="E20" i="8" s="1"/>
  <c r="M20" i="21"/>
  <c r="M20" i="8" s="1"/>
  <c r="N6" i="21"/>
  <c r="N6" i="8" s="1"/>
  <c r="L6" i="21"/>
  <c r="L6" i="8" s="1"/>
  <c r="I20" i="21"/>
  <c r="I20" i="8" s="1"/>
  <c r="L20" i="21"/>
  <c r="L20" i="8" s="1"/>
  <c r="I6" i="21"/>
  <c r="I6" i="8" s="1"/>
  <c r="K20" i="21"/>
  <c r="K20" i="8" s="1"/>
  <c r="N20" i="20"/>
  <c r="L20" i="20"/>
  <c r="I6" i="20"/>
  <c r="J6" i="20"/>
  <c r="J20" i="20"/>
  <c r="K6" i="20"/>
  <c r="E6" i="20"/>
  <c r="K20" i="20"/>
  <c r="E20" i="20"/>
  <c r="I20" i="20"/>
  <c r="M6" i="20"/>
  <c r="M20" i="20"/>
  <c r="F20" i="20"/>
  <c r="H20" i="20"/>
  <c r="G6" i="20"/>
  <c r="E40" i="20"/>
  <c r="G20" i="20"/>
  <c r="K20" i="19"/>
  <c r="E40" i="19"/>
  <c r="F20" i="19"/>
  <c r="E6" i="19"/>
  <c r="M6" i="19"/>
  <c r="M20" i="19"/>
  <c r="H6" i="19"/>
  <c r="G20" i="19"/>
  <c r="J6" i="19"/>
  <c r="G6" i="19"/>
  <c r="I6" i="19"/>
  <c r="I20" i="19"/>
  <c r="L20" i="19"/>
  <c r="F6" i="19"/>
  <c r="J20" i="19"/>
  <c r="E20" i="19"/>
  <c r="K6" i="19"/>
  <c r="H20" i="19"/>
  <c r="L6" i="19"/>
  <c r="F6" i="18"/>
  <c r="E20" i="18"/>
  <c r="J6" i="18"/>
  <c r="G20" i="18"/>
  <c r="L20" i="18"/>
  <c r="L6" i="18"/>
  <c r="G6" i="18"/>
  <c r="F20" i="18"/>
  <c r="H20" i="18"/>
  <c r="H6" i="18"/>
  <c r="E40" i="18"/>
  <c r="I20" i="18"/>
  <c r="E6" i="18"/>
  <c r="K6" i="18"/>
  <c r="K20" i="18"/>
  <c r="F20" i="17"/>
  <c r="E6" i="17"/>
  <c r="H20" i="17"/>
  <c r="E20" i="17"/>
  <c r="I6" i="17"/>
  <c r="I20" i="17"/>
  <c r="G6" i="17"/>
  <c r="J20" i="17"/>
  <c r="K20" i="17"/>
  <c r="J6" i="17"/>
  <c r="F6" i="17"/>
  <c r="H6" i="17"/>
  <c r="G6" i="16"/>
  <c r="I20" i="16"/>
  <c r="E6" i="16"/>
  <c r="E20" i="16"/>
  <c r="H20" i="16"/>
  <c r="I6" i="15"/>
  <c r="F20" i="15"/>
  <c r="G20" i="15"/>
  <c r="H20" i="15"/>
  <c r="G6" i="15"/>
  <c r="I20" i="15"/>
  <c r="E6" i="15"/>
  <c r="H6" i="15"/>
  <c r="E20" i="15"/>
  <c r="F6" i="15"/>
  <c r="E40" i="15"/>
  <c r="G6" i="14"/>
  <c r="H20" i="14"/>
  <c r="E40" i="14"/>
  <c r="F20" i="14"/>
  <c r="H6" i="14"/>
  <c r="E6" i="14"/>
  <c r="E34" i="14" s="1"/>
  <c r="G20" i="14"/>
  <c r="F6" i="14"/>
  <c r="E38" i="13"/>
  <c r="E39" i="13"/>
  <c r="E49" i="13" s="1"/>
  <c r="D36" i="11"/>
  <c r="D37" i="11"/>
  <c r="D38" i="11"/>
  <c r="D39" i="11"/>
  <c r="E40" i="12" l="1"/>
  <c r="Q20" i="8"/>
  <c r="G20" i="12"/>
  <c r="E6" i="12"/>
  <c r="F6" i="12"/>
  <c r="Q6" i="8"/>
  <c r="E20" i="12"/>
  <c r="F20" i="12"/>
  <c r="G6" i="12"/>
  <c r="E34" i="21"/>
  <c r="E34" i="8" s="1"/>
  <c r="E34" i="15"/>
  <c r="E34" i="17"/>
  <c r="E36" i="21"/>
  <c r="E38" i="21"/>
  <c r="E38" i="8" s="1"/>
  <c r="E34" i="20"/>
  <c r="E34" i="19"/>
  <c r="E34" i="18"/>
  <c r="E36" i="17"/>
  <c r="F35" i="17" s="1"/>
  <c r="E34" i="16"/>
  <c r="E36" i="15"/>
  <c r="F35" i="15" s="1"/>
  <c r="E36" i="14"/>
  <c r="F35" i="14" s="1"/>
  <c r="F47" i="13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E34" i="12" l="1"/>
  <c r="E47" i="11"/>
  <c r="D47" i="11"/>
  <c r="F41" i="11"/>
  <c r="E41" i="11"/>
  <c r="D41" i="11"/>
  <c r="E33" i="11"/>
  <c r="F33" i="11"/>
  <c r="E25" i="11"/>
  <c r="F25" i="11"/>
  <c r="F19" i="11"/>
  <c r="E19" i="11"/>
  <c r="F13" i="11"/>
  <c r="E13" i="11"/>
  <c r="F45" i="11"/>
  <c r="E45" i="11"/>
  <c r="D45" i="11"/>
  <c r="F43" i="11"/>
  <c r="E43" i="11"/>
  <c r="D43" i="11"/>
  <c r="F31" i="11"/>
  <c r="E31" i="11"/>
  <c r="F29" i="11"/>
  <c r="E29" i="11"/>
  <c r="F27" i="11"/>
  <c r="E27" i="11"/>
  <c r="F23" i="11"/>
  <c r="E23" i="11"/>
  <c r="F21" i="11"/>
  <c r="E21" i="11"/>
  <c r="E17" i="11"/>
  <c r="F17" i="11"/>
  <c r="F15" i="11"/>
  <c r="E15" i="11"/>
  <c r="F11" i="11"/>
  <c r="E11" i="11"/>
  <c r="E9" i="11"/>
  <c r="F9" i="11"/>
  <c r="F7" i="11"/>
  <c r="E7" i="11"/>
  <c r="F35" i="21"/>
  <c r="F35" i="8" s="1"/>
  <c r="E36" i="8"/>
  <c r="F46" i="11"/>
  <c r="E46" i="11"/>
  <c r="D46" i="11"/>
  <c r="E44" i="11"/>
  <c r="D44" i="11"/>
  <c r="E42" i="11"/>
  <c r="F42" i="11"/>
  <c r="D42" i="11"/>
  <c r="F32" i="11"/>
  <c r="E32" i="11"/>
  <c r="F30" i="11"/>
  <c r="E30" i="11"/>
  <c r="F28" i="11"/>
  <c r="E28" i="11"/>
  <c r="E26" i="11"/>
  <c r="F26" i="11"/>
  <c r="F24" i="11"/>
  <c r="E24" i="11"/>
  <c r="F22" i="11"/>
  <c r="E22" i="11"/>
  <c r="E18" i="11"/>
  <c r="F18" i="11"/>
  <c r="F16" i="11"/>
  <c r="E16" i="11"/>
  <c r="F14" i="11"/>
  <c r="E14" i="11"/>
  <c r="F12" i="11"/>
  <c r="E12" i="11"/>
  <c r="E10" i="11"/>
  <c r="F10" i="11"/>
  <c r="F8" i="11"/>
  <c r="E8" i="11"/>
  <c r="E39" i="21"/>
  <c r="E38" i="14"/>
  <c r="E39" i="15"/>
  <c r="E38" i="15"/>
  <c r="E36" i="20"/>
  <c r="F35" i="20" s="1"/>
  <c r="E36" i="19"/>
  <c r="F35" i="19" s="1"/>
  <c r="E36" i="18"/>
  <c r="F35" i="18" s="1"/>
  <c r="E39" i="17"/>
  <c r="E49" i="17" s="1"/>
  <c r="E38" i="17"/>
  <c r="E36" i="16"/>
  <c r="F35" i="16" s="1"/>
  <c r="E39" i="14"/>
  <c r="E49" i="14" s="1"/>
  <c r="E5" i="11"/>
  <c r="E36" i="12" l="1"/>
  <c r="E39" i="12" s="1"/>
  <c r="E49" i="12" s="1"/>
  <c r="F47" i="12" s="1"/>
  <c r="E49" i="15"/>
  <c r="F47" i="15" s="1"/>
  <c r="E38" i="20"/>
  <c r="E39" i="8"/>
  <c r="E49" i="21"/>
  <c r="E49" i="8" s="1"/>
  <c r="D7" i="9" s="1"/>
  <c r="E40" i="11"/>
  <c r="E39" i="16"/>
  <c r="E38" i="19"/>
  <c r="E38" i="16"/>
  <c r="E39" i="19"/>
  <c r="E39" i="20"/>
  <c r="E39" i="18"/>
  <c r="E49" i="18" s="1"/>
  <c r="E38" i="18"/>
  <c r="F47" i="17"/>
  <c r="F47" i="14"/>
  <c r="E20" i="11"/>
  <c r="F6" i="11"/>
  <c r="F20" i="11"/>
  <c r="E6" i="11"/>
  <c r="F35" i="12" l="1"/>
  <c r="E38" i="12"/>
  <c r="E49" i="19"/>
  <c r="F47" i="19" s="1"/>
  <c r="E49" i="20"/>
  <c r="F47" i="20" s="1"/>
  <c r="E49" i="16"/>
  <c r="F47" i="16" s="1"/>
  <c r="F47" i="18"/>
  <c r="E34" i="11"/>
  <c r="E36" i="11" s="1"/>
  <c r="F35" i="11" s="1"/>
  <c r="E39" i="11" l="1"/>
  <c r="E38" i="11"/>
  <c r="E49" i="11" l="1"/>
  <c r="F47" i="11" s="1"/>
  <c r="E35" i="7"/>
  <c r="B35" i="7"/>
  <c r="C35" i="7"/>
  <c r="F5" i="11" l="1"/>
  <c r="F34" i="11" s="1"/>
  <c r="F5" i="19"/>
  <c r="F34" i="19" s="1"/>
  <c r="F5" i="20"/>
  <c r="F34" i="20" s="1"/>
  <c r="F5" i="12"/>
  <c r="F34" i="12" s="1"/>
  <c r="F5" i="13"/>
  <c r="F34" i="13" s="1"/>
  <c r="F5" i="17"/>
  <c r="F34" i="17" s="1"/>
  <c r="F5" i="21"/>
  <c r="F5" i="18"/>
  <c r="F34" i="18" s="1"/>
  <c r="F5" i="16"/>
  <c r="F34" i="16" s="1"/>
  <c r="F5" i="14"/>
  <c r="F34" i="14" s="1"/>
  <c r="F5" i="15"/>
  <c r="F34" i="15" s="1"/>
  <c r="F34" i="21" l="1"/>
  <c r="F34" i="8" s="1"/>
  <c r="F5" i="8"/>
  <c r="F36" i="15"/>
  <c r="G35" i="15" s="1"/>
  <c r="F36" i="12"/>
  <c r="G35" i="12" s="1"/>
  <c r="F36" i="16"/>
  <c r="G35" i="16" s="1"/>
  <c r="F37" i="16"/>
  <c r="G5" i="19"/>
  <c r="G34" i="19" s="1"/>
  <c r="G5" i="17"/>
  <c r="G34" i="17" s="1"/>
  <c r="G5" i="13"/>
  <c r="G34" i="13" s="1"/>
  <c r="G5" i="12"/>
  <c r="G34" i="12" s="1"/>
  <c r="G5" i="15"/>
  <c r="G34" i="15" s="1"/>
  <c r="G5" i="20"/>
  <c r="G34" i="20" s="1"/>
  <c r="G5" i="14"/>
  <c r="G34" i="14" s="1"/>
  <c r="G5" i="16"/>
  <c r="G34" i="16" s="1"/>
  <c r="G5" i="18"/>
  <c r="G34" i="18" s="1"/>
  <c r="G5" i="21"/>
  <c r="F36" i="17"/>
  <c r="G35" i="17" s="1"/>
  <c r="F36" i="13"/>
  <c r="G35" i="13" s="1"/>
  <c r="F36" i="14"/>
  <c r="G35" i="14" s="1"/>
  <c r="F36" i="20"/>
  <c r="G35" i="20" s="1"/>
  <c r="F36" i="18"/>
  <c r="G35" i="18" s="1"/>
  <c r="F36" i="19"/>
  <c r="G35" i="19" s="1"/>
  <c r="F36" i="11"/>
  <c r="F37" i="11" s="1"/>
  <c r="B47" i="7"/>
  <c r="C47" i="7"/>
  <c r="B48" i="7"/>
  <c r="C48" i="7"/>
  <c r="B49" i="7"/>
  <c r="C4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39" i="7"/>
  <c r="C39" i="7"/>
  <c r="D39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6" i="7"/>
  <c r="C36" i="7"/>
  <c r="D36" i="7"/>
  <c r="B37" i="7"/>
  <c r="C37" i="7"/>
  <c r="D37" i="7"/>
  <c r="B38" i="7"/>
  <c r="C38" i="7"/>
  <c r="D38" i="7"/>
  <c r="C5" i="7"/>
  <c r="E5" i="7" s="1"/>
  <c r="B5" i="7"/>
  <c r="F36" i="21" l="1"/>
  <c r="F38" i="15"/>
  <c r="F37" i="14"/>
  <c r="D44" i="7"/>
  <c r="E44" i="7"/>
  <c r="D45" i="7"/>
  <c r="E45" i="7"/>
  <c r="D43" i="7"/>
  <c r="E43" i="7"/>
  <c r="D41" i="7"/>
  <c r="E41" i="7"/>
  <c r="D47" i="7"/>
  <c r="E47" i="7"/>
  <c r="E5" i="9"/>
  <c r="D46" i="7"/>
  <c r="E46" i="7"/>
  <c r="D42" i="7"/>
  <c r="E42" i="7"/>
  <c r="G34" i="21"/>
  <c r="G34" i="8" s="1"/>
  <c r="G5" i="8"/>
  <c r="F5" i="9" s="1"/>
  <c r="G35" i="21"/>
  <c r="G35" i="8" s="1"/>
  <c r="F36" i="8"/>
  <c r="F39" i="15"/>
  <c r="F38" i="18"/>
  <c r="F39" i="18"/>
  <c r="F38" i="16"/>
  <c r="F38" i="19"/>
  <c r="F38" i="20"/>
  <c r="F39" i="17"/>
  <c r="F37" i="21"/>
  <c r="F37" i="8" s="1"/>
  <c r="F39" i="12"/>
  <c r="F37" i="18"/>
  <c r="F39" i="13"/>
  <c r="F39" i="16"/>
  <c r="F37" i="15"/>
  <c r="F37" i="17"/>
  <c r="F38" i="17"/>
  <c r="G36" i="18"/>
  <c r="H35" i="18" s="1"/>
  <c r="F39" i="20"/>
  <c r="F38" i="13"/>
  <c r="F39" i="21"/>
  <c r="F39" i="8" s="1"/>
  <c r="G36" i="12"/>
  <c r="G39" i="12" s="1"/>
  <c r="F37" i="20"/>
  <c r="F37" i="13"/>
  <c r="F38" i="21"/>
  <c r="F38" i="8" s="1"/>
  <c r="G36" i="17"/>
  <c r="H35" i="17" s="1"/>
  <c r="F38" i="12"/>
  <c r="G36" i="19"/>
  <c r="H35" i="19" s="1"/>
  <c r="G36" i="14"/>
  <c r="G39" i="14" s="1"/>
  <c r="H5" i="13"/>
  <c r="H34" i="13" s="1"/>
  <c r="H5" i="17"/>
  <c r="H34" i="17" s="1"/>
  <c r="H5" i="19"/>
  <c r="H34" i="19" s="1"/>
  <c r="H5" i="18"/>
  <c r="H34" i="18" s="1"/>
  <c r="H5" i="16"/>
  <c r="H34" i="16" s="1"/>
  <c r="H5" i="15"/>
  <c r="H34" i="15" s="1"/>
  <c r="H5" i="20"/>
  <c r="H34" i="20" s="1"/>
  <c r="H5" i="14"/>
  <c r="H34" i="14" s="1"/>
  <c r="H5" i="21"/>
  <c r="G36" i="20"/>
  <c r="H35" i="20" s="1"/>
  <c r="G36" i="16"/>
  <c r="H35" i="16" s="1"/>
  <c r="F37" i="19"/>
  <c r="F38" i="14"/>
  <c r="F39" i="19"/>
  <c r="F39" i="14"/>
  <c r="G36" i="13"/>
  <c r="H35" i="13" s="1"/>
  <c r="H36" i="13" s="1"/>
  <c r="H37" i="13" s="1"/>
  <c r="G39" i="18"/>
  <c r="G36" i="21"/>
  <c r="F37" i="12"/>
  <c r="G36" i="15"/>
  <c r="H35" i="15" s="1"/>
  <c r="E8" i="7"/>
  <c r="E14" i="7"/>
  <c r="E21" i="7"/>
  <c r="E27" i="7"/>
  <c r="E33" i="7"/>
  <c r="E22" i="7"/>
  <c r="E16" i="7"/>
  <c r="E29" i="7"/>
  <c r="E11" i="7"/>
  <c r="E24" i="7"/>
  <c r="E12" i="7"/>
  <c r="E25" i="7"/>
  <c r="E7" i="7"/>
  <c r="E19" i="7"/>
  <c r="E32" i="7"/>
  <c r="E9" i="7"/>
  <c r="E15" i="7"/>
  <c r="E28" i="7"/>
  <c r="E10" i="7"/>
  <c r="E23" i="7"/>
  <c r="E17" i="7"/>
  <c r="E30" i="7"/>
  <c r="E18" i="7"/>
  <c r="E31" i="7"/>
  <c r="E13" i="7"/>
  <c r="E26" i="7"/>
  <c r="F39" i="11"/>
  <c r="F38" i="11"/>
  <c r="E40" i="7" l="1"/>
  <c r="G39" i="21"/>
  <c r="G39" i="8" s="1"/>
  <c r="G36" i="8"/>
  <c r="H34" i="21"/>
  <c r="H34" i="8" s="1"/>
  <c r="H5" i="8"/>
  <c r="H35" i="14"/>
  <c r="H35" i="21"/>
  <c r="H35" i="8" s="1"/>
  <c r="G37" i="17"/>
  <c r="H36" i="18"/>
  <c r="I35" i="18" s="1"/>
  <c r="G38" i="14"/>
  <c r="G37" i="20"/>
  <c r="G39" i="20"/>
  <c r="G37" i="18"/>
  <c r="G38" i="20"/>
  <c r="G38" i="18"/>
  <c r="G37" i="19"/>
  <c r="G38" i="15"/>
  <c r="G39" i="15"/>
  <c r="G37" i="15"/>
  <c r="G38" i="19"/>
  <c r="G39" i="19"/>
  <c r="G37" i="12"/>
  <c r="G38" i="12"/>
  <c r="G37" i="14"/>
  <c r="H36" i="20"/>
  <c r="H38" i="20" s="1"/>
  <c r="H36" i="16"/>
  <c r="I35" i="16" s="1"/>
  <c r="H36" i="21"/>
  <c r="H36" i="17"/>
  <c r="H37" i="17" s="1"/>
  <c r="G38" i="21"/>
  <c r="G38" i="8" s="1"/>
  <c r="G37" i="16"/>
  <c r="I5" i="19"/>
  <c r="I34" i="19" s="1"/>
  <c r="I5" i="17"/>
  <c r="I34" i="17" s="1"/>
  <c r="I5" i="14"/>
  <c r="I34" i="14" s="1"/>
  <c r="I5" i="16"/>
  <c r="I34" i="16" s="1"/>
  <c r="I5" i="20"/>
  <c r="I34" i="20" s="1"/>
  <c r="I5" i="21"/>
  <c r="I5" i="15"/>
  <c r="I34" i="15" s="1"/>
  <c r="I5" i="18"/>
  <c r="I34" i="18" s="1"/>
  <c r="H36" i="19"/>
  <c r="I35" i="19" s="1"/>
  <c r="G37" i="21"/>
  <c r="G37" i="8" s="1"/>
  <c r="G38" i="16"/>
  <c r="G37" i="13"/>
  <c r="G39" i="17"/>
  <c r="H36" i="14"/>
  <c r="H38" i="14" s="1"/>
  <c r="G39" i="16"/>
  <c r="G38" i="13"/>
  <c r="H39" i="13"/>
  <c r="H38" i="13"/>
  <c r="H36" i="15"/>
  <c r="H39" i="15" s="1"/>
  <c r="G39" i="13"/>
  <c r="G38" i="17"/>
  <c r="E20" i="7"/>
  <c r="E34" i="7" s="1"/>
  <c r="E6" i="7"/>
  <c r="I35" i="20" l="1"/>
  <c r="I35" i="21"/>
  <c r="I35" i="8" s="1"/>
  <c r="H36" i="8"/>
  <c r="I34" i="21"/>
  <c r="I34" i="8" s="1"/>
  <c r="I5" i="8"/>
  <c r="H5" i="9" s="1"/>
  <c r="G5" i="9"/>
  <c r="I35" i="15"/>
  <c r="I36" i="15" s="1"/>
  <c r="J35" i="15" s="1"/>
  <c r="I35" i="14"/>
  <c r="H38" i="18"/>
  <c r="H37" i="18"/>
  <c r="H39" i="18"/>
  <c r="I35" i="17"/>
  <c r="I36" i="17" s="1"/>
  <c r="H39" i="17"/>
  <c r="H38" i="21"/>
  <c r="H38" i="8" s="1"/>
  <c r="H37" i="15"/>
  <c r="H39" i="21"/>
  <c r="H39" i="8" s="1"/>
  <c r="H38" i="19"/>
  <c r="H37" i="21"/>
  <c r="H37" i="8" s="1"/>
  <c r="H39" i="20"/>
  <c r="I36" i="19"/>
  <c r="I39" i="19" s="1"/>
  <c r="I36" i="16"/>
  <c r="I39" i="16" s="1"/>
  <c r="I36" i="20"/>
  <c r="J35" i="20" s="1"/>
  <c r="H37" i="16"/>
  <c r="I37" i="19"/>
  <c r="J5" i="18"/>
  <c r="J34" i="18" s="1"/>
  <c r="J5" i="15"/>
  <c r="J34" i="15" s="1"/>
  <c r="J5" i="21"/>
  <c r="J5" i="16"/>
  <c r="J34" i="16" s="1"/>
  <c r="J5" i="20"/>
  <c r="J34" i="20" s="1"/>
  <c r="J5" i="19"/>
  <c r="J34" i="19" s="1"/>
  <c r="J5" i="17"/>
  <c r="J34" i="17" s="1"/>
  <c r="H39" i="14"/>
  <c r="H38" i="17"/>
  <c r="H37" i="19"/>
  <c r="H38" i="16"/>
  <c r="H38" i="15"/>
  <c r="H37" i="20"/>
  <c r="H37" i="14"/>
  <c r="I36" i="14"/>
  <c r="I39" i="14" s="1"/>
  <c r="H39" i="16"/>
  <c r="H39" i="19"/>
  <c r="I36" i="18"/>
  <c r="J35" i="18" s="1"/>
  <c r="E36" i="7"/>
  <c r="E37" i="7" s="1"/>
  <c r="E37" i="14"/>
  <c r="E37" i="20"/>
  <c r="E37" i="19"/>
  <c r="E37" i="17"/>
  <c r="E37" i="11"/>
  <c r="E37" i="13"/>
  <c r="E37" i="12"/>
  <c r="E37" i="18"/>
  <c r="E37" i="16"/>
  <c r="E37" i="21"/>
  <c r="E37" i="15"/>
  <c r="J35" i="16" l="1"/>
  <c r="I36" i="21"/>
  <c r="J34" i="21"/>
  <c r="J34" i="8" s="1"/>
  <c r="J5" i="8"/>
  <c r="E37" i="8"/>
  <c r="J35" i="17"/>
  <c r="I39" i="17"/>
  <c r="I38" i="17"/>
  <c r="J35" i="19"/>
  <c r="J36" i="19" s="1"/>
  <c r="K35" i="19" s="1"/>
  <c r="J36" i="15"/>
  <c r="J38" i="15" s="1"/>
  <c r="I39" i="21"/>
  <c r="I39" i="8" s="1"/>
  <c r="I38" i="19"/>
  <c r="I37" i="16"/>
  <c r="I38" i="20"/>
  <c r="I38" i="16"/>
  <c r="I37" i="15"/>
  <c r="E48" i="21"/>
  <c r="E48" i="8" s="1"/>
  <c r="D6" i="9" s="1"/>
  <c r="D9" i="9" s="1"/>
  <c r="F7" i="10" s="1"/>
  <c r="E48" i="20"/>
  <c r="E48" i="19"/>
  <c r="E48" i="18"/>
  <c r="E48" i="17"/>
  <c r="E48" i="16"/>
  <c r="E48" i="15"/>
  <c r="E48" i="14"/>
  <c r="F44" i="14" s="1"/>
  <c r="E48" i="13"/>
  <c r="E48" i="12"/>
  <c r="F44" i="12" s="1"/>
  <c r="J36" i="20"/>
  <c r="J39" i="20" s="1"/>
  <c r="J36" i="17"/>
  <c r="J37" i="17" s="1"/>
  <c r="J36" i="18"/>
  <c r="J37" i="18" s="1"/>
  <c r="I37" i="20"/>
  <c r="J36" i="16"/>
  <c r="K35" i="16" s="1"/>
  <c r="I37" i="17"/>
  <c r="I37" i="14"/>
  <c r="K5" i="17"/>
  <c r="K34" i="17" s="1"/>
  <c r="K5" i="19"/>
  <c r="K34" i="19" s="1"/>
  <c r="K5" i="18"/>
  <c r="K34" i="18" s="1"/>
  <c r="K5" i="20"/>
  <c r="K34" i="20" s="1"/>
  <c r="K5" i="16"/>
  <c r="K34" i="16" s="1"/>
  <c r="K5" i="21"/>
  <c r="I38" i="18"/>
  <c r="I38" i="14"/>
  <c r="I37" i="21"/>
  <c r="I37" i="8" s="1"/>
  <c r="I39" i="15"/>
  <c r="I37" i="18"/>
  <c r="I38" i="21"/>
  <c r="I38" i="8" s="1"/>
  <c r="I38" i="15"/>
  <c r="I39" i="20"/>
  <c r="I39" i="18"/>
  <c r="E48" i="11"/>
  <c r="F44" i="11" s="1"/>
  <c r="E39" i="7"/>
  <c r="E49" i="7" s="1"/>
  <c r="E38" i="7"/>
  <c r="E48" i="7" s="1"/>
  <c r="K36" i="16" l="1"/>
  <c r="K38" i="16" s="1"/>
  <c r="K35" i="18"/>
  <c r="K34" i="21"/>
  <c r="K34" i="8" s="1"/>
  <c r="K5" i="8"/>
  <c r="J5" i="9" s="1"/>
  <c r="I5" i="9"/>
  <c r="J35" i="21"/>
  <c r="I36" i="8"/>
  <c r="F40" i="11"/>
  <c r="F49" i="11"/>
  <c r="F49" i="12"/>
  <c r="G47" i="12" s="1"/>
  <c r="F49" i="14"/>
  <c r="F47" i="21"/>
  <c r="F47" i="8" s="1"/>
  <c r="J38" i="20"/>
  <c r="J39" i="15"/>
  <c r="J38" i="19"/>
  <c r="J37" i="15"/>
  <c r="J37" i="19"/>
  <c r="J38" i="18"/>
  <c r="J37" i="20"/>
  <c r="K35" i="20"/>
  <c r="K36" i="20" s="1"/>
  <c r="K36" i="19"/>
  <c r="K39" i="19" s="1"/>
  <c r="J39" i="16"/>
  <c r="J38" i="16"/>
  <c r="J39" i="19"/>
  <c r="J38" i="17"/>
  <c r="F40" i="12"/>
  <c r="F48" i="12"/>
  <c r="G44" i="12" s="1"/>
  <c r="J37" i="16"/>
  <c r="F44" i="13"/>
  <c r="F44" i="19"/>
  <c r="J39" i="18"/>
  <c r="F40" i="14"/>
  <c r="F48" i="14"/>
  <c r="G44" i="14" s="1"/>
  <c r="F44" i="20"/>
  <c r="K37" i="16"/>
  <c r="K39" i="16"/>
  <c r="F44" i="16"/>
  <c r="J39" i="17"/>
  <c r="K36" i="18"/>
  <c r="K37" i="18" s="1"/>
  <c r="K35" i="17"/>
  <c r="F44" i="17"/>
  <c r="F44" i="18"/>
  <c r="L5" i="20"/>
  <c r="L34" i="20" s="1"/>
  <c r="L5" i="18"/>
  <c r="L34" i="18" s="1"/>
  <c r="L5" i="19"/>
  <c r="L34" i="19" s="1"/>
  <c r="L5" i="17"/>
  <c r="L34" i="17" s="1"/>
  <c r="L5" i="21"/>
  <c r="F44" i="15"/>
  <c r="F44" i="21"/>
  <c r="F44" i="8" s="1"/>
  <c r="F48" i="11"/>
  <c r="L34" i="21" l="1"/>
  <c r="L34" i="8" s="1"/>
  <c r="L5" i="8"/>
  <c r="L35" i="18"/>
  <c r="J35" i="8"/>
  <c r="J36" i="21"/>
  <c r="G49" i="12"/>
  <c r="F49" i="13"/>
  <c r="G47" i="14"/>
  <c r="G49" i="14" s="1"/>
  <c r="F49" i="15"/>
  <c r="F49" i="16"/>
  <c r="F49" i="17"/>
  <c r="F49" i="18"/>
  <c r="F49" i="19"/>
  <c r="F49" i="20"/>
  <c r="F49" i="21"/>
  <c r="F49" i="8" s="1"/>
  <c r="E7" i="9" s="1"/>
  <c r="L35" i="19"/>
  <c r="L36" i="19"/>
  <c r="L38" i="19" s="1"/>
  <c r="K39" i="18"/>
  <c r="K37" i="20"/>
  <c r="K38" i="20"/>
  <c r="K39" i="20"/>
  <c r="L35" i="20"/>
  <c r="M5" i="19"/>
  <c r="M34" i="19" s="1"/>
  <c r="M5" i="18"/>
  <c r="M34" i="18" s="1"/>
  <c r="M5" i="20"/>
  <c r="M34" i="20" s="1"/>
  <c r="M5" i="21"/>
  <c r="K37" i="19"/>
  <c r="G40" i="12"/>
  <c r="G48" i="12"/>
  <c r="K38" i="19"/>
  <c r="K38" i="18"/>
  <c r="F48" i="16"/>
  <c r="F40" i="16"/>
  <c r="K36" i="17"/>
  <c r="L37" i="19"/>
  <c r="L36" i="18"/>
  <c r="L39" i="18" s="1"/>
  <c r="F40" i="13"/>
  <c r="F48" i="13"/>
  <c r="G44" i="13" s="1"/>
  <c r="F40" i="15"/>
  <c r="F48" i="15"/>
  <c r="F48" i="18"/>
  <c r="F40" i="18"/>
  <c r="L36" i="20"/>
  <c r="L37" i="20" s="1"/>
  <c r="F40" i="21"/>
  <c r="F40" i="8" s="1"/>
  <c r="F48" i="21"/>
  <c r="F48" i="8" s="1"/>
  <c r="E6" i="9" s="1"/>
  <c r="E9" i="9" s="1"/>
  <c r="G7" i="10" s="1"/>
  <c r="M35" i="19"/>
  <c r="F40" i="17"/>
  <c r="F48" i="17"/>
  <c r="F40" i="20"/>
  <c r="F48" i="20"/>
  <c r="F40" i="19"/>
  <c r="F48" i="19"/>
  <c r="K5" i="9" l="1"/>
  <c r="M35" i="18"/>
  <c r="M34" i="21"/>
  <c r="M34" i="8" s="1"/>
  <c r="M5" i="8"/>
  <c r="L5" i="9" s="1"/>
  <c r="J39" i="21"/>
  <c r="J39" i="8" s="1"/>
  <c r="J36" i="8"/>
  <c r="K35" i="21"/>
  <c r="J38" i="21"/>
  <c r="J38" i="8" s="1"/>
  <c r="J37" i="21"/>
  <c r="J37" i="8" s="1"/>
  <c r="G40" i="14"/>
  <c r="G48" i="14"/>
  <c r="H44" i="14" s="1"/>
  <c r="G47" i="13"/>
  <c r="G49" i="13" s="1"/>
  <c r="H47" i="13" s="1"/>
  <c r="H47" i="14"/>
  <c r="G47" i="15"/>
  <c r="G47" i="16"/>
  <c r="G47" i="17"/>
  <c r="G47" i="18"/>
  <c r="G47" i="19"/>
  <c r="G47" i="20"/>
  <c r="G47" i="21"/>
  <c r="G47" i="8" s="1"/>
  <c r="M35" i="20"/>
  <c r="M36" i="20" s="1"/>
  <c r="L39" i="19"/>
  <c r="M36" i="18"/>
  <c r="M39" i="18" s="1"/>
  <c r="G44" i="21"/>
  <c r="G44" i="8" s="1"/>
  <c r="G44" i="16"/>
  <c r="G44" i="15"/>
  <c r="L38" i="18"/>
  <c r="L37" i="18"/>
  <c r="N5" i="19"/>
  <c r="N34" i="19" s="1"/>
  <c r="N5" i="21"/>
  <c r="N5" i="20"/>
  <c r="N34" i="20" s="1"/>
  <c r="K39" i="17"/>
  <c r="K38" i="17"/>
  <c r="K37" i="17"/>
  <c r="G44" i="20"/>
  <c r="G44" i="18"/>
  <c r="G44" i="17"/>
  <c r="L39" i="20"/>
  <c r="G44" i="19"/>
  <c r="M36" i="19"/>
  <c r="M37" i="19" s="1"/>
  <c r="L35" i="17"/>
  <c r="L36" i="17" s="1"/>
  <c r="L38" i="20"/>
  <c r="K36" i="21" l="1"/>
  <c r="L35" i="21" s="1"/>
  <c r="K35" i="8"/>
  <c r="N34" i="21"/>
  <c r="N34" i="8" s="1"/>
  <c r="N5" i="8"/>
  <c r="M5" i="9" s="1"/>
  <c r="G48" i="13"/>
  <c r="H44" i="13" s="1"/>
  <c r="H49" i="13" s="1"/>
  <c r="G40" i="13"/>
  <c r="H49" i="14"/>
  <c r="I47" i="14" s="1"/>
  <c r="H48" i="14"/>
  <c r="I44" i="14" s="1"/>
  <c r="H40" i="14"/>
  <c r="G49" i="15"/>
  <c r="G49" i="16"/>
  <c r="G49" i="17"/>
  <c r="G49" i="18"/>
  <c r="G49" i="19"/>
  <c r="G49" i="20"/>
  <c r="G49" i="21"/>
  <c r="G49" i="8" s="1"/>
  <c r="F7" i="9" s="1"/>
  <c r="N35" i="19"/>
  <c r="N36" i="19" s="1"/>
  <c r="M37" i="18"/>
  <c r="M38" i="18"/>
  <c r="M39" i="19"/>
  <c r="M38" i="19"/>
  <c r="G40" i="19"/>
  <c r="G48" i="19"/>
  <c r="H40" i="13"/>
  <c r="G40" i="17"/>
  <c r="G48" i="17"/>
  <c r="G40" i="20"/>
  <c r="G48" i="20"/>
  <c r="G40" i="16"/>
  <c r="G48" i="16"/>
  <c r="M38" i="20"/>
  <c r="M39" i="20"/>
  <c r="M37" i="20"/>
  <c r="P5" i="21"/>
  <c r="O5" i="21"/>
  <c r="O5" i="20"/>
  <c r="O34" i="20" s="1"/>
  <c r="L37" i="17"/>
  <c r="L39" i="17"/>
  <c r="L38" i="17"/>
  <c r="G48" i="21"/>
  <c r="G48" i="8" s="1"/>
  <c r="F6" i="9" s="1"/>
  <c r="G40" i="21"/>
  <c r="G40" i="8" s="1"/>
  <c r="G48" i="15"/>
  <c r="G40" i="15"/>
  <c r="G48" i="18"/>
  <c r="G40" i="18"/>
  <c r="N35" i="20"/>
  <c r="N37" i="19" l="1"/>
  <c r="N39" i="19"/>
  <c r="N38" i="19"/>
  <c r="O34" i="21"/>
  <c r="O34" i="8" s="1"/>
  <c r="O5" i="8"/>
  <c r="N5" i="9" s="1"/>
  <c r="L35" i="8"/>
  <c r="M35" i="21"/>
  <c r="L36" i="21"/>
  <c r="P34" i="21"/>
  <c r="P34" i="8" s="1"/>
  <c r="Q34" i="8" s="1"/>
  <c r="P5" i="8"/>
  <c r="K37" i="21"/>
  <c r="K37" i="8" s="1"/>
  <c r="K36" i="8"/>
  <c r="K39" i="21"/>
  <c r="K39" i="8" s="1"/>
  <c r="K38" i="21"/>
  <c r="K38" i="8" s="1"/>
  <c r="F9" i="9"/>
  <c r="H7" i="10" s="1"/>
  <c r="H48" i="13"/>
  <c r="I40" i="14"/>
  <c r="I48" i="14"/>
  <c r="I49" i="14"/>
  <c r="H47" i="15"/>
  <c r="H47" i="16"/>
  <c r="H47" i="17"/>
  <c r="H47" i="18"/>
  <c r="H47" i="19"/>
  <c r="H47" i="20"/>
  <c r="H47" i="21"/>
  <c r="H47" i="8" s="1"/>
  <c r="H44" i="15"/>
  <c r="H44" i="19"/>
  <c r="H44" i="21"/>
  <c r="H44" i="8" s="1"/>
  <c r="H44" i="16"/>
  <c r="N36" i="20"/>
  <c r="O35" i="20" s="1"/>
  <c r="O36" i="20" s="1"/>
  <c r="O39" i="20" s="1"/>
  <c r="H44" i="20"/>
  <c r="H44" i="17"/>
  <c r="H44" i="18"/>
  <c r="M35" i="8" l="1"/>
  <c r="M36" i="21"/>
  <c r="O5" i="9"/>
  <c r="Q5" i="8"/>
  <c r="L36" i="8"/>
  <c r="L37" i="21"/>
  <c r="L37" i="8" s="1"/>
  <c r="L39" i="21"/>
  <c r="L39" i="8" s="1"/>
  <c r="L38" i="21"/>
  <c r="L38" i="8" s="1"/>
  <c r="H49" i="15"/>
  <c r="H49" i="16"/>
  <c r="H49" i="17"/>
  <c r="I47" i="17" s="1"/>
  <c r="H49" i="18"/>
  <c r="H49" i="19"/>
  <c r="H49" i="20"/>
  <c r="H49" i="21"/>
  <c r="H49" i="8" s="1"/>
  <c r="G7" i="9" s="1"/>
  <c r="O38" i="20"/>
  <c r="H48" i="19"/>
  <c r="H40" i="19"/>
  <c r="H40" i="20"/>
  <c r="H48" i="20"/>
  <c r="N38" i="20"/>
  <c r="N37" i="20"/>
  <c r="N39" i="20"/>
  <c r="H40" i="21"/>
  <c r="H40" i="8" s="1"/>
  <c r="H48" i="21"/>
  <c r="H48" i="8" s="1"/>
  <c r="G6" i="9" s="1"/>
  <c r="G9" i="9" s="1"/>
  <c r="I7" i="10" s="1"/>
  <c r="H48" i="18"/>
  <c r="H40" i="18"/>
  <c r="H40" i="16"/>
  <c r="H48" i="16"/>
  <c r="I44" i="16" s="1"/>
  <c r="H48" i="15"/>
  <c r="I44" i="15" s="1"/>
  <c r="H40" i="15"/>
  <c r="H48" i="17"/>
  <c r="H40" i="17"/>
  <c r="O37" i="20"/>
  <c r="M38" i="21" l="1"/>
  <c r="M38" i="8" s="1"/>
  <c r="M36" i="8"/>
  <c r="M39" i="21"/>
  <c r="M39" i="8" s="1"/>
  <c r="M37" i="21"/>
  <c r="M37" i="8" s="1"/>
  <c r="N35" i="21"/>
  <c r="I47" i="15"/>
  <c r="I49" i="15" s="1"/>
  <c r="J47" i="15" s="1"/>
  <c r="I47" i="16"/>
  <c r="I49" i="16" s="1"/>
  <c r="I47" i="18"/>
  <c r="I47" i="19"/>
  <c r="I47" i="20"/>
  <c r="I47" i="21"/>
  <c r="I47" i="8" s="1"/>
  <c r="I44" i="19"/>
  <c r="I44" i="18"/>
  <c r="I44" i="20"/>
  <c r="I44" i="17"/>
  <c r="I44" i="21"/>
  <c r="I44" i="8" s="1"/>
  <c r="N35" i="8" l="1"/>
  <c r="N36" i="21"/>
  <c r="I48" i="15"/>
  <c r="J44" i="15" s="1"/>
  <c r="J49" i="15" s="1"/>
  <c r="I40" i="15"/>
  <c r="I48" i="16"/>
  <c r="J44" i="16" s="1"/>
  <c r="I40" i="16"/>
  <c r="J47" i="16"/>
  <c r="I49" i="17"/>
  <c r="I49" i="18"/>
  <c r="I49" i="19"/>
  <c r="I49" i="20"/>
  <c r="I49" i="21"/>
  <c r="I49" i="8" s="1"/>
  <c r="I48" i="18"/>
  <c r="J44" i="18" s="1"/>
  <c r="I40" i="18"/>
  <c r="I40" i="17"/>
  <c r="I48" i="17"/>
  <c r="J44" i="17" s="1"/>
  <c r="I48" i="19"/>
  <c r="J44" i="19" s="1"/>
  <c r="I40" i="19"/>
  <c r="I48" i="20"/>
  <c r="J44" i="20" s="1"/>
  <c r="I40" i="20"/>
  <c r="I48" i="21"/>
  <c r="I40" i="21"/>
  <c r="I40" i="8" s="1"/>
  <c r="N39" i="21" l="1"/>
  <c r="N39" i="8" s="1"/>
  <c r="N36" i="8"/>
  <c r="N37" i="21"/>
  <c r="N37" i="8" s="1"/>
  <c r="N38" i="21"/>
  <c r="N38" i="8" s="1"/>
  <c r="O35" i="21"/>
  <c r="J44" i="21"/>
  <c r="J44" i="8" s="1"/>
  <c r="I48" i="8"/>
  <c r="H7" i="9"/>
  <c r="J40" i="15"/>
  <c r="J48" i="15"/>
  <c r="J49" i="16"/>
  <c r="K47" i="16" s="1"/>
  <c r="K49" i="16" s="1"/>
  <c r="J48" i="16"/>
  <c r="K44" i="16" s="1"/>
  <c r="J40" i="16"/>
  <c r="J47" i="17"/>
  <c r="J49" i="17" s="1"/>
  <c r="J47" i="18"/>
  <c r="J49" i="18" s="1"/>
  <c r="K47" i="18" s="1"/>
  <c r="K49" i="18" s="1"/>
  <c r="J47" i="19"/>
  <c r="J40" i="19" s="1"/>
  <c r="J47" i="20"/>
  <c r="J49" i="20" s="1"/>
  <c r="J47" i="21"/>
  <c r="O35" i="8" l="1"/>
  <c r="O36" i="21"/>
  <c r="K40" i="16"/>
  <c r="J49" i="21"/>
  <c r="J49" i="8" s="1"/>
  <c r="J47" i="8"/>
  <c r="H6" i="9"/>
  <c r="H9" i="9" s="1"/>
  <c r="J7" i="10" s="1"/>
  <c r="J48" i="17"/>
  <c r="K44" i="17" s="1"/>
  <c r="K48" i="17" s="1"/>
  <c r="L44" i="17" s="1"/>
  <c r="K48" i="16"/>
  <c r="J40" i="20"/>
  <c r="J48" i="20"/>
  <c r="K44" i="20" s="1"/>
  <c r="K48" i="20" s="1"/>
  <c r="L44" i="20" s="1"/>
  <c r="K47" i="17"/>
  <c r="K49" i="17" s="1"/>
  <c r="L47" i="17" s="1"/>
  <c r="L49" i="17" s="1"/>
  <c r="J40" i="17"/>
  <c r="J48" i="19"/>
  <c r="K44" i="19" s="1"/>
  <c r="K48" i="19" s="1"/>
  <c r="L44" i="19" s="1"/>
  <c r="J48" i="18"/>
  <c r="K44" i="18" s="1"/>
  <c r="K48" i="18" s="1"/>
  <c r="L44" i="18" s="1"/>
  <c r="J40" i="18"/>
  <c r="L47" i="18"/>
  <c r="L49" i="18" s="1"/>
  <c r="M47" i="18" s="1"/>
  <c r="M49" i="18" s="1"/>
  <c r="J49" i="19"/>
  <c r="K47" i="20"/>
  <c r="K49" i="20" s="1"/>
  <c r="J48" i="21"/>
  <c r="J40" i="21"/>
  <c r="J40" i="8" s="1"/>
  <c r="O39" i="21" l="1"/>
  <c r="O39" i="8" s="1"/>
  <c r="O36" i="8"/>
  <c r="O37" i="21"/>
  <c r="O37" i="8" s="1"/>
  <c r="O38" i="21"/>
  <c r="O38" i="8" s="1"/>
  <c r="P35" i="21"/>
  <c r="K47" i="21"/>
  <c r="K49" i="21" s="1"/>
  <c r="K44" i="21"/>
  <c r="K44" i="8" s="1"/>
  <c r="J48" i="8"/>
  <c r="I7" i="9"/>
  <c r="K40" i="17"/>
  <c r="K40" i="18"/>
  <c r="K40" i="20"/>
  <c r="K47" i="19"/>
  <c r="L47" i="20"/>
  <c r="L49" i="20" s="1"/>
  <c r="L48" i="18"/>
  <c r="M44" i="18" s="1"/>
  <c r="L40" i="18"/>
  <c r="L48" i="20"/>
  <c r="M44" i="20" s="1"/>
  <c r="L40" i="17"/>
  <c r="L48" i="17"/>
  <c r="L48" i="19"/>
  <c r="M44" i="19" s="1"/>
  <c r="P36" i="21" l="1"/>
  <c r="P35" i="8"/>
  <c r="Q35" i="8" s="1"/>
  <c r="K47" i="8"/>
  <c r="K40" i="21"/>
  <c r="K40" i="8" s="1"/>
  <c r="L47" i="21"/>
  <c r="K49" i="8"/>
  <c r="I6" i="9"/>
  <c r="I9" i="9" s="1"/>
  <c r="K7" i="10" s="1"/>
  <c r="K48" i="21"/>
  <c r="L40" i="20"/>
  <c r="K49" i="19"/>
  <c r="K40" i="19"/>
  <c r="M47" i="20"/>
  <c r="M49" i="20" s="1"/>
  <c r="N47" i="20" s="1"/>
  <c r="N49" i="20" s="1"/>
  <c r="M48" i="19"/>
  <c r="N44" i="19" s="1"/>
  <c r="M48" i="20"/>
  <c r="N44" i="20" s="1"/>
  <c r="M40" i="18"/>
  <c r="M48" i="18"/>
  <c r="P36" i="8" l="1"/>
  <c r="Q36" i="8" s="1"/>
  <c r="P39" i="21"/>
  <c r="P39" i="8" s="1"/>
  <c r="Q39" i="8" s="1"/>
  <c r="P37" i="21"/>
  <c r="P37" i="8" s="1"/>
  <c r="Q37" i="8" s="1"/>
  <c r="P38" i="21"/>
  <c r="P38" i="8" s="1"/>
  <c r="Q38" i="8" s="1"/>
  <c r="J7" i="9"/>
  <c r="L44" i="21"/>
  <c r="K48" i="8"/>
  <c r="L49" i="21"/>
  <c r="L47" i="8"/>
  <c r="M40" i="20"/>
  <c r="L47" i="19"/>
  <c r="O47" i="20"/>
  <c r="O49" i="20" s="1"/>
  <c r="N40" i="20"/>
  <c r="N48" i="20"/>
  <c r="O44" i="20" s="1"/>
  <c r="N48" i="19"/>
  <c r="J6" i="9" l="1"/>
  <c r="J9" i="9" s="1"/>
  <c r="F9" i="10" s="1"/>
  <c r="L40" i="21"/>
  <c r="L40" i="8" s="1"/>
  <c r="L44" i="8"/>
  <c r="L48" i="21"/>
  <c r="L49" i="8"/>
  <c r="M47" i="21"/>
  <c r="L49" i="19"/>
  <c r="M47" i="19" s="1"/>
  <c r="L40" i="19"/>
  <c r="O48" i="20"/>
  <c r="O40" i="20"/>
  <c r="M44" i="21" l="1"/>
  <c r="L48" i="8"/>
  <c r="K7" i="9"/>
  <c r="M49" i="21"/>
  <c r="M47" i="8"/>
  <c r="M49" i="19"/>
  <c r="N47" i="19" s="1"/>
  <c r="M40" i="19"/>
  <c r="K6" i="9" l="1"/>
  <c r="K9" i="9" s="1"/>
  <c r="G9" i="10" s="1"/>
  <c r="N47" i="21"/>
  <c r="M49" i="8"/>
  <c r="M48" i="21"/>
  <c r="M44" i="8"/>
  <c r="M40" i="21"/>
  <c r="M40" i="8" s="1"/>
  <c r="N49" i="19"/>
  <c r="N40" i="19"/>
  <c r="N44" i="21" l="1"/>
  <c r="M48" i="8"/>
  <c r="L7" i="9"/>
  <c r="N49" i="21"/>
  <c r="N47" i="8"/>
  <c r="N49" i="8" l="1"/>
  <c r="M7" i="9" s="1"/>
  <c r="O47" i="21"/>
  <c r="L6" i="9"/>
  <c r="L9" i="9" s="1"/>
  <c r="H9" i="10" s="1"/>
  <c r="N44" i="8"/>
  <c r="N48" i="21"/>
  <c r="N40" i="21"/>
  <c r="N40" i="8" s="1"/>
  <c r="O44" i="21" l="1"/>
  <c r="N48" i="8"/>
  <c r="M6" i="9" s="1"/>
  <c r="M9" i="9" s="1"/>
  <c r="I9" i="10" s="1"/>
  <c r="O49" i="21"/>
  <c r="O47" i="8"/>
  <c r="P47" i="21" l="1"/>
  <c r="O49" i="8"/>
  <c r="N7" i="9" s="1"/>
  <c r="O44" i="8"/>
  <c r="O40" i="21"/>
  <c r="O40" i="8" s="1"/>
  <c r="O48" i="21"/>
  <c r="P44" i="21" l="1"/>
  <c r="O48" i="8"/>
  <c r="N6" i="9" s="1"/>
  <c r="N9" i="9" s="1"/>
  <c r="J9" i="10" s="1"/>
  <c r="P49" i="21"/>
  <c r="P49" i="8" s="1"/>
  <c r="P47" i="8"/>
  <c r="Q47" i="8" s="1"/>
  <c r="O7" i="9" l="1"/>
  <c r="Q49" i="8"/>
  <c r="P44" i="8"/>
  <c r="Q44" i="8" s="1"/>
  <c r="P40" i="21"/>
  <c r="P40" i="8" s="1"/>
  <c r="Q40" i="8" s="1"/>
  <c r="P48" i="21"/>
  <c r="P48" i="8" s="1"/>
  <c r="O6" i="9" l="1"/>
  <c r="O9" i="9" s="1"/>
  <c r="K9" i="10" s="1"/>
  <c r="Q48" i="8"/>
  <c r="K10" i="9" l="1"/>
  <c r="H10" i="9"/>
  <c r="E10" i="9"/>
  <c r="O10" i="9"/>
  <c r="M10" i="9"/>
  <c r="N10" i="9"/>
  <c r="L10" i="9"/>
  <c r="I10" i="9"/>
  <c r="F10" i="9"/>
  <c r="D10" i="9"/>
  <c r="C8" i="10" s="1"/>
  <c r="G10" i="9"/>
  <c r="J10" i="9"/>
</calcChain>
</file>

<file path=xl/sharedStrings.xml><?xml version="1.0" encoding="utf-8"?>
<sst xmlns="http://schemas.openxmlformats.org/spreadsheetml/2006/main" count="347" uniqueCount="85">
  <si>
    <t>Cadastro:</t>
  </si>
  <si>
    <t>Lançamentos:</t>
  </si>
  <si>
    <t>Resultados:</t>
  </si>
  <si>
    <t>Gráficos:</t>
  </si>
  <si>
    <t>Impressão:</t>
  </si>
  <si>
    <t>Sobre:</t>
  </si>
  <si>
    <t>Na aba sobre é destinado para publicação do site do desenvolvedor e formas de contato.</t>
  </si>
  <si>
    <t>#</t>
  </si>
  <si>
    <t>Parâmetros</t>
  </si>
  <si>
    <t>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</si>
  <si>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</si>
  <si>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</si>
  <si>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</si>
  <si>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</si>
  <si>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</si>
  <si>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</si>
  <si>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</si>
  <si>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</si>
  <si>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</si>
  <si>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</si>
  <si>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</si>
  <si>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</si>
  <si>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+</t>
  </si>
  <si>
    <t>Adições</t>
  </si>
  <si>
    <t>Ajustes Devedores de Qualquer Natureza</t>
  </si>
  <si>
    <t>Despesas de Variação Cambial</t>
  </si>
  <si>
    <t>Despesas Particulares dos Sócios e Dirigentes;</t>
  </si>
  <si>
    <t>Doações e Brindes;</t>
  </si>
  <si>
    <t>Impostos Não Pagos em Discussão Judicial;</t>
  </si>
  <si>
    <t>Impostos Não Pagos por Iniciativa da Empresa;</t>
  </si>
  <si>
    <t>Lucro Inflacionário apurado até 31/12/1995;</t>
  </si>
  <si>
    <t>Multas Contratuais</t>
  </si>
  <si>
    <t>Multas Punitivas (Transito, Imetro, Ibama, Multas sobre ação fiscal)</t>
  </si>
  <si>
    <t>Orçamentos, Pedidos e qualquer documento não idôneo;</t>
  </si>
  <si>
    <t>Provisões Indedutíveis (perdas, frete, propaganda)</t>
  </si>
  <si>
    <t>Recibos sem especificação da fonte recebedora;</t>
  </si>
  <si>
    <t>Verbas Rescisórias em desacordo com a legislação trabalhista vigente</t>
  </si>
  <si>
    <t>-</t>
  </si>
  <si>
    <t>Exclusões</t>
  </si>
  <si>
    <t>Ajustes credores de qualquer natureza</t>
  </si>
  <si>
    <t>Decisão Favorável - Processos Judiciais Tributários</t>
  </si>
  <si>
    <t>Despesas de Ágios</t>
  </si>
  <si>
    <t>Distribuição de Lucros e Dividendos;</t>
  </si>
  <si>
    <t>Dividendos Coligadas e Controladas</t>
  </si>
  <si>
    <t>Pagamento de Impostos em Atraso por iniciativa da Empresa</t>
  </si>
  <si>
    <t>Pagamento de Impostos sobre discussão judicial,</t>
  </si>
  <si>
    <t>Receita de Variação Cambial</t>
  </si>
  <si>
    <t>Receitas Obtidas com Tributação Exclusiva ou Isenta de IR</t>
  </si>
  <si>
    <t>Receitas que poderiam ser diferidas;</t>
  </si>
  <si>
    <t>Resultado Positivo de Equivalência Patrimonial</t>
  </si>
  <si>
    <t>Reversão de Provisões Indedutíveis</t>
  </si>
  <si>
    <t>Vendas Não Expedidas do Período</t>
  </si>
  <si>
    <t>=</t>
  </si>
  <si>
    <t>Base de Cálculo</t>
  </si>
  <si>
    <t>Compensação de Prejuízo Fiscal</t>
  </si>
  <si>
    <t>Adicional de Imposto de Renda</t>
  </si>
  <si>
    <t>Imposto de Renda</t>
  </si>
  <si>
    <t>Contribuição Social</t>
  </si>
  <si>
    <t>Compensações</t>
  </si>
  <si>
    <t>IR Base Negativa Exercícios Anteriores</t>
  </si>
  <si>
    <t>IR s/ Aplicações Financeiras</t>
  </si>
  <si>
    <t xml:space="preserve">IR Retida s/ Notas Fiscais </t>
  </si>
  <si>
    <t>IR Pago no Exercício</t>
  </si>
  <si>
    <t>CS Base Negativa Exercícios Anteriores</t>
  </si>
  <si>
    <t>CS Retida s/ Notas Fiscais</t>
  </si>
  <si>
    <t>CS Pago no Exercício</t>
  </si>
  <si>
    <t>Saldo Prejuízo Fiscal</t>
  </si>
  <si>
    <t>Lucro Acumulado</t>
  </si>
  <si>
    <t>Imposto de Renda a Pagar</t>
  </si>
  <si>
    <t>Contribuição Social a Pagar</t>
  </si>
  <si>
    <r>
      <t xml:space="preserve">RESULTADO DO </t>
    </r>
    <r>
      <rPr>
        <b/>
        <sz val="18"/>
        <rFont val="Segoe UI"/>
        <family val="2"/>
      </rPr>
      <t>LUCRO REAL - IR e CS</t>
    </r>
  </si>
  <si>
    <t>Média</t>
  </si>
  <si>
    <r>
      <rPr>
        <sz val="10"/>
        <color theme="0" tint="-0.34998626667073579"/>
        <rFont val="Segoe UI"/>
        <family val="2"/>
      </rPr>
      <t xml:space="preserve">GRÁFICO DO </t>
    </r>
    <r>
      <rPr>
        <b/>
        <sz val="18"/>
        <rFont val="Segoe UI"/>
        <family val="2"/>
      </rPr>
      <t>LUCRO REAL - IR e CS</t>
    </r>
  </si>
  <si>
    <r>
      <rPr>
        <sz val="10"/>
        <color theme="0" tint="-0.34998626667073579"/>
        <rFont val="Segoe UI"/>
        <family val="2"/>
      </rPr>
      <t>RELATÓRIO DO</t>
    </r>
    <r>
      <rPr>
        <b/>
        <sz val="18"/>
        <rFont val="Segoe UI"/>
        <family val="2"/>
      </rPr>
      <t xml:space="preserve"> LUCRO REAL - IR e CS</t>
    </r>
  </si>
  <si>
    <t>1.</t>
  </si>
  <si>
    <t>Resultados Consolidados</t>
  </si>
  <si>
    <t>Média Anual</t>
  </si>
  <si>
    <t>2.</t>
  </si>
  <si>
    <t>Gráfico</t>
  </si>
  <si>
    <t>Na aba de resultados consta o resumo do anual do impostos de renda, contribuição social e média;</t>
  </si>
  <si>
    <t>Na aba de gráficos representa a evolução dos impostos por mês;</t>
  </si>
  <si>
    <t>Na aba de impressão dos relatórios do lucro real;</t>
  </si>
  <si>
    <t>Na aba de cadastro de tabelas com as alíquotas do lucro real (imposto de renda e contribuição social), lucro acumulado e compensações de impostos ;</t>
  </si>
  <si>
    <t>Na aba de lançamentos automáticos dos cálculos mensais dos impostos;</t>
  </si>
  <si>
    <r>
      <rPr>
        <sz val="10"/>
        <color theme="0" tint="-0.249977111117893"/>
        <rFont val="Segoe UI"/>
        <family val="2"/>
      </rPr>
      <t>PLANILHA DE</t>
    </r>
    <r>
      <rPr>
        <sz val="10"/>
        <color rgb="FF333333"/>
        <rFont val="Segoe UI"/>
        <family val="2"/>
      </rPr>
      <t xml:space="preserve"> </t>
    </r>
    <r>
      <rPr>
        <b/>
        <sz val="18"/>
        <color rgb="FF333333"/>
        <rFont val="Segoe UI"/>
        <family val="2"/>
      </rPr>
      <t>LUCRO REAL - IR e CS</t>
    </r>
    <r>
      <rPr>
        <sz val="10"/>
        <color rgb="FF333333"/>
        <rFont val="Segoe UI"/>
        <family val="2"/>
      </rPr>
      <t xml:space="preserve">           </t>
    </r>
    <r>
      <rPr>
        <b/>
        <sz val="10"/>
        <color rgb="FF333333"/>
        <rFont val="Segoe UI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</si>
</sst>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0"/>
      <name val="Segoe UI"/>
      <family val="2"/>
    </font>
    <font>
      <sz val="9"/>
      <color theme="0" tint="-0.34998626667073579"/>
      <name val="Segoe UI"/>
      <family val="2"/>
    </font>
    <font>
      <sz val="10"/>
      <color rgb="FF000000"/>
      <name val="Segoe UI"/>
      <family val="2"/>
    </font>
    <font>
      <sz val="10"/>
      <color theme="4"/>
      <name val="Segoe UI"/>
      <family val="2"/>
    </font>
    <font>
      <sz val="9"/>
      <color theme="1"/>
      <name val="Segoe UI"/>
      <family val="2"/>
    </font>
    <font>
      <sz val="9"/>
      <color theme="0"/>
      <name val="Segoe UI"/>
      <family val="2"/>
    </font>
    <font>
      <sz val="9"/>
      <color theme="0" tint="-0.249977111117893"/>
      <name val="Segoe UI"/>
      <family val="2"/>
    </font>
    <font>
      <sz val="10"/>
      <color rgb="FF333333"/>
      <name val="Segoe UI"/>
      <family val="2"/>
    </font>
    <font>
      <sz val="10"/>
      <color theme="0" tint="-0.249977111117893"/>
      <name val="Segoe UI"/>
      <family val="2"/>
    </font>
    <font>
      <b/>
      <sz val="18"/>
      <color rgb="FF333333"/>
      <name val="Segoe UI"/>
      <family val="2"/>
    </font>
    <font>
      <sz val="10"/>
      <color theme="0" tint="-0.34998626667073579"/>
      <name val="Segoe UI"/>
      <family val="2"/>
    </font>
    <font>
      <b/>
      <sz val="10"/>
      <color theme="0" tint="-0.34998626667073579"/>
      <name val="Segoe UI"/>
      <family val="2"/>
    </font>
    <font>
      <b/>
      <sz val="18"/>
      <name val="Segoe UI"/>
      <family val="2"/>
    </font>
    <font>
      <b/>
      <sz val="10"/>
      <color rgb="FF333333"/>
      <name val="Segoe U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b/>
      <sz val="9"/>
      <color theme="0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5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1" applyFont="1"/>
    <xf numFmtId="0" fontId="2" fillId="0" borderId="1" xfId="0" applyFont="1" applyBorder="1"/>
    <xf numFmtId="0" fontId="2" fillId="0" borderId="0" xfId="0" applyFont="1"/>
    <xf numFmtId="0" fontId="8" fillId="0" borderId="1" xfId="0" applyFont="1" applyBorder="1"/>
    <xf numFmtId="0" fontId="8" fillId="0" borderId="0" xfId="0" applyFont="1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0" fontId="9" fillId="0" borderId="0" xfId="0" applyFont="1"/>
    <xf numFmtId="0" fontId="10" fillId="0" borderId="0" xfId="1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/>
    <xf numFmtId="0" fontId="8" fillId="3" borderId="0" xfId="0" applyFont="1" applyFill="1"/>
    <xf numFmtId="0" fontId="11" fillId="3" borderId="0" xfId="0" applyFont="1" applyFill="1"/>
    <xf numFmtId="0" fontId="1" fillId="3" borderId="0" xfId="0" applyFont="1" applyFill="1"/>
    <xf numFmtId="0" fontId="4" fillId="4" borderId="2" xfId="0" applyFont="1" applyFill="1" applyBorder="1" applyAlignment="1">
      <alignment horizontal="center" vertical="center" wrapText="1"/>
    </xf>
    <xf numFmtId="43" fontId="19" fillId="0" borderId="3" xfId="2" applyFont="1" applyBorder="1" applyAlignment="1">
      <alignment horizontal="center" vertical="center"/>
    </xf>
    <xf numFmtId="0" fontId="19" fillId="0" borderId="3" xfId="2" applyNumberFormat="1" applyFont="1" applyBorder="1" applyAlignment="1">
      <alignment horizontal="left" vertical="center"/>
    </xf>
    <xf numFmtId="10" fontId="19" fillId="0" borderId="3" xfId="3" applyNumberFormat="1" applyFont="1" applyBorder="1" applyAlignment="1">
      <alignment horizontal="center" vertical="center"/>
    </xf>
    <xf numFmtId="43" fontId="19" fillId="0" borderId="3" xfId="2" applyFont="1" applyBorder="1" applyAlignment="1" applyProtection="1">
      <alignment horizontal="left" vertical="center"/>
      <protection locked="0"/>
    </xf>
    <xf numFmtId="43" fontId="6" fillId="0" borderId="3" xfId="2" applyFont="1" applyBorder="1" applyAlignment="1">
      <alignment horizontal="center" vertical="center"/>
    </xf>
    <xf numFmtId="0" fontId="6" fillId="0" borderId="3" xfId="2" applyNumberFormat="1" applyFont="1" applyBorder="1" applyAlignment="1">
      <alignment horizontal="left" vertical="center"/>
    </xf>
    <xf numFmtId="10" fontId="6" fillId="0" borderId="3" xfId="3" applyNumberFormat="1" applyFont="1" applyBorder="1" applyAlignment="1">
      <alignment horizontal="center" vertical="center"/>
    </xf>
    <xf numFmtId="43" fontId="6" fillId="0" borderId="3" xfId="2" applyFont="1" applyBorder="1" applyAlignment="1" applyProtection="1">
      <alignment horizontal="left" vertical="center"/>
      <protection locked="0"/>
    </xf>
    <xf numFmtId="43" fontId="2" fillId="0" borderId="0" xfId="0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0" fontId="4" fillId="0" borderId="3" xfId="3" applyNumberFormat="1" applyFont="1" applyBorder="1" applyAlignment="1">
      <alignment horizontal="left" vertical="center"/>
    </xf>
    <xf numFmtId="9" fontId="19" fillId="0" borderId="3" xfId="3" applyFont="1" applyBorder="1" applyAlignment="1">
      <alignment horizontal="left" vertical="center"/>
    </xf>
    <xf numFmtId="43" fontId="6" fillId="0" borderId="0" xfId="2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9" fillId="0" borderId="0" xfId="2" applyNumberFormat="1" applyFont="1" applyAlignment="1">
      <alignment horizontal="left" vertical="center"/>
    </xf>
    <xf numFmtId="43" fontId="9" fillId="0" borderId="0" xfId="2" applyFont="1" applyAlignment="1">
      <alignment horizontal="left" vertical="center"/>
    </xf>
    <xf numFmtId="43" fontId="9" fillId="0" borderId="0" xfId="2" applyFont="1"/>
    <xf numFmtId="0" fontId="9" fillId="0" borderId="0" xfId="0" applyFont="1" applyAlignment="1">
      <alignment horizontal="center"/>
    </xf>
    <xf numFmtId="0" fontId="4" fillId="0" borderId="0" xfId="0" applyFont="1"/>
    <xf numFmtId="43" fontId="4" fillId="0" borderId="0" xfId="0" applyNumberFormat="1" applyFont="1"/>
    <xf numFmtId="0" fontId="4" fillId="4" borderId="4" xfId="0" applyFont="1" applyFill="1" applyBorder="1" applyAlignment="1">
      <alignment horizontal="center" vertical="center" wrapText="1"/>
    </xf>
    <xf numFmtId="43" fontId="19" fillId="0" borderId="3" xfId="2" applyFont="1" applyBorder="1" applyAlignment="1">
      <alignment horizontal="left" vertical="center"/>
    </xf>
    <xf numFmtId="43" fontId="6" fillId="0" borderId="3" xfId="2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43" fontId="6" fillId="0" borderId="0" xfId="2" applyFont="1" applyAlignment="1">
      <alignment horizontal="left" vertical="center"/>
    </xf>
    <xf numFmtId="43" fontId="23" fillId="5" borderId="3" xfId="2" applyFont="1" applyFill="1" applyBorder="1" applyAlignment="1" applyProtection="1">
      <alignment horizontal="left" vertical="center"/>
      <protection locked="0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4">
    <cellStyle name="Hiperlink" xfId="1" builtinId="8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graf!$C$9</c:f>
          <c:strCache>
            <c:ptCount val="1"/>
            <c:pt idx="0">
              <c:v>Lucro Acumulado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graf!$C$9</c:f>
              <c:strCache>
                <c:ptCount val="1"/>
                <c:pt idx="0">
                  <c:v>Lucro Acumulado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graf!$D$9:$O$9</c:f>
              <c:numCache>
                <c:formatCode>_(* #,##0.00_);_(* \(#,##0.00\);_(* "-"??_);_(@_)</c:formatCode>
                <c:ptCount val="12"/>
                <c:pt idx="0">
                  <c:v>1000</c:v>
                </c:pt>
                <c:pt idx="1">
                  <c:v>26000</c:v>
                </c:pt>
                <c:pt idx="2">
                  <c:v>51000</c:v>
                </c:pt>
                <c:pt idx="3">
                  <c:v>76000</c:v>
                </c:pt>
                <c:pt idx="4">
                  <c:v>101000</c:v>
                </c:pt>
                <c:pt idx="5">
                  <c:v>126000</c:v>
                </c:pt>
                <c:pt idx="6">
                  <c:v>151000</c:v>
                </c:pt>
                <c:pt idx="7">
                  <c:v>176000</c:v>
                </c:pt>
                <c:pt idx="8">
                  <c:v>201000</c:v>
                </c:pt>
                <c:pt idx="9">
                  <c:v>226000</c:v>
                </c:pt>
                <c:pt idx="10">
                  <c:v>251000</c:v>
                </c:pt>
                <c:pt idx="11">
                  <c:v>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0-41ED-BCA9-FDFCF1DB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075583"/>
        <c:axId val="1368733167"/>
      </c:barChart>
      <c:lineChart>
        <c:grouping val="standard"/>
        <c:varyColors val="0"/>
        <c:ser>
          <c:idx val="1"/>
          <c:order val="1"/>
          <c:tx>
            <c:strRef>
              <c:f>graf!$C$10</c:f>
              <c:strCache>
                <c:ptCount val="1"/>
                <c:pt idx="0">
                  <c:v>Média</c:v>
                </c:pt>
              </c:strCache>
            </c:strRef>
          </c:tx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graf!$D$10:$O$10</c:f>
              <c:numCache>
                <c:formatCode>_(* #,##0.00_);_(* \(#,##0.00\);_(* "-"??_);_(@_)</c:formatCode>
                <c:ptCount val="12"/>
                <c:pt idx="0">
                  <c:v>138500</c:v>
                </c:pt>
                <c:pt idx="1">
                  <c:v>138500</c:v>
                </c:pt>
                <c:pt idx="2">
                  <c:v>138500</c:v>
                </c:pt>
                <c:pt idx="3">
                  <c:v>138500</c:v>
                </c:pt>
                <c:pt idx="4">
                  <c:v>138500</c:v>
                </c:pt>
                <c:pt idx="5">
                  <c:v>138500</c:v>
                </c:pt>
                <c:pt idx="6">
                  <c:v>138500</c:v>
                </c:pt>
                <c:pt idx="7">
                  <c:v>138500</c:v>
                </c:pt>
                <c:pt idx="8">
                  <c:v>138500</c:v>
                </c:pt>
                <c:pt idx="9">
                  <c:v>138500</c:v>
                </c:pt>
                <c:pt idx="10">
                  <c:v>138500</c:v>
                </c:pt>
                <c:pt idx="11">
                  <c:v>138500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00-41ED-BCA9-FDFCF1DB9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075583"/>
        <c:axId val="1368733167"/>
      </c:lineChart>
      <c:catAx>
        <c:axId val="13340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733167"/>
        <c:crosses val="autoZero"/>
        <c:auto val="1"/>
        <c:lblAlgn val="ctr"/>
        <c:lblOffset val="100"/>
        <c:noMultiLvlLbl val="0"/>
      </c:catAx>
      <c:valAx>
        <c:axId val="136873316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407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graf!$C$9</c:f>
          <c:strCache>
            <c:ptCount val="1"/>
            <c:pt idx="0">
              <c:v>Lucro Acumulado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graf!$C$9</c:f>
              <c:strCache>
                <c:ptCount val="1"/>
                <c:pt idx="0">
                  <c:v>Lucro Acumulado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graf!$D$9:$O$9</c:f>
              <c:numCache>
                <c:formatCode>_(* #,##0.00_);_(* \(#,##0.00\);_(* "-"??_);_(@_)</c:formatCode>
                <c:ptCount val="12"/>
                <c:pt idx="0">
                  <c:v>1000</c:v>
                </c:pt>
                <c:pt idx="1">
                  <c:v>26000</c:v>
                </c:pt>
                <c:pt idx="2">
                  <c:v>51000</c:v>
                </c:pt>
                <c:pt idx="3">
                  <c:v>76000</c:v>
                </c:pt>
                <c:pt idx="4">
                  <c:v>101000</c:v>
                </c:pt>
                <c:pt idx="5">
                  <c:v>126000</c:v>
                </c:pt>
                <c:pt idx="6">
                  <c:v>151000</c:v>
                </c:pt>
                <c:pt idx="7">
                  <c:v>176000</c:v>
                </c:pt>
                <c:pt idx="8">
                  <c:v>201000</c:v>
                </c:pt>
                <c:pt idx="9">
                  <c:v>226000</c:v>
                </c:pt>
                <c:pt idx="10">
                  <c:v>251000</c:v>
                </c:pt>
                <c:pt idx="11">
                  <c:v>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B-4E4B-9494-090C5343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075583"/>
        <c:axId val="1368733167"/>
      </c:barChart>
      <c:lineChart>
        <c:grouping val="standard"/>
        <c:varyColors val="0"/>
        <c:ser>
          <c:idx val="1"/>
          <c:order val="1"/>
          <c:tx>
            <c:strRef>
              <c:f>graf!$C$10</c:f>
              <c:strCache>
                <c:ptCount val="1"/>
                <c:pt idx="0">
                  <c:v>Média</c:v>
                </c:pt>
              </c:strCache>
            </c:strRef>
          </c:tx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graf!$D$8:$O$8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graf!$D$10:$O$10</c:f>
              <c:numCache>
                <c:formatCode>_(* #,##0.00_);_(* \(#,##0.00\);_(* "-"??_);_(@_)</c:formatCode>
                <c:ptCount val="12"/>
                <c:pt idx="0">
                  <c:v>138500</c:v>
                </c:pt>
                <c:pt idx="1">
                  <c:v>138500</c:v>
                </c:pt>
                <c:pt idx="2">
                  <c:v>138500</c:v>
                </c:pt>
                <c:pt idx="3">
                  <c:v>138500</c:v>
                </c:pt>
                <c:pt idx="4">
                  <c:v>138500</c:v>
                </c:pt>
                <c:pt idx="5">
                  <c:v>138500</c:v>
                </c:pt>
                <c:pt idx="6">
                  <c:v>138500</c:v>
                </c:pt>
                <c:pt idx="7">
                  <c:v>138500</c:v>
                </c:pt>
                <c:pt idx="8">
                  <c:v>138500</c:v>
                </c:pt>
                <c:pt idx="9">
                  <c:v>138500</c:v>
                </c:pt>
                <c:pt idx="10">
                  <c:v>138500</c:v>
                </c:pt>
                <c:pt idx="11">
                  <c:v>138500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DB-4E4B-9494-090C5343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075583"/>
        <c:axId val="1368733167"/>
      </c:lineChart>
      <c:catAx>
        <c:axId val="133407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733167"/>
        <c:crosses val="autoZero"/>
        <c:auto val="1"/>
        <c:lblAlgn val="ctr"/>
        <c:lblOffset val="100"/>
        <c:noMultiLvlLbl val="0"/>
      </c:catAx>
      <c:valAx>
        <c:axId val="136873316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407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3" dropStyle="combo" dx="22" fmlaLink="$B$5" fmlaRange="$C$5:$C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result!A1"/><Relationship Id="rId7" Type="http://schemas.openxmlformats.org/officeDocument/2006/relationships/hyperlink" Target="#sobre!A1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esult!A1"/><Relationship Id="rId7" Type="http://schemas.openxmlformats.org/officeDocument/2006/relationships/hyperlink" Target="#sobre!A1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mar!A1"/><Relationship Id="rId13" Type="http://schemas.openxmlformats.org/officeDocument/2006/relationships/hyperlink" Target="#ago!A1"/><Relationship Id="rId18" Type="http://schemas.openxmlformats.org/officeDocument/2006/relationships/hyperlink" Target="#sobre!A1"/><Relationship Id="rId3" Type="http://schemas.openxmlformats.org/officeDocument/2006/relationships/hyperlink" Target="#result!A1"/><Relationship Id="rId7" Type="http://schemas.openxmlformats.org/officeDocument/2006/relationships/hyperlink" Target="#fev!A1"/><Relationship Id="rId12" Type="http://schemas.openxmlformats.org/officeDocument/2006/relationships/hyperlink" Target="#jul!A1"/><Relationship Id="rId17" Type="http://schemas.openxmlformats.org/officeDocument/2006/relationships/hyperlink" Target="#dez!A1"/><Relationship Id="rId2" Type="http://schemas.openxmlformats.org/officeDocument/2006/relationships/hyperlink" Target="#jan!A1"/><Relationship Id="rId16" Type="http://schemas.openxmlformats.org/officeDocument/2006/relationships/hyperlink" Target="#nov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11" Type="http://schemas.openxmlformats.org/officeDocument/2006/relationships/hyperlink" Target="#jun!A1"/><Relationship Id="rId5" Type="http://schemas.openxmlformats.org/officeDocument/2006/relationships/hyperlink" Target="#imp!A1"/><Relationship Id="rId15" Type="http://schemas.openxmlformats.org/officeDocument/2006/relationships/hyperlink" Target="#out!A1"/><Relationship Id="rId10" Type="http://schemas.openxmlformats.org/officeDocument/2006/relationships/hyperlink" Target="#mai!A1"/><Relationship Id="rId4" Type="http://schemas.openxmlformats.org/officeDocument/2006/relationships/hyperlink" Target="#graf!A1"/><Relationship Id="rId9" Type="http://schemas.openxmlformats.org/officeDocument/2006/relationships/hyperlink" Target="#abr!A1"/><Relationship Id="rId14" Type="http://schemas.openxmlformats.org/officeDocument/2006/relationships/hyperlink" Target="#set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result!A1"/><Relationship Id="rId7" Type="http://schemas.openxmlformats.org/officeDocument/2006/relationships/hyperlink" Target="https://www.funcaocontabil.net/" TargetMode="External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Relationship Id="rId9" Type="http://schemas.openxmlformats.org/officeDocument/2006/relationships/hyperlink" Target="#sobre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result!A1"/><Relationship Id="rId7" Type="http://schemas.openxmlformats.org/officeDocument/2006/relationships/hyperlink" Target="#sobre!A1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hyperlink" Target="#result!A1"/><Relationship Id="rId7" Type="http://schemas.openxmlformats.org/officeDocument/2006/relationships/hyperlink" Target="#sobre!A1"/><Relationship Id="rId2" Type="http://schemas.openxmlformats.org/officeDocument/2006/relationships/hyperlink" Target="#jan!A1"/><Relationship Id="rId1" Type="http://schemas.openxmlformats.org/officeDocument/2006/relationships/hyperlink" Target="#tab!A1"/><Relationship Id="rId6" Type="http://schemas.openxmlformats.org/officeDocument/2006/relationships/hyperlink" Target="#inicio!A1"/><Relationship Id="rId5" Type="http://schemas.openxmlformats.org/officeDocument/2006/relationships/hyperlink" Target="#imp!A1"/><Relationship Id="rId4" Type="http://schemas.openxmlformats.org/officeDocument/2006/relationships/hyperlink" Target="#graf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990600</xdr:colOff>
      <xdr:row>0</xdr:row>
      <xdr:rowOff>171450</xdr:rowOff>
    </xdr:from>
    <xdr:to>
      <xdr:col>4</xdr:col>
      <xdr:colOff>990600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4</xdr:col>
      <xdr:colOff>1066800</xdr:colOff>
      <xdr:row>0</xdr:row>
      <xdr:rowOff>171450</xdr:rowOff>
    </xdr:from>
    <xdr:to>
      <xdr:col>4</xdr:col>
      <xdr:colOff>2066925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4</xdr:col>
      <xdr:colOff>2143125</xdr:colOff>
      <xdr:row>0</xdr:row>
      <xdr:rowOff>171450</xdr:rowOff>
    </xdr:from>
    <xdr:to>
      <xdr:col>4</xdr:col>
      <xdr:colOff>3143250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4</xdr:col>
      <xdr:colOff>3219450</xdr:colOff>
      <xdr:row>0</xdr:row>
      <xdr:rowOff>171450</xdr:rowOff>
    </xdr:from>
    <xdr:to>
      <xdr:col>4</xdr:col>
      <xdr:colOff>4219575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4</xdr:col>
      <xdr:colOff>4305300</xdr:colOff>
      <xdr:row>0</xdr:row>
      <xdr:rowOff>171450</xdr:rowOff>
    </xdr:from>
    <xdr:to>
      <xdr:col>4</xdr:col>
      <xdr:colOff>5305425</xdr:colOff>
      <xdr:row>1</xdr:row>
      <xdr:rowOff>0</xdr:rowOff>
    </xdr:to>
    <xdr:sp macro="" textlink="">
      <xdr:nvSpPr>
        <xdr:cNvPr id="8" name="Retângulo: Cantos Superiore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428625</xdr:colOff>
      <xdr:row>0</xdr:row>
      <xdr:rowOff>171450</xdr:rowOff>
    </xdr:from>
    <xdr:to>
      <xdr:col>3</xdr:col>
      <xdr:colOff>914400</xdr:colOff>
      <xdr:row>1</xdr:row>
      <xdr:rowOff>0</xdr:rowOff>
    </xdr:to>
    <xdr:sp macro="" textlink="">
      <xdr:nvSpPr>
        <xdr:cNvPr id="9" name="Retângulo: Cantos Superiores Arredondado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4</xdr:col>
      <xdr:colOff>5391150</xdr:colOff>
      <xdr:row>0</xdr:row>
      <xdr:rowOff>171450</xdr:rowOff>
    </xdr:from>
    <xdr:to>
      <xdr:col>4</xdr:col>
      <xdr:colOff>6391275</xdr:colOff>
      <xdr:row>1</xdr:row>
      <xdr:rowOff>0</xdr:rowOff>
    </xdr:to>
    <xdr:sp macro="" textlink="">
      <xdr:nvSpPr>
        <xdr:cNvPr id="13" name="Retângulo: Cantos Superiore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1346200</xdr:colOff>
      <xdr:row>0</xdr:row>
      <xdr:rowOff>171450</xdr:rowOff>
    </xdr:from>
    <xdr:to>
      <xdr:col>2</xdr:col>
      <xdr:colOff>2346325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2422525</xdr:colOff>
      <xdr:row>0</xdr:row>
      <xdr:rowOff>171450</xdr:rowOff>
    </xdr:from>
    <xdr:to>
      <xdr:col>2</xdr:col>
      <xdr:colOff>3422650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3498850</xdr:colOff>
      <xdr:row>0</xdr:row>
      <xdr:rowOff>171450</xdr:rowOff>
    </xdr:from>
    <xdr:to>
      <xdr:col>3</xdr:col>
      <xdr:colOff>393700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469900</xdr:colOff>
      <xdr:row>0</xdr:row>
      <xdr:rowOff>171450</xdr:rowOff>
    </xdr:from>
    <xdr:to>
      <xdr:col>5</xdr:col>
      <xdr:colOff>146050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231775</xdr:colOff>
      <xdr:row>0</xdr:row>
      <xdr:rowOff>171450</xdr:rowOff>
    </xdr:from>
    <xdr:to>
      <xdr:col>6</xdr:col>
      <xdr:colOff>384175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1270000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6</xdr:col>
      <xdr:colOff>469900</xdr:colOff>
      <xdr:row>0</xdr:row>
      <xdr:rowOff>171450</xdr:rowOff>
    </xdr:from>
    <xdr:to>
      <xdr:col>7</xdr:col>
      <xdr:colOff>628650</xdr:colOff>
      <xdr:row>1</xdr:row>
      <xdr:rowOff>0</xdr:rowOff>
    </xdr:to>
    <xdr:sp macro="" textlink="">
      <xdr:nvSpPr>
        <xdr:cNvPr id="11" name="Retângulo: Cantos Superiore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2</xdr:col>
      <xdr:colOff>428624</xdr:colOff>
      <xdr:row>2</xdr:row>
      <xdr:rowOff>28575</xdr:rowOff>
    </xdr:from>
    <xdr:to>
      <xdr:col>2</xdr:col>
      <xdr:colOff>1123949</xdr:colOff>
      <xdr:row>2</xdr:row>
      <xdr:rowOff>352425</xdr:rowOff>
    </xdr:to>
    <xdr:sp macro="" textlink="">
      <xdr:nvSpPr>
        <xdr:cNvPr id="10" name="Retângulo: Cantos Superiore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52524" y="704850"/>
          <a:ext cx="695325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Tabelas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9</xdr:col>
      <xdr:colOff>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447676</xdr:colOff>
      <xdr:row>1</xdr:row>
      <xdr:rowOff>123825</xdr:rowOff>
    </xdr:from>
    <xdr:to>
      <xdr:col>2</xdr:col>
      <xdr:colOff>933676</xdr:colOff>
      <xdr:row>2</xdr:row>
      <xdr:rowOff>266700</xdr:rowOff>
    </xdr:to>
    <xdr:sp macro="" textlink="">
      <xdr:nvSpPr>
        <xdr:cNvPr id="8" name="Retângulo: Cantos Superiore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1715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962026</xdr:colOff>
      <xdr:row>1</xdr:row>
      <xdr:rowOff>123825</xdr:rowOff>
    </xdr:from>
    <xdr:to>
      <xdr:col>2</xdr:col>
      <xdr:colOff>1448026</xdr:colOff>
      <xdr:row>2</xdr:row>
      <xdr:rowOff>266700</xdr:rowOff>
    </xdr:to>
    <xdr:sp macro="" textlink="">
      <xdr:nvSpPr>
        <xdr:cNvPr id="9" name="Retângulo: Cantos Superiore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8592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1466851</xdr:colOff>
      <xdr:row>1</xdr:row>
      <xdr:rowOff>123825</xdr:rowOff>
    </xdr:from>
    <xdr:to>
      <xdr:col>2</xdr:col>
      <xdr:colOff>1952851</xdr:colOff>
      <xdr:row>2</xdr:row>
      <xdr:rowOff>266700</xdr:rowOff>
    </xdr:to>
    <xdr:sp macro="" textlink="">
      <xdr:nvSpPr>
        <xdr:cNvPr id="10" name="Retângulo: Cantos Superiores Arredondado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9075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1971676</xdr:colOff>
      <xdr:row>1</xdr:row>
      <xdr:rowOff>123825</xdr:rowOff>
    </xdr:from>
    <xdr:to>
      <xdr:col>2</xdr:col>
      <xdr:colOff>2457676</xdr:colOff>
      <xdr:row>2</xdr:row>
      <xdr:rowOff>266700</xdr:rowOff>
    </xdr:to>
    <xdr:sp macro="" textlink="">
      <xdr:nvSpPr>
        <xdr:cNvPr id="11" name="Retângulo: Cantos Superiore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955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2476501</xdr:colOff>
      <xdr:row>1</xdr:row>
      <xdr:rowOff>123825</xdr:rowOff>
    </xdr:from>
    <xdr:to>
      <xdr:col>2</xdr:col>
      <xdr:colOff>2962501</xdr:colOff>
      <xdr:row>2</xdr:row>
      <xdr:rowOff>266700</xdr:rowOff>
    </xdr:to>
    <xdr:sp macro="" textlink="">
      <xdr:nvSpPr>
        <xdr:cNvPr id="12" name="Retângulo: Cantos Superiores Arredondado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20040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2981326</xdr:colOff>
      <xdr:row>1</xdr:row>
      <xdr:rowOff>123825</xdr:rowOff>
    </xdr:from>
    <xdr:to>
      <xdr:col>2</xdr:col>
      <xdr:colOff>3467326</xdr:colOff>
      <xdr:row>2</xdr:row>
      <xdr:rowOff>266700</xdr:rowOff>
    </xdr:to>
    <xdr:sp macro="" textlink="">
      <xdr:nvSpPr>
        <xdr:cNvPr id="13" name="Retângulo: Cantos Superiore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70522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3486151</xdr:colOff>
      <xdr:row>1</xdr:row>
      <xdr:rowOff>123825</xdr:rowOff>
    </xdr:from>
    <xdr:to>
      <xdr:col>2</xdr:col>
      <xdr:colOff>3972151</xdr:colOff>
      <xdr:row>2</xdr:row>
      <xdr:rowOff>266700</xdr:rowOff>
    </xdr:to>
    <xdr:sp macro="" textlink="">
      <xdr:nvSpPr>
        <xdr:cNvPr id="14" name="Retângulo: Cantos Superiores Arredondado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21005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3990976</xdr:colOff>
      <xdr:row>1</xdr:row>
      <xdr:rowOff>123825</xdr:rowOff>
    </xdr:from>
    <xdr:to>
      <xdr:col>3</xdr:col>
      <xdr:colOff>371701</xdr:colOff>
      <xdr:row>2</xdr:row>
      <xdr:rowOff>266700</xdr:rowOff>
    </xdr:to>
    <xdr:sp macro="" textlink="">
      <xdr:nvSpPr>
        <xdr:cNvPr id="15" name="Retângulo: Cantos Superiores Arredondados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7148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390526</xdr:colOff>
      <xdr:row>1</xdr:row>
      <xdr:rowOff>123825</xdr:rowOff>
    </xdr:from>
    <xdr:to>
      <xdr:col>4</xdr:col>
      <xdr:colOff>400276</xdr:colOff>
      <xdr:row>2</xdr:row>
      <xdr:rowOff>266700</xdr:rowOff>
    </xdr:to>
    <xdr:sp macro="" textlink="">
      <xdr:nvSpPr>
        <xdr:cNvPr id="16" name="Retângulo: Cantos Superiores Arredondados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21970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419101</xdr:colOff>
      <xdr:row>1</xdr:row>
      <xdr:rowOff>123825</xdr:rowOff>
    </xdr:from>
    <xdr:to>
      <xdr:col>5</xdr:col>
      <xdr:colOff>57376</xdr:colOff>
      <xdr:row>2</xdr:row>
      <xdr:rowOff>266700</xdr:rowOff>
    </xdr:to>
    <xdr:sp macro="" textlink="">
      <xdr:nvSpPr>
        <xdr:cNvPr id="17" name="Retângulo: Cantos Superiores Arredondados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72452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76201</xdr:colOff>
      <xdr:row>1</xdr:row>
      <xdr:rowOff>123825</xdr:rowOff>
    </xdr:from>
    <xdr:to>
      <xdr:col>6</xdr:col>
      <xdr:colOff>171676</xdr:colOff>
      <xdr:row>2</xdr:row>
      <xdr:rowOff>266700</xdr:rowOff>
    </xdr:to>
    <xdr:sp macro="" textlink="">
      <xdr:nvSpPr>
        <xdr:cNvPr id="18" name="Retângulo: Cantos Superiores Arredondados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6229351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6</xdr:col>
      <xdr:colOff>190501</xdr:colOff>
      <xdr:row>1</xdr:row>
      <xdr:rowOff>123825</xdr:rowOff>
    </xdr:from>
    <xdr:to>
      <xdr:col>8</xdr:col>
      <xdr:colOff>114526</xdr:colOff>
      <xdr:row>2</xdr:row>
      <xdr:rowOff>266700</xdr:rowOff>
    </xdr:to>
    <xdr:sp macro="" textlink="">
      <xdr:nvSpPr>
        <xdr:cNvPr id="19" name="Retângulo: Cantos Superiores Arredondados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6734176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9</xdr:col>
      <xdr:colOff>85725</xdr:colOff>
      <xdr:row>0</xdr:row>
      <xdr:rowOff>171450</xdr:rowOff>
    </xdr:from>
    <xdr:to>
      <xdr:col>13</xdr:col>
      <xdr:colOff>92075</xdr:colOff>
      <xdr:row>1</xdr:row>
      <xdr:rowOff>0</xdr:rowOff>
    </xdr:to>
    <xdr:sp macro="" textlink="">
      <xdr:nvSpPr>
        <xdr:cNvPr id="22" name="Retângulo: Cantos Superiores Arredondados 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34925</xdr:rowOff>
    </xdr:from>
    <xdr:to>
      <xdr:col>2</xdr:col>
      <xdr:colOff>225</xdr:colOff>
      <xdr:row>2</xdr:row>
      <xdr:rowOff>358775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38125" y="711200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7</xdr:col>
      <xdr:colOff>85725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266700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266700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266700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266700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266700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266700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266700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266700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266700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266700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266700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266700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7</xdr:col>
      <xdr:colOff>171450</xdr:colOff>
      <xdr:row>0</xdr:row>
      <xdr:rowOff>171450</xdr:rowOff>
    </xdr:from>
    <xdr:to>
      <xdr:col>11</xdr:col>
      <xdr:colOff>171450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1</xdr:col>
      <xdr:colOff>0</xdr:colOff>
      <xdr:row>2</xdr:row>
      <xdr:rowOff>38100</xdr:rowOff>
    </xdr:from>
    <xdr:to>
      <xdr:col>2</xdr:col>
      <xdr:colOff>9750</xdr:colOff>
      <xdr:row>2</xdr:row>
      <xdr:rowOff>361950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247650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>
            <a:solidFill>
              <a:schemeClr val="accent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266700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266700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266700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266700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266700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266700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266700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266700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266700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266700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266700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266700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9</xdr:col>
      <xdr:colOff>76200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1</xdr:col>
      <xdr:colOff>0</xdr:colOff>
      <xdr:row>2</xdr:row>
      <xdr:rowOff>47625</xdr:rowOff>
    </xdr:from>
    <xdr:to>
      <xdr:col>2</xdr:col>
      <xdr:colOff>9750</xdr:colOff>
      <xdr:row>2</xdr:row>
      <xdr:rowOff>371475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47650" y="723900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266700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266700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266700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266700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266700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266700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266700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266700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266700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266700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266700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266700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Sobre Nós</a:t>
          </a:r>
        </a:p>
      </xdr:txBody>
    </xdr:sp>
    <xdr:clientData/>
  </xdr:twoCellAnchor>
  <xdr:twoCellAnchor editAs="absolute">
    <xdr:from>
      <xdr:col>1</xdr:col>
      <xdr:colOff>0</xdr:colOff>
      <xdr:row>2</xdr:row>
      <xdr:rowOff>47625</xdr:rowOff>
    </xdr:from>
    <xdr:to>
      <xdr:col>2</xdr:col>
      <xdr:colOff>9750</xdr:colOff>
      <xdr:row>2</xdr:row>
      <xdr:rowOff>371475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247650" y="723900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5" name="Retângulo: Cantos Superiores Arredondados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5" name="Retângulo: Cantos Superiores Arredondados 3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581025</xdr:colOff>
      <xdr:row>1</xdr:row>
      <xdr:rowOff>123825</xdr:rowOff>
    </xdr:from>
    <xdr:to>
      <xdr:col>6</xdr:col>
      <xdr:colOff>219300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67341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2</xdr:col>
      <xdr:colOff>447675</xdr:colOff>
      <xdr:row>1</xdr:row>
      <xdr:rowOff>123825</xdr:rowOff>
    </xdr:from>
    <xdr:to>
      <xdr:col>2</xdr:col>
      <xdr:colOff>933675</xdr:colOff>
      <xdr:row>2</xdr:row>
      <xdr:rowOff>257175</xdr:rowOff>
    </xdr:to>
    <xdr:sp macro="" textlink="">
      <xdr:nvSpPr>
        <xdr:cNvPr id="20" name="Retângulo: Cantos Superiores Arredondados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1171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Jan</a:t>
          </a:r>
        </a:p>
      </xdr:txBody>
    </xdr:sp>
    <xdr:clientData/>
  </xdr:twoCellAnchor>
  <xdr:twoCellAnchor editAs="absolute">
    <xdr:from>
      <xdr:col>2</xdr:col>
      <xdr:colOff>962025</xdr:colOff>
      <xdr:row>1</xdr:row>
      <xdr:rowOff>123825</xdr:rowOff>
    </xdr:from>
    <xdr:to>
      <xdr:col>2</xdr:col>
      <xdr:colOff>1448025</xdr:colOff>
      <xdr:row>2</xdr:row>
      <xdr:rowOff>257175</xdr:rowOff>
    </xdr:to>
    <xdr:sp macro="" textlink="">
      <xdr:nvSpPr>
        <xdr:cNvPr id="21" name="Retângulo: Cantos Superiores Arredondado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16859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Fev</a:t>
          </a:r>
        </a:p>
      </xdr:txBody>
    </xdr:sp>
    <xdr:clientData/>
  </xdr:twoCellAnchor>
  <xdr:twoCellAnchor editAs="absolute">
    <xdr:from>
      <xdr:col>2</xdr:col>
      <xdr:colOff>1466850</xdr:colOff>
      <xdr:row>1</xdr:row>
      <xdr:rowOff>123825</xdr:rowOff>
    </xdr:from>
    <xdr:to>
      <xdr:col>2</xdr:col>
      <xdr:colOff>1952850</xdr:colOff>
      <xdr:row>2</xdr:row>
      <xdr:rowOff>257175</xdr:rowOff>
    </xdr:to>
    <xdr:sp macro="" textlink="">
      <xdr:nvSpPr>
        <xdr:cNvPr id="22" name="Retângulo: Cantos Superiores Arredondados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21907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Mar</a:t>
          </a:r>
        </a:p>
      </xdr:txBody>
    </xdr:sp>
    <xdr:clientData/>
  </xdr:twoCellAnchor>
  <xdr:twoCellAnchor editAs="absolute">
    <xdr:from>
      <xdr:col>2</xdr:col>
      <xdr:colOff>1971675</xdr:colOff>
      <xdr:row>1</xdr:row>
      <xdr:rowOff>123825</xdr:rowOff>
    </xdr:from>
    <xdr:to>
      <xdr:col>2</xdr:col>
      <xdr:colOff>2457675</xdr:colOff>
      <xdr:row>2</xdr:row>
      <xdr:rowOff>257175</xdr:rowOff>
    </xdr:to>
    <xdr:sp macro="" textlink="">
      <xdr:nvSpPr>
        <xdr:cNvPr id="23" name="Retângulo: Cantos Superiores Arredondados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26955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Abr</a:t>
          </a:r>
        </a:p>
      </xdr:txBody>
    </xdr:sp>
    <xdr:clientData/>
  </xdr:twoCellAnchor>
  <xdr:twoCellAnchor editAs="absolute">
    <xdr:from>
      <xdr:col>2</xdr:col>
      <xdr:colOff>2476500</xdr:colOff>
      <xdr:row>1</xdr:row>
      <xdr:rowOff>123825</xdr:rowOff>
    </xdr:from>
    <xdr:to>
      <xdr:col>2</xdr:col>
      <xdr:colOff>2962500</xdr:colOff>
      <xdr:row>2</xdr:row>
      <xdr:rowOff>257175</xdr:rowOff>
    </xdr:to>
    <xdr:sp macro="" textlink="">
      <xdr:nvSpPr>
        <xdr:cNvPr id="24" name="Retângulo: Cantos Superiores Arredondado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/>
      </xdr:nvSpPr>
      <xdr:spPr>
        <a:xfrm>
          <a:off x="32004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Mai</a:t>
          </a:r>
        </a:p>
      </xdr:txBody>
    </xdr:sp>
    <xdr:clientData/>
  </xdr:twoCellAnchor>
  <xdr:twoCellAnchor editAs="absolute">
    <xdr:from>
      <xdr:col>2</xdr:col>
      <xdr:colOff>2981325</xdr:colOff>
      <xdr:row>1</xdr:row>
      <xdr:rowOff>123825</xdr:rowOff>
    </xdr:from>
    <xdr:to>
      <xdr:col>2</xdr:col>
      <xdr:colOff>3467325</xdr:colOff>
      <xdr:row>2</xdr:row>
      <xdr:rowOff>257175</xdr:rowOff>
    </xdr:to>
    <xdr:sp macro="" textlink="">
      <xdr:nvSpPr>
        <xdr:cNvPr id="25" name="Retângulo: Cantos Superiores Arredondado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/>
      </xdr:nvSpPr>
      <xdr:spPr>
        <a:xfrm>
          <a:off x="37052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Jun</a:t>
          </a:r>
        </a:p>
      </xdr:txBody>
    </xdr:sp>
    <xdr:clientData/>
  </xdr:twoCellAnchor>
  <xdr:twoCellAnchor editAs="absolute">
    <xdr:from>
      <xdr:col>2</xdr:col>
      <xdr:colOff>3486150</xdr:colOff>
      <xdr:row>1</xdr:row>
      <xdr:rowOff>123825</xdr:rowOff>
    </xdr:from>
    <xdr:to>
      <xdr:col>2</xdr:col>
      <xdr:colOff>3972150</xdr:colOff>
      <xdr:row>2</xdr:row>
      <xdr:rowOff>257175</xdr:rowOff>
    </xdr:to>
    <xdr:sp macro="" textlink="">
      <xdr:nvSpPr>
        <xdr:cNvPr id="26" name="Retângulo: Cantos Superiores Arredondado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/>
      </xdr:nvSpPr>
      <xdr:spPr>
        <a:xfrm>
          <a:off x="42100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Jul</a:t>
          </a:r>
        </a:p>
      </xdr:txBody>
    </xdr:sp>
    <xdr:clientData/>
  </xdr:twoCellAnchor>
  <xdr:twoCellAnchor editAs="absolute">
    <xdr:from>
      <xdr:col>2</xdr:col>
      <xdr:colOff>3990975</xdr:colOff>
      <xdr:row>1</xdr:row>
      <xdr:rowOff>123825</xdr:rowOff>
    </xdr:from>
    <xdr:to>
      <xdr:col>3</xdr:col>
      <xdr:colOff>371700</xdr:colOff>
      <xdr:row>2</xdr:row>
      <xdr:rowOff>257175</xdr:rowOff>
    </xdr:to>
    <xdr:sp macro="" textlink="">
      <xdr:nvSpPr>
        <xdr:cNvPr id="27" name="Retângulo: Cantos Superiores Arredondados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>
        <a:xfrm>
          <a:off x="471487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Ago</a:t>
          </a:r>
        </a:p>
      </xdr:txBody>
    </xdr:sp>
    <xdr:clientData/>
  </xdr:twoCellAnchor>
  <xdr:twoCellAnchor editAs="absolute">
    <xdr:from>
      <xdr:col>3</xdr:col>
      <xdr:colOff>390525</xdr:colOff>
      <xdr:row>1</xdr:row>
      <xdr:rowOff>123825</xdr:rowOff>
    </xdr:from>
    <xdr:to>
      <xdr:col>4</xdr:col>
      <xdr:colOff>400275</xdr:colOff>
      <xdr:row>2</xdr:row>
      <xdr:rowOff>257175</xdr:rowOff>
    </xdr:to>
    <xdr:sp macro="" textlink="">
      <xdr:nvSpPr>
        <xdr:cNvPr id="28" name="Retângulo: Cantos Superiores Arredondado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/>
      </xdr:nvSpPr>
      <xdr:spPr>
        <a:xfrm>
          <a:off x="521970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Set</a:t>
          </a:r>
        </a:p>
      </xdr:txBody>
    </xdr:sp>
    <xdr:clientData/>
  </xdr:twoCellAnchor>
  <xdr:twoCellAnchor editAs="absolute">
    <xdr:from>
      <xdr:col>4</xdr:col>
      <xdr:colOff>419100</xdr:colOff>
      <xdr:row>1</xdr:row>
      <xdr:rowOff>123825</xdr:rowOff>
    </xdr:from>
    <xdr:to>
      <xdr:col>5</xdr:col>
      <xdr:colOff>57375</xdr:colOff>
      <xdr:row>2</xdr:row>
      <xdr:rowOff>257175</xdr:rowOff>
    </xdr:to>
    <xdr:sp macro="" textlink="">
      <xdr:nvSpPr>
        <xdr:cNvPr id="29" name="Retângulo: Cantos Superiores Arredondado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>
        <a:xfrm>
          <a:off x="5724525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Out</a:t>
          </a:r>
        </a:p>
      </xdr:txBody>
    </xdr:sp>
    <xdr:clientData/>
  </xdr:twoCellAnchor>
  <xdr:twoCellAnchor editAs="absolute">
    <xdr:from>
      <xdr:col>5</xdr:col>
      <xdr:colOff>76200</xdr:colOff>
      <xdr:row>1</xdr:row>
      <xdr:rowOff>123825</xdr:rowOff>
    </xdr:from>
    <xdr:to>
      <xdr:col>5</xdr:col>
      <xdr:colOff>562200</xdr:colOff>
      <xdr:row>2</xdr:row>
      <xdr:rowOff>257175</xdr:rowOff>
    </xdr:to>
    <xdr:sp macro="" textlink="">
      <xdr:nvSpPr>
        <xdr:cNvPr id="30" name="Retângulo: Cantos Superiores Arredondados 2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6229350" y="61912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Nov</a:t>
          </a:r>
        </a:p>
      </xdr:txBody>
    </xdr:sp>
    <xdr:clientData/>
  </xdr:twoCellAnchor>
  <xdr:twoCellAnchor editAs="absolute">
    <xdr:from>
      <xdr:col>5</xdr:col>
      <xdr:colOff>609600</xdr:colOff>
      <xdr:row>1</xdr:row>
      <xdr:rowOff>123825</xdr:rowOff>
    </xdr:from>
    <xdr:to>
      <xdr:col>6</xdr:col>
      <xdr:colOff>247875</xdr:colOff>
      <xdr:row>2</xdr:row>
      <xdr:rowOff>257175</xdr:rowOff>
    </xdr:to>
    <xdr:sp macro="" textlink="">
      <xdr:nvSpPr>
        <xdr:cNvPr id="31" name="Retângulo: Cantos Superiores Arredondados 3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/>
      </xdr:nvSpPr>
      <xdr:spPr>
        <a:xfrm>
          <a:off x="6762750" y="619125"/>
          <a:ext cx="486000" cy="314325"/>
        </a:xfrm>
        <a:prstGeom prst="round2SameRect">
          <a:avLst>
            <a:gd name="adj1" fmla="val 32353"/>
            <a:gd name="adj2" fmla="val 32353"/>
          </a:avLst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Dez</a:t>
          </a:r>
        </a:p>
      </xdr:txBody>
    </xdr:sp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34" name="Retângulo: Cantos Superiores Arredondados 3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 editAs="absolute">
    <xdr:from>
      <xdr:col>0</xdr:col>
      <xdr:colOff>238125</xdr:colOff>
      <xdr:row>2</xdr:row>
      <xdr:rowOff>38100</xdr:rowOff>
    </xdr:from>
    <xdr:to>
      <xdr:col>2</xdr:col>
      <xdr:colOff>225</xdr:colOff>
      <xdr:row>2</xdr:row>
      <xdr:rowOff>361950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238125" y="714375"/>
          <a:ext cx="486000" cy="323850"/>
        </a:xfrm>
        <a:prstGeom prst="round2SameRect">
          <a:avLst>
            <a:gd name="adj1" fmla="val 32353"/>
            <a:gd name="adj2" fmla="val 32353"/>
          </a:avLst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000">
            <a:solidFill>
              <a:schemeClr val="accent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1343025</xdr:colOff>
      <xdr:row>0</xdr:row>
      <xdr:rowOff>171450</xdr:rowOff>
    </xdr:from>
    <xdr:to>
      <xdr:col>2</xdr:col>
      <xdr:colOff>2343150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2</xdr:col>
      <xdr:colOff>2419350</xdr:colOff>
      <xdr:row>0</xdr:row>
      <xdr:rowOff>171450</xdr:rowOff>
    </xdr:from>
    <xdr:to>
      <xdr:col>2</xdr:col>
      <xdr:colOff>3419475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2</xdr:col>
      <xdr:colOff>3495675</xdr:colOff>
      <xdr:row>0</xdr:row>
      <xdr:rowOff>171450</xdr:rowOff>
    </xdr:from>
    <xdr:to>
      <xdr:col>3</xdr:col>
      <xdr:colOff>390525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171450</xdr:rowOff>
    </xdr:from>
    <xdr:to>
      <xdr:col>5</xdr:col>
      <xdr:colOff>142875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5</xdr:col>
      <xdr:colOff>228600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266700</xdr:colOff>
      <xdr:row>0</xdr:row>
      <xdr:rowOff>171450</xdr:rowOff>
    </xdr:from>
    <xdr:to>
      <xdr:col>2</xdr:col>
      <xdr:colOff>1266825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495184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" cy="495184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466725</xdr:colOff>
      <xdr:row>0</xdr:row>
      <xdr:rowOff>171450</xdr:rowOff>
    </xdr:from>
    <xdr:to>
      <xdr:col>7</xdr:col>
      <xdr:colOff>619125</xdr:colOff>
      <xdr:row>1</xdr:row>
      <xdr:rowOff>0</xdr:rowOff>
    </xdr:to>
    <xdr:sp macro="" textlink="">
      <xdr:nvSpPr>
        <xdr:cNvPr id="10" name="Retângulo: Cantos Superiores Arredondado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600075</xdr:colOff>
      <xdr:row>0</xdr:row>
      <xdr:rowOff>171450</xdr:rowOff>
    </xdr:from>
    <xdr:to>
      <xdr:col>6</xdr:col>
      <xdr:colOff>381000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6</xdr:col>
      <xdr:colOff>457200</xdr:colOff>
      <xdr:row>0</xdr:row>
      <xdr:rowOff>171450</xdr:rowOff>
    </xdr:from>
    <xdr:to>
      <xdr:col>8</xdr:col>
      <xdr:colOff>238125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8</xdr:col>
      <xdr:colOff>314325</xdr:colOff>
      <xdr:row>0</xdr:row>
      <xdr:rowOff>171450</xdr:rowOff>
    </xdr:from>
    <xdr:to>
      <xdr:col>10</xdr:col>
      <xdr:colOff>95250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10</xdr:col>
      <xdr:colOff>171450</xdr:colOff>
      <xdr:row>0</xdr:row>
      <xdr:rowOff>171450</xdr:rowOff>
    </xdr:from>
    <xdr:to>
      <xdr:col>11</xdr:col>
      <xdr:colOff>561975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12</xdr:col>
      <xdr:colOff>38100</xdr:colOff>
      <xdr:row>0</xdr:row>
      <xdr:rowOff>171450</xdr:rowOff>
    </xdr:from>
    <xdr:to>
      <xdr:col>13</xdr:col>
      <xdr:colOff>428625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3</xdr:col>
      <xdr:colOff>133350</xdr:colOff>
      <xdr:row>0</xdr:row>
      <xdr:rowOff>171450</xdr:rowOff>
    </xdr:from>
    <xdr:to>
      <xdr:col>4</xdr:col>
      <xdr:colOff>523875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13</xdr:col>
      <xdr:colOff>514350</xdr:colOff>
      <xdr:row>0</xdr:row>
      <xdr:rowOff>171450</xdr:rowOff>
    </xdr:from>
    <xdr:to>
      <xdr:col>15</xdr:col>
      <xdr:colOff>295275</xdr:colOff>
      <xdr:row>1</xdr:row>
      <xdr:rowOff>0</xdr:rowOff>
    </xdr:to>
    <xdr:sp macro="" textlink="">
      <xdr:nvSpPr>
        <xdr:cNvPr id="11" name="Retângulo: Cantos Superiores Arredondado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</xdr:row>
          <xdr:rowOff>19050</xdr:rowOff>
        </xdr:from>
        <xdr:to>
          <xdr:col>4</xdr:col>
          <xdr:colOff>409575</xdr:colOff>
          <xdr:row>5</xdr:row>
          <xdr:rowOff>57150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228600</xdr:colOff>
      <xdr:row>5</xdr:row>
      <xdr:rowOff>171450</xdr:rowOff>
    </xdr:from>
    <xdr:to>
      <xdr:col>15</xdr:col>
      <xdr:colOff>333375</xdr:colOff>
      <xdr:row>26</xdr:row>
      <xdr:rowOff>133350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600075</xdr:colOff>
      <xdr:row>0</xdr:row>
      <xdr:rowOff>171450</xdr:rowOff>
    </xdr:from>
    <xdr:to>
      <xdr:col>5</xdr:col>
      <xdr:colOff>657225</xdr:colOff>
      <xdr:row>1</xdr:row>
      <xdr:rowOff>0</xdr:rowOff>
    </xdr:to>
    <xdr:sp macro="" textlink="">
      <xdr:nvSpPr>
        <xdr:cNvPr id="2" name="Retângulo: Cantos Superiore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06692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733425</xdr:colOff>
      <xdr:row>0</xdr:row>
      <xdr:rowOff>171450</xdr:rowOff>
    </xdr:from>
    <xdr:to>
      <xdr:col>7</xdr:col>
      <xdr:colOff>228600</xdr:colOff>
      <xdr:row>1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314325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7</xdr:col>
      <xdr:colOff>304800</xdr:colOff>
      <xdr:row>0</xdr:row>
      <xdr:rowOff>171450</xdr:rowOff>
    </xdr:from>
    <xdr:to>
      <xdr:col>8</xdr:col>
      <xdr:colOff>552450</xdr:colOff>
      <xdr:row>1</xdr:row>
      <xdr:rowOff>0</xdr:rowOff>
    </xdr:to>
    <xdr:sp macro="" textlink="">
      <xdr:nvSpPr>
        <xdr:cNvPr id="4" name="Retângulo: Cantos Superiore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4219575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Resultados</a:t>
          </a:r>
        </a:p>
      </xdr:txBody>
    </xdr:sp>
    <xdr:clientData/>
  </xdr:twoCellAnchor>
  <xdr:twoCellAnchor editAs="absolute">
    <xdr:from>
      <xdr:col>8</xdr:col>
      <xdr:colOff>628650</xdr:colOff>
      <xdr:row>0</xdr:row>
      <xdr:rowOff>171450</xdr:rowOff>
    </xdr:from>
    <xdr:to>
      <xdr:col>10</xdr:col>
      <xdr:colOff>123825</xdr:colOff>
      <xdr:row>1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52959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Gráficos</a:t>
          </a:r>
        </a:p>
      </xdr:txBody>
    </xdr:sp>
    <xdr:clientData/>
  </xdr:twoCellAnchor>
  <xdr:twoCellAnchor editAs="absolute">
    <xdr:from>
      <xdr:col>10</xdr:col>
      <xdr:colOff>209550</xdr:colOff>
      <xdr:row>0</xdr:row>
      <xdr:rowOff>171450</xdr:rowOff>
    </xdr:from>
    <xdr:to>
      <xdr:col>11</xdr:col>
      <xdr:colOff>457200</xdr:colOff>
      <xdr:row>1</xdr:row>
      <xdr:rowOff>0</xdr:rowOff>
    </xdr:to>
    <xdr:sp macro="" textlink="">
      <xdr:nvSpPr>
        <xdr:cNvPr id="6" name="Retângulo: Cantos Superiore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6381750" y="171450"/>
          <a:ext cx="1000125" cy="323850"/>
        </a:xfrm>
        <a:prstGeom prst="round2Same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accent1"/>
              </a:solidFill>
              <a:latin typeface="Segoe UI" panose="020B0502040204020203" pitchFamily="34" charset="0"/>
              <a:cs typeface="Segoe UI" panose="020B0502040204020203" pitchFamily="34" charset="0"/>
            </a:rPr>
            <a:t>Impressão</a:t>
          </a:r>
        </a:p>
      </xdr:txBody>
    </xdr:sp>
    <xdr:clientData/>
  </xdr:twoCellAnchor>
  <xdr:twoCellAnchor editAs="absolute">
    <xdr:from>
      <xdr:col>2</xdr:col>
      <xdr:colOff>571500</xdr:colOff>
      <xdr:row>0</xdr:row>
      <xdr:rowOff>171450</xdr:rowOff>
    </xdr:from>
    <xdr:to>
      <xdr:col>4</xdr:col>
      <xdr:colOff>523875</xdr:colOff>
      <xdr:row>1</xdr:row>
      <xdr:rowOff>0</xdr:rowOff>
    </xdr:to>
    <xdr:sp macro="" textlink="">
      <xdr:nvSpPr>
        <xdr:cNvPr id="7" name="Retângulo: Cantos Superiore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990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Início</a:t>
          </a:r>
        </a:p>
      </xdr:txBody>
    </xdr:sp>
    <xdr:clientData/>
  </xdr:twoCellAnchor>
  <xdr:twoCellAnchor editAs="absolute">
    <xdr:from>
      <xdr:col>11</xdr:col>
      <xdr:colOff>542925</xdr:colOff>
      <xdr:row>0</xdr:row>
      <xdr:rowOff>171450</xdr:rowOff>
    </xdr:from>
    <xdr:to>
      <xdr:col>13</xdr:col>
      <xdr:colOff>38100</xdr:colOff>
      <xdr:row>1</xdr:row>
      <xdr:rowOff>0</xdr:rowOff>
    </xdr:to>
    <xdr:sp macro="" textlink="">
      <xdr:nvSpPr>
        <xdr:cNvPr id="10" name="Retângulo: Cantos Superiore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7467600" y="171450"/>
          <a:ext cx="1000125" cy="323850"/>
        </a:xfrm>
        <a:prstGeom prst="round2Same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" panose="020B0502040204020203" pitchFamily="34" charset="0"/>
              <a:cs typeface="Segoe UI" panose="020B0502040204020203" pitchFamily="34" charset="0"/>
            </a:rPr>
            <a:t>Sobre Nós</a:t>
          </a:r>
        </a:p>
      </xdr:txBody>
    </xdr:sp>
    <xdr:clientData/>
  </xdr:twoCellAnchor>
  <xdr:twoCellAnchor>
    <xdr:from>
      <xdr:col>2</xdr:col>
      <xdr:colOff>1</xdr:colOff>
      <xdr:row>12</xdr:row>
      <xdr:rowOff>1</xdr:rowOff>
    </xdr:from>
    <xdr:to>
      <xdr:col>12</xdr:col>
      <xdr:colOff>209550</xdr:colOff>
      <xdr:row>30</xdr:row>
      <xdr:rowOff>95250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workbookViewId="0">
      <selection activeCell="F6" sqref="F6"/>
    </sheetView>
  </sheetViews>
  <sheetFormatPr defaultRowHeight="14.25" x14ac:dyDescent="0.25"/>
  <cols>
    <col min="1" max="1" width="3.7109375" style="6" customWidth="1"/>
    <col min="2" max="2" width="4.7109375" style="7" customWidth="1"/>
    <col min="3" max="3" width="7.7109375" style="7" customWidth="1"/>
    <col min="4" max="4" width="15" style="7" customWidth="1"/>
    <col min="5" max="5" width="96.7109375" style="7" customWidth="1"/>
    <col min="6" max="16384" width="9.140625" style="7"/>
  </cols>
  <sheetData>
    <row r="1" spans="1:5" s="8" customFormat="1" ht="39" customHeight="1" x14ac:dyDescent="0.25">
      <c r="A1" s="5"/>
    </row>
    <row r="2" spans="1:5" x14ac:dyDescent="0.25">
      <c r="A2" s="2"/>
    </row>
    <row r="3" spans="1:5" s="19" customFormat="1" ht="30" customHeight="1" x14ac:dyDescent="0.45">
      <c r="A3" s="17"/>
      <c r="B3" s="18" t="s">
        <v>84</v>
      </c>
    </row>
    <row r="5" spans="1:5" ht="30" customHeight="1" x14ac:dyDescent="0.25">
      <c r="C5" s="1">
        <v>1</v>
      </c>
      <c r="D5" s="12" t="s">
        <v>0</v>
      </c>
      <c r="E5" s="13" t="s">
        <v>82</v>
      </c>
    </row>
    <row r="6" spans="1:5" ht="9.75" customHeight="1" x14ac:dyDescent="0.25">
      <c r="E6" s="13"/>
    </row>
    <row r="7" spans="1:5" ht="30" customHeight="1" x14ac:dyDescent="0.25">
      <c r="C7" s="1">
        <v>2</v>
      </c>
      <c r="D7" s="12" t="s">
        <v>1</v>
      </c>
      <c r="E7" s="13" t="s">
        <v>83</v>
      </c>
    </row>
    <row r="8" spans="1:5" ht="9.75" customHeight="1" x14ac:dyDescent="0.25">
      <c r="E8" s="13"/>
    </row>
    <row r="9" spans="1:5" ht="30" customHeight="1" x14ac:dyDescent="0.25">
      <c r="C9" s="1">
        <v>3</v>
      </c>
      <c r="D9" s="12" t="s">
        <v>2</v>
      </c>
      <c r="E9" s="13" t="s">
        <v>79</v>
      </c>
    </row>
    <row r="10" spans="1:5" ht="9.75" customHeight="1" x14ac:dyDescent="0.25">
      <c r="E10" s="13"/>
    </row>
    <row r="11" spans="1:5" ht="30" customHeight="1" x14ac:dyDescent="0.25">
      <c r="C11" s="1">
        <v>4</v>
      </c>
      <c r="D11" s="12" t="s">
        <v>3</v>
      </c>
      <c r="E11" s="13" t="s">
        <v>80</v>
      </c>
    </row>
    <row r="12" spans="1:5" ht="9.75" customHeight="1" x14ac:dyDescent="0.25">
      <c r="E12" s="13"/>
    </row>
    <row r="13" spans="1:5" ht="30" customHeight="1" x14ac:dyDescent="0.25">
      <c r="C13" s="1">
        <v>5</v>
      </c>
      <c r="D13" s="12" t="s">
        <v>4</v>
      </c>
      <c r="E13" s="13" t="s">
        <v>81</v>
      </c>
    </row>
    <row r="15" spans="1:5" ht="30" customHeight="1" x14ac:dyDescent="0.25">
      <c r="C15" s="1">
        <v>6</v>
      </c>
      <c r="D15" s="12" t="s">
        <v>5</v>
      </c>
      <c r="E15" s="13" t="s">
        <v>6</v>
      </c>
    </row>
  </sheetData>
  <sheetProtection selectLockedCells="1" selectUnlockedCells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showGridLines="0" zoomScaleNormal="100" workbookViewId="0">
      <pane ySplit="4" topLeftCell="A38" activePane="bottomLeft" state="frozen"/>
      <selection pane="bottomLeft" activeCell="A2" sqref="A2"/>
    </sheetView>
  </sheetViews>
  <sheetFormatPr defaultRowHeight="14.25" x14ac:dyDescent="0.25"/>
  <cols>
    <col min="1" max="1" width="3.7109375" style="6" customWidth="1"/>
    <col min="2" max="2" width="7.140625" style="7" customWidth="1"/>
    <col min="3" max="3" width="61.5703125" style="7" bestFit="1" customWidth="1"/>
    <col min="4" max="4" width="7.140625" style="7" bestFit="1" customWidth="1"/>
    <col min="5" max="16" width="12.7109375" style="7" customWidth="1"/>
    <col min="17" max="16384" width="9.140625" style="7"/>
  </cols>
  <sheetData>
    <row r="1" spans="1:16" s="8" customFormat="1" ht="39" customHeight="1" x14ac:dyDescent="0.25">
      <c r="A1" s="5"/>
    </row>
    <row r="2" spans="1:16" x14ac:dyDescent="0.25">
      <c r="A2" s="2"/>
    </row>
    <row r="3" spans="1:16" ht="30" customHeight="1" thickBot="1" x14ac:dyDescent="0.3"/>
    <row r="4" spans="1:16" ht="15" thickTop="1" x14ac:dyDescent="0.25"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x14ac:dyDescent="0.25">
      <c r="B5" s="21" t="s">
        <v>52</v>
      </c>
      <c r="C5" s="22" t="s">
        <v>67</v>
      </c>
      <c r="D5" s="23"/>
      <c r="E5" s="24">
        <v>1000</v>
      </c>
      <c r="F5" s="24">
        <f>E5+25000</f>
        <v>26000</v>
      </c>
      <c r="G5" s="24">
        <f t="shared" ref="G5:P5" si="0">F5+25000</f>
        <v>51000</v>
      </c>
      <c r="H5" s="24">
        <f t="shared" si="0"/>
        <v>76000</v>
      </c>
      <c r="I5" s="24">
        <f t="shared" si="0"/>
        <v>101000</v>
      </c>
      <c r="J5" s="24">
        <f t="shared" si="0"/>
        <v>126000</v>
      </c>
      <c r="K5" s="24">
        <f t="shared" si="0"/>
        <v>151000</v>
      </c>
      <c r="L5" s="24">
        <f t="shared" si="0"/>
        <v>176000</v>
      </c>
      <c r="M5" s="24">
        <f t="shared" si="0"/>
        <v>201000</v>
      </c>
      <c r="N5" s="24">
        <f t="shared" si="0"/>
        <v>226000</v>
      </c>
      <c r="O5" s="24">
        <f t="shared" si="0"/>
        <v>251000</v>
      </c>
      <c r="P5" s="24">
        <f t="shared" si="0"/>
        <v>276000</v>
      </c>
    </row>
    <row r="6" spans="1:16" x14ac:dyDescent="0.25">
      <c r="B6" s="21" t="s">
        <v>52</v>
      </c>
      <c r="C6" s="22" t="s">
        <v>23</v>
      </c>
      <c r="D6" s="23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 x14ac:dyDescent="0.25">
      <c r="B7" s="25" t="s">
        <v>22</v>
      </c>
      <c r="C7" s="26" t="s">
        <v>24</v>
      </c>
      <c r="D7" s="27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x14ac:dyDescent="0.25">
      <c r="B8" s="25" t="s">
        <v>22</v>
      </c>
      <c r="C8" s="26" t="s">
        <v>25</v>
      </c>
      <c r="D8" s="27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x14ac:dyDescent="0.25">
      <c r="B9" s="25" t="s">
        <v>22</v>
      </c>
      <c r="C9" s="26" t="s">
        <v>26</v>
      </c>
      <c r="D9" s="27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x14ac:dyDescent="0.25">
      <c r="B10" s="25" t="s">
        <v>22</v>
      </c>
      <c r="C10" s="26" t="s">
        <v>27</v>
      </c>
      <c r="D10" s="27"/>
      <c r="E10" s="28">
        <v>100</v>
      </c>
      <c r="F10" s="28">
        <v>100</v>
      </c>
      <c r="G10" s="28">
        <v>100</v>
      </c>
      <c r="H10" s="28">
        <v>100</v>
      </c>
      <c r="I10" s="28">
        <v>100</v>
      </c>
      <c r="J10" s="28">
        <v>100</v>
      </c>
      <c r="K10" s="28">
        <v>100</v>
      </c>
      <c r="L10" s="28">
        <v>100</v>
      </c>
      <c r="M10" s="28">
        <v>100</v>
      </c>
      <c r="N10" s="28">
        <v>100</v>
      </c>
      <c r="O10" s="28">
        <v>100</v>
      </c>
      <c r="P10" s="28">
        <v>100</v>
      </c>
    </row>
    <row r="11" spans="1:16" x14ac:dyDescent="0.25">
      <c r="B11" s="25" t="s">
        <v>22</v>
      </c>
      <c r="C11" s="26" t="s">
        <v>28</v>
      </c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16" x14ac:dyDescent="0.25">
      <c r="B12" s="25" t="s">
        <v>22</v>
      </c>
      <c r="C12" s="26" t="s">
        <v>29</v>
      </c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16" x14ac:dyDescent="0.25">
      <c r="B13" s="25" t="s">
        <v>22</v>
      </c>
      <c r="C13" s="26" t="s">
        <v>30</v>
      </c>
      <c r="D13" s="2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x14ac:dyDescent="0.25">
      <c r="B14" s="25" t="s">
        <v>22</v>
      </c>
      <c r="C14" s="26" t="s">
        <v>31</v>
      </c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 x14ac:dyDescent="0.25">
      <c r="B15" s="25" t="s">
        <v>22</v>
      </c>
      <c r="C15" s="26" t="s">
        <v>32</v>
      </c>
      <c r="D15" s="27"/>
      <c r="E15" s="28">
        <v>500</v>
      </c>
      <c r="F15" s="28">
        <v>500</v>
      </c>
      <c r="G15" s="28">
        <v>500</v>
      </c>
      <c r="H15" s="28">
        <v>500</v>
      </c>
      <c r="I15" s="28">
        <v>500</v>
      </c>
      <c r="J15" s="28">
        <v>500</v>
      </c>
      <c r="K15" s="28">
        <v>500</v>
      </c>
      <c r="L15" s="28">
        <v>500</v>
      </c>
      <c r="M15" s="28">
        <v>500</v>
      </c>
      <c r="N15" s="28">
        <v>500</v>
      </c>
      <c r="O15" s="28">
        <v>500</v>
      </c>
      <c r="P15" s="28">
        <v>500</v>
      </c>
    </row>
    <row r="16" spans="1:16" x14ac:dyDescent="0.25">
      <c r="B16" s="25" t="s">
        <v>22</v>
      </c>
      <c r="C16" s="26" t="s">
        <v>33</v>
      </c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2:16" x14ac:dyDescent="0.25">
      <c r="B17" s="25" t="s">
        <v>22</v>
      </c>
      <c r="C17" s="26" t="s">
        <v>34</v>
      </c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2:16" x14ac:dyDescent="0.25">
      <c r="B18" s="25" t="s">
        <v>22</v>
      </c>
      <c r="C18" s="26" t="s">
        <v>35</v>
      </c>
      <c r="D18" s="27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2:16" x14ac:dyDescent="0.25">
      <c r="B19" s="25" t="s">
        <v>22</v>
      </c>
      <c r="C19" s="26" t="s">
        <v>36</v>
      </c>
      <c r="D19" s="27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spans="2:16" x14ac:dyDescent="0.25">
      <c r="B20" s="21" t="s">
        <v>52</v>
      </c>
      <c r="C20" s="22" t="s">
        <v>38</v>
      </c>
      <c r="D20" s="23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2:16" x14ac:dyDescent="0.25">
      <c r="B21" s="25" t="s">
        <v>37</v>
      </c>
      <c r="C21" s="26" t="s">
        <v>39</v>
      </c>
      <c r="D21" s="27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2:16" x14ac:dyDescent="0.25">
      <c r="B22" s="25" t="s">
        <v>37</v>
      </c>
      <c r="C22" s="26" t="s">
        <v>40</v>
      </c>
      <c r="D22" s="27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2:16" x14ac:dyDescent="0.25">
      <c r="B23" s="25" t="s">
        <v>37</v>
      </c>
      <c r="C23" s="26" t="s">
        <v>41</v>
      </c>
      <c r="D23" s="27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spans="2:16" x14ac:dyDescent="0.25">
      <c r="B24" s="25" t="s">
        <v>37</v>
      </c>
      <c r="C24" s="26" t="s">
        <v>42</v>
      </c>
      <c r="D24" s="27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2:16" x14ac:dyDescent="0.25">
      <c r="B25" s="25" t="s">
        <v>37</v>
      </c>
      <c r="C25" s="26" t="s">
        <v>43</v>
      </c>
      <c r="D25" s="27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2:16" x14ac:dyDescent="0.25">
      <c r="B26" s="25" t="s">
        <v>37</v>
      </c>
      <c r="C26" s="26" t="s">
        <v>44</v>
      </c>
      <c r="D26" s="27"/>
      <c r="E26" s="28">
        <v>-1000</v>
      </c>
      <c r="F26" s="28">
        <v>-1000</v>
      </c>
      <c r="G26" s="28">
        <v>-1000</v>
      </c>
      <c r="H26" s="28">
        <v>-1000</v>
      </c>
      <c r="I26" s="28">
        <v>-1000</v>
      </c>
      <c r="J26" s="28">
        <v>-1000</v>
      </c>
      <c r="K26" s="28">
        <v>-1000</v>
      </c>
      <c r="L26" s="28">
        <v>-1000</v>
      </c>
      <c r="M26" s="28">
        <v>-1000</v>
      </c>
      <c r="N26" s="28">
        <v>-1000</v>
      </c>
      <c r="O26" s="28">
        <v>-1000</v>
      </c>
      <c r="P26" s="28">
        <v>-1000</v>
      </c>
    </row>
    <row r="27" spans="2:16" x14ac:dyDescent="0.25">
      <c r="B27" s="25" t="s">
        <v>37</v>
      </c>
      <c r="C27" s="26" t="s">
        <v>45</v>
      </c>
      <c r="D27" s="2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2:16" x14ac:dyDescent="0.25">
      <c r="B28" s="25" t="s">
        <v>37</v>
      </c>
      <c r="C28" s="26" t="s">
        <v>46</v>
      </c>
      <c r="D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2:16" x14ac:dyDescent="0.25">
      <c r="B29" s="25" t="s">
        <v>37</v>
      </c>
      <c r="C29" s="26" t="s">
        <v>47</v>
      </c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2:16" x14ac:dyDescent="0.25">
      <c r="B30" s="25" t="s">
        <v>37</v>
      </c>
      <c r="C30" s="26" t="s">
        <v>48</v>
      </c>
      <c r="D30" s="2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spans="2:16" x14ac:dyDescent="0.25">
      <c r="B31" s="25" t="s">
        <v>37</v>
      </c>
      <c r="C31" s="26" t="s">
        <v>49</v>
      </c>
      <c r="D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2:16" x14ac:dyDescent="0.25">
      <c r="B32" s="25" t="s">
        <v>37</v>
      </c>
      <c r="C32" s="26" t="s">
        <v>50</v>
      </c>
      <c r="D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1:16" x14ac:dyDescent="0.25">
      <c r="B33" s="25" t="s">
        <v>37</v>
      </c>
      <c r="C33" s="26" t="s">
        <v>51</v>
      </c>
      <c r="D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spans="1:16" s="31" customFormat="1" x14ac:dyDescent="0.25">
      <c r="A34" s="32"/>
      <c r="B34" s="21" t="s">
        <v>52</v>
      </c>
      <c r="C34" s="22" t="s">
        <v>53</v>
      </c>
      <c r="D34" s="23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spans="1:16" s="31" customFormat="1" x14ac:dyDescent="0.25">
      <c r="A35" s="32"/>
      <c r="B35" s="21" t="s">
        <v>52</v>
      </c>
      <c r="C35" s="22" t="s">
        <v>66</v>
      </c>
      <c r="D35" s="23"/>
      <c r="E35" s="49">
        <v>45000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1:16" x14ac:dyDescent="0.25">
      <c r="B36" s="21" t="s">
        <v>9</v>
      </c>
      <c r="C36" s="22" t="s">
        <v>54</v>
      </c>
      <c r="D36" s="23">
        <v>0.3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</row>
    <row r="37" spans="1:16" x14ac:dyDescent="0.25">
      <c r="B37" s="21" t="s">
        <v>9</v>
      </c>
      <c r="C37" s="22" t="s">
        <v>55</v>
      </c>
      <c r="D37" s="23">
        <v>0.1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1:16" x14ac:dyDescent="0.25">
      <c r="B38" s="21" t="s">
        <v>9</v>
      </c>
      <c r="C38" s="22" t="s">
        <v>56</v>
      </c>
      <c r="D38" s="23">
        <v>0.15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x14ac:dyDescent="0.25">
      <c r="B39" s="21" t="s">
        <v>9</v>
      </c>
      <c r="C39" s="22" t="s">
        <v>57</v>
      </c>
      <c r="D39" s="23">
        <v>0.09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 spans="1:16" x14ac:dyDescent="0.25">
      <c r="B40" s="21" t="s">
        <v>52</v>
      </c>
      <c r="C40" s="22" t="s">
        <v>58</v>
      </c>
      <c r="D40" s="2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 spans="1:16" x14ac:dyDescent="0.25">
      <c r="B41" s="25" t="s">
        <v>37</v>
      </c>
      <c r="C41" s="26" t="s">
        <v>59</v>
      </c>
      <c r="D41" s="27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1:16" x14ac:dyDescent="0.25">
      <c r="B42" s="25" t="s">
        <v>37</v>
      </c>
      <c r="C42" s="26" t="s">
        <v>60</v>
      </c>
      <c r="D42" s="27"/>
      <c r="E42" s="28">
        <v>-100</v>
      </c>
      <c r="F42" s="28">
        <v>-100</v>
      </c>
      <c r="G42" s="28">
        <v>-100</v>
      </c>
      <c r="H42" s="28">
        <v>-100</v>
      </c>
      <c r="I42" s="28">
        <v>-100</v>
      </c>
      <c r="J42" s="28">
        <v>-100</v>
      </c>
      <c r="K42" s="28">
        <v>-100</v>
      </c>
      <c r="L42" s="28">
        <v>-100</v>
      </c>
      <c r="M42" s="28">
        <v>-100</v>
      </c>
      <c r="N42" s="28">
        <v>-100</v>
      </c>
      <c r="O42" s="28">
        <v>-100</v>
      </c>
      <c r="P42" s="28">
        <v>-100</v>
      </c>
    </row>
    <row r="43" spans="1:16" x14ac:dyDescent="0.25">
      <c r="B43" s="25" t="s">
        <v>37</v>
      </c>
      <c r="C43" s="26" t="s">
        <v>61</v>
      </c>
      <c r="D43" s="27"/>
      <c r="E43" s="28">
        <v>-2000</v>
      </c>
      <c r="F43" s="28">
        <v>-2000</v>
      </c>
      <c r="G43" s="28">
        <v>-2000</v>
      </c>
      <c r="H43" s="28">
        <v>-2000</v>
      </c>
      <c r="I43" s="28">
        <v>-2000</v>
      </c>
      <c r="J43" s="28">
        <v>-2000</v>
      </c>
      <c r="K43" s="28">
        <v>-2000</v>
      </c>
      <c r="L43" s="28">
        <v>-2000</v>
      </c>
      <c r="M43" s="28">
        <v>-2000</v>
      </c>
      <c r="N43" s="28">
        <v>-2000</v>
      </c>
      <c r="O43" s="28">
        <v>-2000</v>
      </c>
      <c r="P43" s="28">
        <v>-2000</v>
      </c>
    </row>
    <row r="44" spans="1:16" x14ac:dyDescent="0.25">
      <c r="B44" s="25" t="s">
        <v>37</v>
      </c>
      <c r="C44" s="26" t="s">
        <v>62</v>
      </c>
      <c r="D44" s="27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</row>
    <row r="45" spans="1:16" x14ac:dyDescent="0.25">
      <c r="B45" s="25" t="s">
        <v>37</v>
      </c>
      <c r="C45" s="26" t="s">
        <v>63</v>
      </c>
      <c r="D45" s="2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16" x14ac:dyDescent="0.25">
      <c r="B46" s="25" t="s">
        <v>37</v>
      </c>
      <c r="C46" s="26" t="s">
        <v>64</v>
      </c>
      <c r="D46" s="27"/>
      <c r="E46" s="28">
        <v>-1500</v>
      </c>
      <c r="F46" s="28">
        <v>-1500</v>
      </c>
      <c r="G46" s="28">
        <v>-1500</v>
      </c>
      <c r="H46" s="28">
        <v>-1500</v>
      </c>
      <c r="I46" s="28">
        <v>-1500</v>
      </c>
      <c r="J46" s="28">
        <v>-1500</v>
      </c>
      <c r="K46" s="28">
        <v>-1500</v>
      </c>
      <c r="L46" s="28">
        <v>-1500</v>
      </c>
      <c r="M46" s="28">
        <v>-1500</v>
      </c>
      <c r="N46" s="28">
        <v>-1500</v>
      </c>
      <c r="O46" s="28">
        <v>-1500</v>
      </c>
      <c r="P46" s="28">
        <v>-1500</v>
      </c>
    </row>
    <row r="47" spans="1:16" x14ac:dyDescent="0.25">
      <c r="B47" s="25" t="s">
        <v>37</v>
      </c>
      <c r="C47" s="26" t="s">
        <v>65</v>
      </c>
      <c r="D47" s="27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</row>
    <row r="48" spans="1:16" x14ac:dyDescent="0.25">
      <c r="B48" s="21" t="s">
        <v>52</v>
      </c>
      <c r="C48" s="22" t="s">
        <v>68</v>
      </c>
      <c r="D48" s="2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 spans="2:16" x14ac:dyDescent="0.25">
      <c r="B49" s="21" t="s">
        <v>52</v>
      </c>
      <c r="C49" s="22" t="s">
        <v>69</v>
      </c>
      <c r="D49" s="2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showGridLines="0" zoomScaleNormal="100" workbookViewId="0">
      <pane ySplit="4" topLeftCell="A5" activePane="bottomLeft" state="frozen"/>
      <selection pane="bottomLeft" activeCell="A2" sqref="A2:XFD2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5" width="12.7109375" style="4" customWidth="1"/>
    <col min="6" max="6" width="5.85546875" style="4" customWidth="1"/>
    <col min="7" max="7" width="4.42578125" style="4" bestFit="1" customWidth="1"/>
    <col min="8" max="8" width="4" style="4" bestFit="1" customWidth="1"/>
    <col min="9" max="9" width="4.140625" style="4" bestFit="1" customWidth="1"/>
    <col min="10" max="10" width="3.7109375" style="4" bestFit="1" customWidth="1"/>
    <col min="11" max="11" width="3.140625" style="4" bestFit="1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1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s="31" customFormat="1" x14ac:dyDescent="0.25">
      <c r="A5" s="3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s="31" customFormat="1" x14ac:dyDescent="0.25">
      <c r="A6" s="10">
        <v>2019</v>
      </c>
      <c r="B6" s="21" t="str">
        <f>tab!B6</f>
        <v>=</v>
      </c>
      <c r="C6" s="22" t="str">
        <f>tab!C6</f>
        <v>Adições</v>
      </c>
      <c r="D6" s="23"/>
      <c r="E6" s="45">
        <f>SUM(E7:E19)</f>
        <v>600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 x14ac:dyDescent="0.25">
      <c r="A7" s="3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HLOOKUP(E$4,tab!$E$4:$P$33,MATCH($C7,$C$4:$C$33,0),0)</f>
        <v>0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</row>
    <row r="8" spans="1:16" x14ac:dyDescent="0.25">
      <c r="A8" s="1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HLOOKUP(E$4,tab!$E$4:$P$33,MATCH($C8,$C$4:$C$33,0),0)</f>
        <v>0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</row>
    <row r="9" spans="1:16" x14ac:dyDescent="0.25">
      <c r="A9" s="3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HLOOKUP(E$4,tab!$E$4:$P$33,MATCH($C9,$C$4:$C$33,0),0)</f>
        <v>0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x14ac:dyDescent="0.25">
      <c r="A10" s="1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HLOOKUP(E$4,tab!$E$4:$P$33,MATCH($C10,$C$4:$C$33,0),0)</f>
        <v>100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16" x14ac:dyDescent="0.25">
      <c r="A11" s="3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HLOOKUP(E$4,tab!$E$4:$P$33,MATCH($C11,$C$4:$C$33,0),0)</f>
        <v>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</row>
    <row r="12" spans="1:16" x14ac:dyDescent="0.25">
      <c r="A12" s="1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HLOOKUP(E$4,tab!$E$4:$P$33,MATCH($C12,$C$4:$C$33,0),0)</f>
        <v>0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</row>
    <row r="13" spans="1:16" x14ac:dyDescent="0.25">
      <c r="A13" s="3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HLOOKUP(E$4,tab!$E$4:$P$33,MATCH($C13,$C$4:$C$33,0),0)</f>
        <v>0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  <row r="14" spans="1:16" x14ac:dyDescent="0.25">
      <c r="A14" s="1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HLOOKUP(E$4,tab!$E$4:$P$33,MATCH($C14,$C$4:$C$33,0),0)</f>
        <v>0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</row>
    <row r="15" spans="1:16" x14ac:dyDescent="0.25">
      <c r="A15" s="3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HLOOKUP(E$4,tab!$E$4:$P$33,MATCH($C15,$C$4:$C$33,0),0)</f>
        <v>500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</row>
    <row r="16" spans="1:16" x14ac:dyDescent="0.25">
      <c r="A16" s="1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HLOOKUP(E$4,tab!$E$4:$P$33,MATCH($C16,$C$4:$C$33,0),0)</f>
        <v>0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</row>
    <row r="17" spans="1:16" x14ac:dyDescent="0.25">
      <c r="A17" s="3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HLOOKUP(E$4,tab!$E$4:$P$33,MATCH($C17,$C$4:$C$33,0),0)</f>
        <v>0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</row>
    <row r="18" spans="1:16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HLOOKUP(E$4,tab!$E$4:$P$33,MATCH($C18,$C$4:$C$33,0),0)</f>
        <v>0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1:16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HLOOKUP(E$4,tab!$E$4:$P$33,MATCH($C19,$C$4:$C$33,0),0)</f>
        <v>0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1:16" s="31" customFormat="1" x14ac:dyDescent="0.25">
      <c r="A20" s="30"/>
      <c r="B20" s="21" t="str">
        <f>tab!B20</f>
        <v>=</v>
      </c>
      <c r="C20" s="22" t="str">
        <f>tab!C20</f>
        <v>Exclusões</v>
      </c>
      <c r="D20" s="23"/>
      <c r="E20" s="45">
        <f>SUM(E21:E33)</f>
        <v>-1000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HLOOKUP(E$4,tab!$E$4:$P$33,MATCH($C21,$C$4:$C$33,0),0)</f>
        <v>0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16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HLOOKUP(E$4,tab!$E$4:$P$33,MATCH($C22,$C$4:$C$33,0),0)</f>
        <v>0</v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1:16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HLOOKUP(E$4,tab!$E$4:$P$33,MATCH($C23,$C$4:$C$33,0),0)</f>
        <v>0</v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16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HLOOKUP(E$4,tab!$E$4:$P$33,MATCH($C24,$C$4:$C$33,0),0)</f>
        <v>0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16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HLOOKUP(E$4,tab!$E$4:$P$33,MATCH($C25,$C$4:$C$33,0),0)</f>
        <v>0</v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1:16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HLOOKUP(E$4,tab!$E$4:$P$33,MATCH($C26,$C$4:$C$33,0),0)</f>
        <v>-1000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</row>
    <row r="27" spans="1:16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HLOOKUP(E$4,tab!$E$4:$P$33,MATCH($C27,$C$4:$C$33,0),0)</f>
        <v>0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1:16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HLOOKUP(E$4,tab!$E$4:$P$33,MATCH($C28,$C$4:$C$33,0),0)</f>
        <v>0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</row>
    <row r="29" spans="1:16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HLOOKUP(E$4,tab!$E$4:$P$33,MATCH($C29,$C$4:$C$33,0),0)</f>
        <v>0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</row>
    <row r="30" spans="1:16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HLOOKUP(E$4,tab!$E$4:$P$33,MATCH($C30,$C$4:$C$33,0),0)</f>
        <v>0</v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16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HLOOKUP(E$4,tab!$E$4:$P$33,MATCH($C31,$C$4:$C$33,0),0)</f>
        <v>0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</row>
    <row r="32" spans="1:16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HLOOKUP(E$4,tab!$E$4:$P$33,MATCH($C32,$C$4:$C$33,0),0)</f>
        <v>0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1:16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HLOOKUP(E$4,tab!$E$4:$P$33,MATCH($C33,$C$4:$C$33,0),0)</f>
        <v>0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1:16" s="31" customFormat="1" x14ac:dyDescent="0.25">
      <c r="A34" s="30"/>
      <c r="B34" s="21" t="str">
        <f>tab!B34</f>
        <v>=</v>
      </c>
      <c r="C34" s="22" t="str">
        <f>tab!C34</f>
        <v>Base de Cálculo</v>
      </c>
      <c r="D34" s="23"/>
      <c r="E34" s="45">
        <f>SUM(E5,E6,E20)</f>
        <v>600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spans="1:16" s="31" customFormat="1" x14ac:dyDescent="0.25">
      <c r="A35" s="30"/>
      <c r="B35" s="21" t="str">
        <f>tab!B35</f>
        <v>=</v>
      </c>
      <c r="C35" s="22" t="str">
        <f>tab!C35</f>
        <v>Saldo Prejuízo Fiscal</v>
      </c>
      <c r="D35" s="23"/>
      <c r="E35" s="45">
        <f>tab!E35</f>
        <v>45000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1:16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>-IF(AND(E35&gt;0,E34*$D$36&lt;E35),E34*$D$36,E35)</f>
        <v>-180</v>
      </c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</row>
    <row r="37" spans="1:16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>IF(SUM(E34,E36)&gt;20000*$A$4,(SUM(E34,E36)-20000*$A$4)*$D$37,0)</f>
        <v>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1:16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>SUM(E34,E36)*$D$38</f>
        <v>63</v>
      </c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>SUM(E34,E36)*$D$39</f>
        <v>37.799999999999997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 spans="1:16" x14ac:dyDescent="0.25">
      <c r="B40" s="21" t="str">
        <f>tab!B40</f>
        <v>=</v>
      </c>
      <c r="C40" s="22" t="str">
        <f>tab!C40</f>
        <v>Compensações</v>
      </c>
      <c r="D40" s="23"/>
      <c r="E40" s="45">
        <f>SUM(E42:E47)</f>
        <v>-3600</v>
      </c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 spans="1:16" x14ac:dyDescent="0.25"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1:16" x14ac:dyDescent="0.25">
      <c r="B42" s="25" t="str">
        <f>tab!B42</f>
        <v>-</v>
      </c>
      <c r="C42" s="26" t="str">
        <f>tab!C42</f>
        <v>IR s/ Aplicações Financeiras</v>
      </c>
      <c r="D42" s="33" t="str">
        <f t="shared" ref="D42:D47" si="0">LEFT(C42,2)</f>
        <v>IR</v>
      </c>
      <c r="E42" s="46">
        <f>HLOOKUP(E$4,tab!$E$4:$P$49,MATCH($C42,$C$4:$C$49,0),0)</f>
        <v>-100</v>
      </c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1:16" x14ac:dyDescent="0.25">
      <c r="B43" s="25" t="str">
        <f>tab!B43</f>
        <v>-</v>
      </c>
      <c r="C43" s="26" t="str">
        <f>tab!C43</f>
        <v xml:space="preserve">IR Retida s/ Notas Fiscais </v>
      </c>
      <c r="D43" s="33" t="str">
        <f t="shared" si="0"/>
        <v>IR</v>
      </c>
      <c r="E43" s="46">
        <f>HLOOKUP(E$4,tab!$E$4:$P$49,MATCH($C43,$C$4:$C$49,0),0)</f>
        <v>-2000</v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1:16" x14ac:dyDescent="0.25">
      <c r="B44" s="25" t="str">
        <f>tab!B44</f>
        <v>-</v>
      </c>
      <c r="C44" s="26" t="str">
        <f>tab!C44</f>
        <v>IR Pago no Exercício</v>
      </c>
      <c r="D44" s="33" t="str">
        <f t="shared" si="0"/>
        <v>IR</v>
      </c>
      <c r="E44" s="46">
        <f>HLOOKUP(E$4,tab!$E$4:$P$49,MATCH($C44,$C$4:$C$49,0),0)</f>
        <v>0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1:16" x14ac:dyDescent="0.25">
      <c r="B45" s="25" t="str">
        <f>tab!B45</f>
        <v>-</v>
      </c>
      <c r="C45" s="26" t="str">
        <f>tab!C45</f>
        <v>CS Base Negativa Exercícios Anteriores</v>
      </c>
      <c r="D45" s="33" t="str">
        <f t="shared" si="0"/>
        <v>CS</v>
      </c>
      <c r="E45" s="46">
        <f>HLOOKUP(E$4,tab!$E$4:$P$49,MATCH($C45,$C$4:$C$49,0),0)</f>
        <v>0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1:16" x14ac:dyDescent="0.25">
      <c r="B46" s="25" t="str">
        <f>tab!B46</f>
        <v>-</v>
      </c>
      <c r="C46" s="26" t="str">
        <f>tab!C46</f>
        <v>CS Retida s/ Notas Fiscais</v>
      </c>
      <c r="D46" s="33" t="str">
        <f t="shared" si="0"/>
        <v>CS</v>
      </c>
      <c r="E46" s="46">
        <f>HLOOKUP(E$4,tab!$E$4:$P$49,MATCH($C46,$C$4:$C$49,0),0)</f>
        <v>-1500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1:16" x14ac:dyDescent="0.25">
      <c r="B47" s="25" t="str">
        <f>tab!B47</f>
        <v>-</v>
      </c>
      <c r="C47" s="26" t="str">
        <f>tab!C47</f>
        <v>CS Pago no Exercício</v>
      </c>
      <c r="D47" s="33" t="str">
        <f t="shared" si="0"/>
        <v>CS</v>
      </c>
      <c r="E47" s="46">
        <f>HLOOKUP(E$4,tab!$E$4:$P$49,MATCH($C47,$C$4:$C$49,0),0)</f>
        <v>0</v>
      </c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1:16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 spans="2:16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</row>
    <row r="50" spans="2:16" x14ac:dyDescent="0.25">
      <c r="B50" s="29"/>
      <c r="C50" s="29"/>
      <c r="D50" s="29"/>
    </row>
    <row r="51" spans="2:16" x14ac:dyDescent="0.25">
      <c r="B51" s="29"/>
      <c r="C51" s="29"/>
      <c r="D51" s="29"/>
    </row>
  </sheetData>
  <sheetProtection selectLockedCells="1" selectUnlockedCells="1"/>
  <dataConsolidate/>
  <dataValidations disablePrompts="1" count="1">
    <dataValidation type="list" allowBlank="1" showInputMessage="1" showErrorMessage="1" sqref="B3" xr:uid="{2BDB7898-B23C-485B-A5A0-49A21CFB46E2}">
      <formula1>$A$5:$A$17</formula1>
    </dataValidation>
  </dataValidations>
  <pageMargins left="0.25" right="0.25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showGridLines="0" workbookViewId="0">
      <pane ySplit="4" topLeftCell="A5" activePane="bottomLeft" state="frozen"/>
      <selection pane="bottomLeft" activeCell="B1" sqref="B1"/>
    </sheetView>
  </sheetViews>
  <sheetFormatPr defaultRowHeight="14.25" customHeight="1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6" width="12.7109375" style="4" customWidth="1"/>
    <col min="7" max="7" width="4.42578125" style="4" bestFit="1" customWidth="1"/>
    <col min="8" max="8" width="4" style="4" bestFit="1" customWidth="1"/>
    <col min="9" max="9" width="4.140625" style="4" bestFit="1" customWidth="1"/>
    <col min="10" max="10" width="3.7109375" style="4" bestFit="1" customWidth="1"/>
    <col min="11" max="11" width="3.140625" style="4" bestFit="1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2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>SUM(E7:E19)</f>
        <v>600</v>
      </c>
      <c r="F6" s="45">
        <f>SUM(F7:F19)</f>
        <v>600</v>
      </c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/>
      <c r="H7" s="46"/>
      <c r="I7" s="46"/>
      <c r="J7" s="46"/>
      <c r="K7" s="46"/>
      <c r="L7" s="46"/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/>
      <c r="H8" s="46"/>
      <c r="I8" s="46"/>
      <c r="J8" s="46"/>
      <c r="K8" s="46"/>
      <c r="L8" s="46"/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>SUM(E21:E33)</f>
        <v>-1000</v>
      </c>
      <c r="F20" s="45">
        <f>SUM(F21:F33)</f>
        <v>-1000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>SUM(E5,E6,E20)</f>
        <v>600</v>
      </c>
      <c r="F34" s="45">
        <f>SUM(F5,F6,F20)</f>
        <v>25600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>SUM(E35:E36)</f>
        <v>44820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>-IF(AND(E35&gt;0,E34*$D$36&lt;E35),E34*$D$36,E35)</f>
        <v>-180</v>
      </c>
      <c r="F36" s="45">
        <f>-IF(AND(F35&gt;0,F34*$D$36&lt;F35),F34*$D$36,F35)</f>
        <v>-7680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0">HLOOKUP($E$4,INDIRECT($E$4&amp;"!$E$4:$O$49"),MATCH(C37,INDIRECT($E$4&amp;"!$C$4:$C$49"),0),0)</f>
        <v>0</v>
      </c>
      <c r="F37" s="45">
        <f>IF(SUM(F34,F36)&gt;20000*$A$4,(SUM(F34,F36)-20000*$A$4)*$D$37,0)</f>
        <v>0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>SUM(E34,E36)*$D$38</f>
        <v>63</v>
      </c>
      <c r="F38" s="45">
        <f>SUM(F34,F36)*$D$38</f>
        <v>2688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>SUM(E34,E36)*$D$39</f>
        <v>37.799999999999997</v>
      </c>
      <c r="F39" s="45">
        <f>SUM(F34,F36)*$D$39</f>
        <v>1612.8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>SUM(E42:E47)</f>
        <v>-3600</v>
      </c>
      <c r="F40" s="45">
        <f ca="1">SUM(F42:F47)</f>
        <v>-3600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"/>
        <v>IR</v>
      </c>
      <c r="E44" s="46">
        <f>HLOOKUP(E$4,tab!$E$4:$P$49,MATCH($C44,$C$4:$C$49,0),0)</f>
        <v>0</v>
      </c>
      <c r="F44" s="46">
        <f ca="1">-E48</f>
        <v>0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"/>
        <v>CS</v>
      </c>
      <c r="E47" s="46">
        <f>HLOOKUP(E$4,tab!$E$4:$P$49,MATCH($C47,$C$4:$C$49,0),0)</f>
        <v>0</v>
      </c>
      <c r="F47" s="46">
        <f ca="1">-E49</f>
        <v>0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E08DBF62-205C-45DE-A43A-92F6F651032B}">
      <formula1>$A$5:$A$17</formula1>
    </dataValidation>
  </dataValidations>
  <pageMargins left="0.25" right="0.25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7" width="12.7109375" style="4" customWidth="1"/>
    <col min="8" max="8" width="4" style="4" bestFit="1" customWidth="1"/>
    <col min="9" max="9" width="4.140625" style="4" bestFit="1" customWidth="1"/>
    <col min="10" max="10" width="3.7109375" style="4" bestFit="1" customWidth="1"/>
    <col min="11" max="11" width="3.140625" style="4" bestFit="1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3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/>
      <c r="I5" s="45"/>
      <c r="J5" s="45"/>
      <c r="K5" s="45"/>
      <c r="L5" s="45"/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>SUM(E7:E19)</f>
        <v>600</v>
      </c>
      <c r="F6" s="45">
        <f>SUM(F7:F19)</f>
        <v>600</v>
      </c>
      <c r="G6" s="45">
        <f>SUM(G7:G19)</f>
        <v>600</v>
      </c>
      <c r="H6" s="45"/>
      <c r="I6" s="45"/>
      <c r="J6" s="45"/>
      <c r="K6" s="45"/>
      <c r="L6" s="45"/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/>
      <c r="I7" s="46"/>
      <c r="J7" s="46"/>
      <c r="K7" s="46"/>
      <c r="L7" s="46"/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/>
      <c r="I8" s="46"/>
      <c r="J8" s="46"/>
      <c r="K8" s="46"/>
      <c r="L8" s="46"/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/>
      <c r="I9" s="46"/>
      <c r="J9" s="46"/>
      <c r="K9" s="46"/>
      <c r="L9" s="46"/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/>
      <c r="I10" s="46"/>
      <c r="J10" s="46"/>
      <c r="K10" s="46"/>
      <c r="L10" s="46"/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/>
      <c r="I11" s="46"/>
      <c r="J11" s="46"/>
      <c r="K11" s="46"/>
      <c r="L11" s="46"/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/>
      <c r="I12" s="46"/>
      <c r="J12" s="46"/>
      <c r="K12" s="46"/>
      <c r="L12" s="46"/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/>
      <c r="I13" s="46"/>
      <c r="J13" s="46"/>
      <c r="K13" s="46"/>
      <c r="L13" s="46"/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/>
      <c r="I14" s="46"/>
      <c r="J14" s="46"/>
      <c r="K14" s="46"/>
      <c r="L14" s="46"/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/>
      <c r="I15" s="46"/>
      <c r="J15" s="46"/>
      <c r="K15" s="46"/>
      <c r="L15" s="46"/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/>
      <c r="I17" s="46"/>
      <c r="J17" s="46"/>
      <c r="K17" s="46"/>
      <c r="L17" s="46"/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/>
      <c r="I18" s="46"/>
      <c r="J18" s="46"/>
      <c r="K18" s="46"/>
      <c r="L18" s="46"/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/>
      <c r="I19" s="46"/>
      <c r="J19" s="46"/>
      <c r="K19" s="46"/>
      <c r="L19" s="46"/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>SUM(E21:E33)</f>
        <v>-1000</v>
      </c>
      <c r="F20" s="45">
        <f>SUM(F21:F33)</f>
        <v>-1000</v>
      </c>
      <c r="G20" s="45">
        <f>SUM(G21:G33)</f>
        <v>-1000</v>
      </c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/>
      <c r="I21" s="46"/>
      <c r="J21" s="46"/>
      <c r="K21" s="46"/>
      <c r="L21" s="46"/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/>
      <c r="I22" s="46"/>
      <c r="J22" s="46"/>
      <c r="K22" s="46"/>
      <c r="L22" s="46"/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/>
      <c r="I23" s="46"/>
      <c r="J23" s="46"/>
      <c r="K23" s="46"/>
      <c r="L23" s="46"/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/>
      <c r="I24" s="46"/>
      <c r="J24" s="46"/>
      <c r="K24" s="46"/>
      <c r="L24" s="46"/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/>
      <c r="I25" s="46"/>
      <c r="J25" s="46"/>
      <c r="K25" s="46"/>
      <c r="L25" s="46"/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/>
      <c r="I26" s="46"/>
      <c r="J26" s="46"/>
      <c r="K26" s="46"/>
      <c r="L26" s="46"/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/>
      <c r="I27" s="46"/>
      <c r="J27" s="46"/>
      <c r="K27" s="46"/>
      <c r="L27" s="46"/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/>
      <c r="I28" s="46"/>
      <c r="J28" s="46"/>
      <c r="K28" s="46"/>
      <c r="L28" s="46"/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/>
      <c r="I29" s="46"/>
      <c r="J29" s="46"/>
      <c r="K29" s="46"/>
      <c r="L29" s="46"/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/>
      <c r="I30" s="46"/>
      <c r="J30" s="46"/>
      <c r="K30" s="46"/>
      <c r="L30" s="46"/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/>
      <c r="I31" s="46"/>
      <c r="J31" s="46"/>
      <c r="K31" s="46"/>
      <c r="L31" s="46"/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/>
      <c r="I32" s="46"/>
      <c r="J32" s="46"/>
      <c r="K32" s="46"/>
      <c r="L32" s="46"/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>SUM(E5,E6,E20)</f>
        <v>600</v>
      </c>
      <c r="F34" s="45">
        <f>SUM(F5,F6,F20)</f>
        <v>25600</v>
      </c>
      <c r="G34" s="45">
        <f>SUM(G5,G6,G20)</f>
        <v>50600</v>
      </c>
      <c r="H34" s="45"/>
      <c r="I34" s="45"/>
      <c r="J34" s="45"/>
      <c r="K34" s="45"/>
      <c r="L34" s="45"/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>SUM(E35:E36)</f>
        <v>44820</v>
      </c>
      <c r="G35" s="45">
        <f>SUM(F35:F36)</f>
        <v>37140</v>
      </c>
      <c r="H35" s="45"/>
      <c r="I35" s="45"/>
      <c r="J35" s="45"/>
      <c r="K35" s="45"/>
      <c r="L35" s="45"/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>-IF(AND(E35&gt;0,E34*$D$36&lt;E35),E34*$D$36,E35)</f>
        <v>-180</v>
      </c>
      <c r="F36" s="45">
        <f>-IF(AND(F35&gt;0,F34*$D$36&lt;F35),F34*$D$36,F35)</f>
        <v>-7680</v>
      </c>
      <c r="G36" s="45">
        <f>-IF(AND(G35&gt;0,G34*$D$36&lt;G35),G34*$D$36,G35)</f>
        <v>-15180</v>
      </c>
      <c r="H36" s="45"/>
      <c r="I36" s="45"/>
      <c r="J36" s="45"/>
      <c r="K36" s="45"/>
      <c r="L36" s="45"/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0">HLOOKUP($E$4,INDIRECT($E$4&amp;"!$E$4:$O$49"),MATCH(C37,INDIRECT($E$4&amp;"!$C$4:$C$49"),0),0)</f>
        <v>0</v>
      </c>
      <c r="F37" s="45">
        <f>IF(SUM(F34,F36)&gt;20000*$A$4,(SUM(F34,F36)-20000*$A$4)*$D$37,0)</f>
        <v>0</v>
      </c>
      <c r="G37" s="45">
        <f>IF(SUM(G34,G36)&gt;20000*$A$4,(SUM(G34,G36)-20000*$A$4)*$D$37,0)</f>
        <v>0</v>
      </c>
      <c r="H37" s="45"/>
      <c r="I37" s="45"/>
      <c r="J37" s="45"/>
      <c r="K37" s="45"/>
      <c r="L37" s="45"/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>SUM(E34,E36)*$D$38</f>
        <v>63</v>
      </c>
      <c r="F38" s="45">
        <f>SUM(F34,F36)*$D$38</f>
        <v>2688</v>
      </c>
      <c r="G38" s="45">
        <f>SUM(G34,G36)*$D$38</f>
        <v>5313</v>
      </c>
      <c r="H38" s="45"/>
      <c r="I38" s="45"/>
      <c r="J38" s="45"/>
      <c r="K38" s="45"/>
      <c r="L38" s="45"/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>SUM(E34,E36)*$D$39</f>
        <v>37.799999999999997</v>
      </c>
      <c r="F39" s="45">
        <f>SUM(F34,F36)*$D$39</f>
        <v>1612.8</v>
      </c>
      <c r="G39" s="45">
        <f>SUM(G34,G36)*$D$39</f>
        <v>3187.7999999999997</v>
      </c>
      <c r="H39" s="45"/>
      <c r="I39" s="45"/>
      <c r="J39" s="45"/>
      <c r="K39" s="45"/>
      <c r="L39" s="45"/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>SUM(E42:E47)</f>
        <v>-3600</v>
      </c>
      <c r="F40" s="45">
        <f ca="1">SUM(F42:F47)</f>
        <v>-3600</v>
      </c>
      <c r="G40" s="45">
        <f ca="1">SUM(G42:G47)</f>
        <v>-4300.8</v>
      </c>
      <c r="H40" s="46"/>
      <c r="I40" s="46"/>
      <c r="J40" s="46"/>
      <c r="K40" s="46"/>
      <c r="L40" s="46"/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/>
      <c r="I41" s="46"/>
      <c r="J41" s="46"/>
      <c r="K41" s="46"/>
      <c r="L41" s="46"/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/>
      <c r="I42" s="46"/>
      <c r="J42" s="46"/>
      <c r="K42" s="46"/>
      <c r="L42" s="46"/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/>
      <c r="I43" s="46"/>
      <c r="J43" s="46"/>
      <c r="K43" s="46"/>
      <c r="L43" s="46"/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/>
      <c r="I44" s="46"/>
      <c r="J44" s="46"/>
      <c r="K44" s="46"/>
      <c r="L44" s="46"/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/>
      <c r="I45" s="46"/>
      <c r="J45" s="46"/>
      <c r="K45" s="46"/>
      <c r="L45" s="46"/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/>
      <c r="I46" s="46"/>
      <c r="J46" s="46"/>
      <c r="K46" s="46"/>
      <c r="L46" s="46"/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/>
      <c r="I47" s="46"/>
      <c r="J47" s="46"/>
      <c r="K47" s="46"/>
      <c r="L47" s="46"/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/>
      <c r="I48" s="45"/>
      <c r="J48" s="45"/>
      <c r="K48" s="45"/>
      <c r="L48" s="45"/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/>
      <c r="I49" s="45"/>
      <c r="J49" s="45"/>
      <c r="K49" s="45"/>
      <c r="L49" s="45"/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0BE5E920-653D-4646-9B03-C37306565D8E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8" width="12.7109375" style="4" customWidth="1"/>
    <col min="9" max="9" width="4.140625" style="4" bestFit="1" customWidth="1"/>
    <col min="10" max="10" width="3.7109375" style="4" bestFit="1" customWidth="1"/>
    <col min="11" max="11" width="3.140625" style="4" bestFit="1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4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/>
      <c r="J5" s="45"/>
      <c r="K5" s="45"/>
      <c r="L5" s="45"/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>SUM(E7:E19)</f>
        <v>600</v>
      </c>
      <c r="F6" s="45">
        <f>SUM(F7:F19)</f>
        <v>600</v>
      </c>
      <c r="G6" s="45">
        <f>SUM(G7:G19)</f>
        <v>600</v>
      </c>
      <c r="H6" s="45">
        <f>SUM(H7:H19)</f>
        <v>600</v>
      </c>
      <c r="I6" s="45"/>
      <c r="J6" s="45"/>
      <c r="K6" s="45"/>
      <c r="L6" s="45"/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/>
      <c r="J7" s="46"/>
      <c r="K7" s="46"/>
      <c r="L7" s="46"/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/>
      <c r="J8" s="46"/>
      <c r="K8" s="46"/>
      <c r="L8" s="46"/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/>
      <c r="J9" s="46"/>
      <c r="K9" s="46"/>
      <c r="L9" s="46"/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/>
      <c r="J10" s="46"/>
      <c r="K10" s="46"/>
      <c r="L10" s="46"/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/>
      <c r="J11" s="46"/>
      <c r="K11" s="46"/>
      <c r="L11" s="46"/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/>
      <c r="J12" s="46"/>
      <c r="K12" s="46"/>
      <c r="L12" s="46"/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/>
      <c r="J13" s="46"/>
      <c r="K13" s="46"/>
      <c r="L13" s="46"/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/>
      <c r="J14" s="46"/>
      <c r="K14" s="46"/>
      <c r="L14" s="46"/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/>
      <c r="J15" s="46"/>
      <c r="K15" s="46"/>
      <c r="L15" s="46"/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/>
      <c r="J16" s="46"/>
      <c r="K16" s="46"/>
      <c r="L16" s="46"/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/>
      <c r="J17" s="46"/>
      <c r="K17" s="46"/>
      <c r="L17" s="46"/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/>
      <c r="J18" s="46"/>
      <c r="K18" s="46"/>
      <c r="L18" s="46"/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/>
      <c r="J19" s="46"/>
      <c r="K19" s="46"/>
      <c r="L19" s="46"/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>SUM(E21:E33)</f>
        <v>-1000</v>
      </c>
      <c r="F20" s="45">
        <f>SUM(F21:F33)</f>
        <v>-1000</v>
      </c>
      <c r="G20" s="45">
        <f>SUM(G21:G33)</f>
        <v>-1000</v>
      </c>
      <c r="H20" s="45">
        <f>SUM(H21:H33)</f>
        <v>-1000</v>
      </c>
      <c r="I20" s="45"/>
      <c r="J20" s="45"/>
      <c r="K20" s="45"/>
      <c r="L20" s="45"/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/>
      <c r="J21" s="46"/>
      <c r="K21" s="46"/>
      <c r="L21" s="46"/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/>
      <c r="J22" s="46"/>
      <c r="K22" s="46"/>
      <c r="L22" s="46"/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/>
      <c r="J23" s="46"/>
      <c r="K23" s="46"/>
      <c r="L23" s="46"/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/>
      <c r="J24" s="46"/>
      <c r="K24" s="46"/>
      <c r="L24" s="46"/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/>
      <c r="J25" s="46"/>
      <c r="K25" s="46"/>
      <c r="L25" s="46"/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/>
      <c r="J26" s="46"/>
      <c r="K26" s="46"/>
      <c r="L26" s="46"/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/>
      <c r="J27" s="46"/>
      <c r="K27" s="46"/>
      <c r="L27" s="46"/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/>
      <c r="J28" s="46"/>
      <c r="K28" s="46"/>
      <c r="L28" s="46"/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/>
      <c r="J29" s="46"/>
      <c r="K29" s="46"/>
      <c r="L29" s="46"/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/>
      <c r="J30" s="46"/>
      <c r="K30" s="46"/>
      <c r="L30" s="46"/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/>
      <c r="J31" s="46"/>
      <c r="K31" s="46"/>
      <c r="L31" s="46"/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/>
      <c r="J32" s="46"/>
      <c r="K32" s="46"/>
      <c r="L32" s="46"/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/>
      <c r="J33" s="46"/>
      <c r="K33" s="46"/>
      <c r="L33" s="46"/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>SUM(E5,E6,E20)</f>
        <v>600</v>
      </c>
      <c r="F34" s="45">
        <f>SUM(F5,F6,F20)</f>
        <v>25600</v>
      </c>
      <c r="G34" s="45">
        <f>SUM(G5,G6,G20)</f>
        <v>50600</v>
      </c>
      <c r="H34" s="45">
        <f>SUM(H5,H6,H20)</f>
        <v>75600</v>
      </c>
      <c r="I34" s="45"/>
      <c r="J34" s="45"/>
      <c r="K34" s="45"/>
      <c r="L34" s="45"/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>SUM(E35:E36)</f>
        <v>44820</v>
      </c>
      <c r="G35" s="45">
        <f>SUM(F35:F36)</f>
        <v>37140</v>
      </c>
      <c r="H35" s="45">
        <f>SUM(G35:G36)</f>
        <v>21960</v>
      </c>
      <c r="I35" s="45"/>
      <c r="J35" s="45"/>
      <c r="K35" s="45"/>
      <c r="L35" s="45"/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>-IF(AND(E35&gt;0,E34*$D$36&lt;E35),E34*$D$36,E35)</f>
        <v>-180</v>
      </c>
      <c r="F36" s="45">
        <f>-IF(AND(F35&gt;0,F34*$D$36&lt;F35),F34*$D$36,F35)</f>
        <v>-7680</v>
      </c>
      <c r="G36" s="45">
        <f>-IF(AND(G35&gt;0,G34*$D$36&lt;G35),G34*$D$36,G35)</f>
        <v>-15180</v>
      </c>
      <c r="H36" s="45">
        <f>-IF(AND(H35&gt;0,H34*$D$36&lt;H35),H34*$D$36,H35)</f>
        <v>-21960</v>
      </c>
      <c r="I36" s="45"/>
      <c r="J36" s="45"/>
      <c r="K36" s="45"/>
      <c r="L36" s="45"/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0">HLOOKUP($E$4,INDIRECT($E$4&amp;"!$E$4:$O$49"),MATCH(C37,INDIRECT($E$4&amp;"!$C$4:$C$49"),0),0)</f>
        <v>0</v>
      </c>
      <c r="F37" s="45">
        <f>IF(SUM(F34,F36)&gt;20000*$A$4,(SUM(F34,F36)-20000*$A$4)*$D$37,0)</f>
        <v>0</v>
      </c>
      <c r="G37" s="45">
        <f>IF(SUM(G34,G36)&gt;20000*$A$4,(SUM(G34,G36)-20000*$A$4)*$D$37,0)</f>
        <v>0</v>
      </c>
      <c r="H37" s="45">
        <f>IF(SUM(H34,H36)&gt;20000*$A$4,(SUM(H34,H36)-20000*$A$4)*$D$37,0)</f>
        <v>0</v>
      </c>
      <c r="I37" s="45"/>
      <c r="J37" s="45"/>
      <c r="K37" s="45"/>
      <c r="L37" s="45"/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>SUM(E34,E36)*$D$38</f>
        <v>63</v>
      </c>
      <c r="F38" s="45">
        <f>SUM(F34,F36)*$D$38</f>
        <v>2688</v>
      </c>
      <c r="G38" s="45">
        <f>SUM(G34,G36)*$D$38</f>
        <v>5313</v>
      </c>
      <c r="H38" s="45">
        <f>SUM(H34,H36)*$D$38</f>
        <v>8046</v>
      </c>
      <c r="I38" s="45"/>
      <c r="J38" s="45"/>
      <c r="K38" s="45"/>
      <c r="L38" s="45"/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>SUM(E34,E36)*$D$39</f>
        <v>37.799999999999997</v>
      </c>
      <c r="F39" s="45">
        <f>SUM(F34,F36)*$D$39</f>
        <v>1612.8</v>
      </c>
      <c r="G39" s="45">
        <f>SUM(G34,G36)*$D$39</f>
        <v>3187.7999999999997</v>
      </c>
      <c r="H39" s="45">
        <f>SUM(H34,H36)*$D$39</f>
        <v>4827.5999999999995</v>
      </c>
      <c r="I39" s="45"/>
      <c r="J39" s="45"/>
      <c r="K39" s="45"/>
      <c r="L39" s="45"/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>SUM(E42:E47)</f>
        <v>-3600</v>
      </c>
      <c r="F40" s="45">
        <f ca="1">SUM(F42:F47)</f>
        <v>-3600</v>
      </c>
      <c r="G40" s="45">
        <f ca="1">SUM(G42:G47)</f>
        <v>-4300.8</v>
      </c>
      <c r="H40" s="45">
        <f ca="1">SUM(H42:H47)</f>
        <v>-8500.7999999999993</v>
      </c>
      <c r="I40" s="46"/>
      <c r="J40" s="46"/>
      <c r="K40" s="46"/>
      <c r="L40" s="46"/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/>
      <c r="J41" s="46"/>
      <c r="K41" s="46"/>
      <c r="L41" s="46"/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/>
      <c r="J42" s="46"/>
      <c r="K42" s="46"/>
      <c r="L42" s="46"/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/>
      <c r="J43" s="46"/>
      <c r="K43" s="46"/>
      <c r="L43" s="46"/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/>
      <c r="J44" s="46"/>
      <c r="K44" s="46"/>
      <c r="L44" s="46"/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/>
      <c r="J45" s="46"/>
      <c r="K45" s="46"/>
      <c r="L45" s="46"/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/>
      <c r="J46" s="46"/>
      <c r="K46" s="46"/>
      <c r="L46" s="46"/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/>
      <c r="J47" s="46"/>
      <c r="K47" s="46"/>
      <c r="L47" s="46"/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/>
      <c r="J48" s="45"/>
      <c r="K48" s="45"/>
      <c r="L48" s="45"/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/>
      <c r="J49" s="45"/>
      <c r="K49" s="45"/>
      <c r="L49" s="45"/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7A0BC77B-AED8-48C8-A182-0CB8A2605B51}">
      <formula1>$A$4:$A$16</formula1>
    </dataValidation>
  </dataValidations>
  <pageMargins left="0.25" right="0.25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9" width="12.7109375" style="4" customWidth="1"/>
    <col min="10" max="10" width="3.7109375" style="4" bestFit="1" customWidth="1"/>
    <col min="11" max="11" width="3.140625" style="4" bestFit="1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5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/>
      <c r="K5" s="45"/>
      <c r="L5" s="45"/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>SUM(E7:E19)</f>
        <v>600</v>
      </c>
      <c r="F6" s="45">
        <f>SUM(F7:F19)</f>
        <v>600</v>
      </c>
      <c r="G6" s="45">
        <f>SUM(G7:G19)</f>
        <v>600</v>
      </c>
      <c r="H6" s="45">
        <f>SUM(H7:H19)</f>
        <v>600</v>
      </c>
      <c r="I6" s="45">
        <f>SUM(I7:I19)</f>
        <v>600</v>
      </c>
      <c r="J6" s="45"/>
      <c r="K6" s="45"/>
      <c r="L6" s="45"/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/>
      <c r="K7" s="46"/>
      <c r="L7" s="46"/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/>
      <c r="K8" s="46"/>
      <c r="L8" s="46"/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/>
      <c r="K9" s="46"/>
      <c r="L9" s="46"/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/>
      <c r="K10" s="46"/>
      <c r="L10" s="46"/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/>
      <c r="K11" s="46"/>
      <c r="L11" s="46"/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/>
      <c r="K12" s="46"/>
      <c r="L12" s="46"/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/>
      <c r="K13" s="46"/>
      <c r="L13" s="46"/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/>
      <c r="K14" s="46"/>
      <c r="L14" s="46"/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/>
      <c r="K15" s="46"/>
      <c r="L15" s="46"/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/>
      <c r="K16" s="46"/>
      <c r="L16" s="46"/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/>
      <c r="K17" s="46"/>
      <c r="L17" s="46"/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/>
      <c r="K18" s="46"/>
      <c r="L18" s="46"/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/>
      <c r="K19" s="46"/>
      <c r="L19" s="46"/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>SUM(E21:E33)</f>
        <v>-1000</v>
      </c>
      <c r="F20" s="45">
        <f>SUM(F21:F33)</f>
        <v>-1000</v>
      </c>
      <c r="G20" s="45">
        <f>SUM(G21:G33)</f>
        <v>-1000</v>
      </c>
      <c r="H20" s="45">
        <f>SUM(H21:H33)</f>
        <v>-1000</v>
      </c>
      <c r="I20" s="45">
        <f>SUM(I21:I33)</f>
        <v>-1000</v>
      </c>
      <c r="J20" s="45"/>
      <c r="K20" s="45"/>
      <c r="L20" s="45"/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/>
      <c r="K21" s="46"/>
      <c r="L21" s="46"/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/>
      <c r="K22" s="46"/>
      <c r="L22" s="46"/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/>
      <c r="K23" s="46"/>
      <c r="L23" s="46"/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/>
      <c r="K24" s="46"/>
      <c r="L24" s="46"/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/>
      <c r="K25" s="46"/>
      <c r="L25" s="46"/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/>
      <c r="K26" s="46"/>
      <c r="L26" s="46"/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/>
      <c r="K27" s="46"/>
      <c r="L27" s="46"/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/>
      <c r="K28" s="46"/>
      <c r="L28" s="46"/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/>
      <c r="K29" s="46"/>
      <c r="L29" s="46"/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/>
      <c r="K30" s="46"/>
      <c r="L30" s="46"/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/>
      <c r="K31" s="46"/>
      <c r="L31" s="46"/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/>
      <c r="K32" s="46"/>
      <c r="L32" s="46"/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/>
      <c r="K33" s="46"/>
      <c r="L33" s="46"/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>SUM(E5,E6,E20)</f>
        <v>600</v>
      </c>
      <c r="F34" s="45">
        <f>SUM(F5,F6,F20)</f>
        <v>25600</v>
      </c>
      <c r="G34" s="45">
        <f>SUM(G5,G6,G20)</f>
        <v>50600</v>
      </c>
      <c r="H34" s="45">
        <f>SUM(H5,H6,H20)</f>
        <v>75600</v>
      </c>
      <c r="I34" s="45">
        <f>SUM(I5,I6,I20)</f>
        <v>100600</v>
      </c>
      <c r="J34" s="45"/>
      <c r="K34" s="45"/>
      <c r="L34" s="45"/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>SUM(E35:E36)</f>
        <v>44820</v>
      </c>
      <c r="G35" s="45">
        <f>SUM(F35:F36)</f>
        <v>37140</v>
      </c>
      <c r="H35" s="45">
        <f>SUM(G35:G36)</f>
        <v>21960</v>
      </c>
      <c r="I35" s="45">
        <f>SUM(H35:H36)</f>
        <v>0</v>
      </c>
      <c r="J35" s="45"/>
      <c r="K35" s="45"/>
      <c r="L35" s="45"/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>-IF(AND(E35&gt;0,E34*$D$36&lt;E35),E34*$D$36,E35)</f>
        <v>-180</v>
      </c>
      <c r="F36" s="45">
        <f>-IF(AND(F35&gt;0,F34*$D$36&lt;F35),F34*$D$36,F35)</f>
        <v>-7680</v>
      </c>
      <c r="G36" s="45">
        <f>-IF(AND(G35&gt;0,G34*$D$36&lt;G35),G34*$D$36,G35)</f>
        <v>-15180</v>
      </c>
      <c r="H36" s="45">
        <f>-IF(AND(H35&gt;0,H34*$D$36&lt;H35),H34*$D$36,H35)</f>
        <v>-21960</v>
      </c>
      <c r="I36" s="45">
        <f>-IF(AND(I35&gt;0,I34*$D$36&lt;I35),I34*$D$36,I35)</f>
        <v>0</v>
      </c>
      <c r="J36" s="45"/>
      <c r="K36" s="45"/>
      <c r="L36" s="45"/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0">HLOOKUP($E$4,INDIRECT($E$4&amp;"!$E$4:$O$49"),MATCH(C37,INDIRECT($E$4&amp;"!$C$4:$C$49"),0),0)</f>
        <v>0</v>
      </c>
      <c r="F37" s="45">
        <f>IF(SUM(F34,F36)&gt;20000*$A$4,(SUM(F34,F36)-20000*$A$4)*$D$37,0)</f>
        <v>0</v>
      </c>
      <c r="G37" s="45">
        <f>IF(SUM(G34,G36)&gt;20000*$A$4,(SUM(G34,G36)-20000*$A$4)*$D$37,0)</f>
        <v>0</v>
      </c>
      <c r="H37" s="45">
        <f>IF(SUM(H34,H36)&gt;20000*$A$4,(SUM(H34,H36)-20000*$A$4)*$D$37,0)</f>
        <v>0</v>
      </c>
      <c r="I37" s="45">
        <f>IF(SUM(I34,I36)&gt;20000*$A$4,(SUM(I34,I36)-20000*$A$4)*$D$37,0)</f>
        <v>60</v>
      </c>
      <c r="J37" s="45"/>
      <c r="K37" s="45"/>
      <c r="L37" s="45"/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>SUM(E34,E36)*$D$38</f>
        <v>63</v>
      </c>
      <c r="F38" s="45">
        <f>SUM(F34,F36)*$D$38</f>
        <v>2688</v>
      </c>
      <c r="G38" s="45">
        <f>SUM(G34,G36)*$D$38</f>
        <v>5313</v>
      </c>
      <c r="H38" s="45">
        <f>SUM(H34,H36)*$D$38</f>
        <v>8046</v>
      </c>
      <c r="I38" s="45">
        <f>SUM(I34,I36)*$D$38</f>
        <v>15090</v>
      </c>
      <c r="J38" s="45"/>
      <c r="K38" s="45"/>
      <c r="L38" s="45"/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>SUM(E34,E36)*$D$39</f>
        <v>37.799999999999997</v>
      </c>
      <c r="F39" s="45">
        <f>SUM(F34,F36)*$D$39</f>
        <v>1612.8</v>
      </c>
      <c r="G39" s="45">
        <f>SUM(G34,G36)*$D$39</f>
        <v>3187.7999999999997</v>
      </c>
      <c r="H39" s="45">
        <f>SUM(H34,H36)*$D$39</f>
        <v>4827.5999999999995</v>
      </c>
      <c r="I39" s="45">
        <f>SUM(I34,I36)*$D$39</f>
        <v>9054</v>
      </c>
      <c r="J39" s="45"/>
      <c r="K39" s="45"/>
      <c r="L39" s="45"/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>SUM(E42:E47)</f>
        <v>-3600</v>
      </c>
      <c r="F40" s="45">
        <f ca="1">SUM(F42:F47)</f>
        <v>-3600</v>
      </c>
      <c r="G40" s="45">
        <f ca="1">SUM(G42:G47)</f>
        <v>-4300.8</v>
      </c>
      <c r="H40" s="45">
        <f ca="1">SUM(H42:H47)</f>
        <v>-8500.7999999999993</v>
      </c>
      <c r="I40" s="45">
        <f ca="1">SUM(I42:I47)</f>
        <v>-12873.599999999999</v>
      </c>
      <c r="J40" s="46"/>
      <c r="K40" s="46"/>
      <c r="L40" s="46"/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/>
      <c r="K41" s="46"/>
      <c r="L41" s="46"/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/>
      <c r="K42" s="46"/>
      <c r="L42" s="46"/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/>
      <c r="K43" s="46"/>
      <c r="L43" s="46"/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/>
      <c r="K44" s="46"/>
      <c r="L44" s="46"/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/>
      <c r="K45" s="46"/>
      <c r="L45" s="46"/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/>
      <c r="K46" s="46"/>
      <c r="L46" s="46"/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/>
      <c r="K47" s="46"/>
      <c r="L47" s="46"/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7104</v>
      </c>
      <c r="J48" s="45"/>
      <c r="K48" s="45"/>
      <c r="L48" s="45"/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/>
      <c r="K49" s="45"/>
      <c r="L49" s="45"/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8CEFC182-379A-48C7-9B57-E3B836267F8B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0" width="12.7109375" style="4" customWidth="1"/>
    <col min="11" max="11" width="3.140625" style="4" bestFit="1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6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/>
      <c r="L5" s="45"/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J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/>
      <c r="L6" s="45"/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/>
      <c r="L7" s="46"/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/>
      <c r="L8" s="46"/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/>
      <c r="L9" s="46"/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/>
      <c r="L10" s="46"/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/>
      <c r="L11" s="46"/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/>
      <c r="L12" s="46"/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/>
      <c r="L13" s="46"/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/>
      <c r="L14" s="46"/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/>
      <c r="L15" s="46"/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/>
      <c r="L16" s="46"/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/>
      <c r="L17" s="46"/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/>
      <c r="L18" s="46"/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/>
      <c r="L19" s="46"/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J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/>
      <c r="L20" s="45"/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/>
      <c r="L21" s="46"/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/>
      <c r="L22" s="46"/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/>
      <c r="L23" s="46"/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/>
      <c r="L24" s="46"/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/>
      <c r="L25" s="46"/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/>
      <c r="L26" s="46"/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/>
      <c r="L27" s="46"/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/>
      <c r="L28" s="46"/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/>
      <c r="L29" s="46"/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/>
      <c r="L30" s="46"/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/>
      <c r="L31" s="46"/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/>
      <c r="L32" s="46"/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/>
      <c r="L33" s="46"/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J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/>
      <c r="L34" s="45"/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>SUM(E35:E36)</f>
        <v>44820</v>
      </c>
      <c r="G35" s="45">
        <f>SUM(F35:F36)</f>
        <v>37140</v>
      </c>
      <c r="H35" s="45">
        <f>SUM(G35:G36)</f>
        <v>21960</v>
      </c>
      <c r="I35" s="45">
        <f>SUM(H35:H36)</f>
        <v>0</v>
      </c>
      <c r="J35" s="45">
        <f>SUM(I35:I36)</f>
        <v>0</v>
      </c>
      <c r="K35" s="45"/>
      <c r="L35" s="45"/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J36" si="3">-IF(AND(E35&gt;0,E34*$D$36&lt;E35),E34*$D$36,E35)</f>
        <v>-180</v>
      </c>
      <c r="F36" s="45">
        <f t="shared" si="3"/>
        <v>-7680</v>
      </c>
      <c r="G36" s="45">
        <f t="shared" si="3"/>
        <v>-15180</v>
      </c>
      <c r="H36" s="45">
        <f t="shared" si="3"/>
        <v>-21960</v>
      </c>
      <c r="I36" s="45">
        <f t="shared" si="3"/>
        <v>0</v>
      </c>
      <c r="J36" s="45">
        <f t="shared" si="3"/>
        <v>0</v>
      </c>
      <c r="K36" s="45"/>
      <c r="L36" s="45"/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4">HLOOKUP($E$4,INDIRECT($E$4&amp;"!$E$4:$O$49"),MATCH(C37,INDIRECT($E$4&amp;"!$C$4:$C$49"),0),0)</f>
        <v>0</v>
      </c>
      <c r="F37" s="45">
        <f>IF(SUM(F34,F36)&gt;20000*$A$4,(SUM(F34,F36)-20000*$A$4)*$D$37,0)</f>
        <v>0</v>
      </c>
      <c r="G37" s="45">
        <f>IF(SUM(G34,G36)&gt;20000*$A$4,(SUM(G34,G36)-20000*$A$4)*$D$37,0)</f>
        <v>0</v>
      </c>
      <c r="H37" s="45">
        <f>IF(SUM(H34,H36)&gt;20000*$A$4,(SUM(H34,H36)-20000*$A$4)*$D$37,0)</f>
        <v>0</v>
      </c>
      <c r="I37" s="45">
        <f>IF(SUM(I34,I36)&gt;20000*$A$4,(SUM(I34,I36)-20000*$A$4)*$D$37,0)</f>
        <v>0</v>
      </c>
      <c r="J37" s="45">
        <f>IF(SUM(J34,J36)&gt;20000*$A$4,(SUM(J34,J36)-20000*$A$4)*$D$37,0)</f>
        <v>560</v>
      </c>
      <c r="K37" s="45"/>
      <c r="L37" s="45"/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J38" si="5">SUM(E34,E36)*$D$38</f>
        <v>63</v>
      </c>
      <c r="F38" s="45">
        <f t="shared" si="5"/>
        <v>2688</v>
      </c>
      <c r="G38" s="45">
        <f t="shared" si="5"/>
        <v>5313</v>
      </c>
      <c r="H38" s="45">
        <f t="shared" si="5"/>
        <v>8046</v>
      </c>
      <c r="I38" s="45">
        <f t="shared" si="5"/>
        <v>15090</v>
      </c>
      <c r="J38" s="45">
        <f t="shared" si="5"/>
        <v>18840</v>
      </c>
      <c r="K38" s="45"/>
      <c r="L38" s="45"/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J39" si="6">SUM(E34,E36)*$D$39</f>
        <v>37.799999999999997</v>
      </c>
      <c r="F39" s="45">
        <f t="shared" si="6"/>
        <v>1612.8</v>
      </c>
      <c r="G39" s="45">
        <f t="shared" si="6"/>
        <v>3187.7999999999997</v>
      </c>
      <c r="H39" s="45">
        <f t="shared" si="6"/>
        <v>4827.5999999999995</v>
      </c>
      <c r="I39" s="45">
        <f t="shared" si="6"/>
        <v>9054</v>
      </c>
      <c r="J39" s="45">
        <f t="shared" si="6"/>
        <v>11304</v>
      </c>
      <c r="K39" s="45"/>
      <c r="L39" s="45"/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J40" si="7">SUM(E42:E47)</f>
        <v>-3600</v>
      </c>
      <c r="F40" s="45">
        <f t="shared" ca="1" si="7"/>
        <v>-3600</v>
      </c>
      <c r="G40" s="45">
        <f t="shared" ca="1" si="7"/>
        <v>-4300.8</v>
      </c>
      <c r="H40" s="45">
        <f t="shared" ca="1" si="7"/>
        <v>-8500.7999999999993</v>
      </c>
      <c r="I40" s="45">
        <f t="shared" ca="1" si="7"/>
        <v>-12873.599999999999</v>
      </c>
      <c r="J40" s="45">
        <f t="shared" ca="1" si="7"/>
        <v>-24144</v>
      </c>
      <c r="K40" s="46"/>
      <c r="L40" s="46"/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/>
      <c r="L41" s="46"/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8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/>
      <c r="L42" s="46"/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8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/>
      <c r="L43" s="46"/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8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/>
      <c r="L44" s="46"/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8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/>
      <c r="L45" s="46"/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8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/>
      <c r="L46" s="46"/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8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/>
      <c r="L47" s="46"/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4310</v>
      </c>
      <c r="K48" s="45"/>
      <c r="L48" s="45"/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/>
      <c r="L49" s="45"/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D05730C5-EEF4-4947-8A36-B70D38B1A16A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1" width="12.7109375" style="4" customWidth="1"/>
    <col min="12" max="12" width="4.42578125" style="4" bestFit="1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7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>
        <f>HLOOKUP(K$4,tab!$E$4:$P$33,MATCH($C5,$C$4:$C$33,0),0)</f>
        <v>151000</v>
      </c>
      <c r="L5" s="45"/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K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>
        <f t="shared" si="0"/>
        <v>600</v>
      </c>
      <c r="L6" s="45"/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>
        <f>HLOOKUP(K$4,tab!$E$4:$P$49,MATCH($C7,$C$4:$C$49,0),0)</f>
        <v>0</v>
      </c>
      <c r="L7" s="46"/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>
        <f>HLOOKUP(K$4,tab!$E$4:$P$49,MATCH($C8,$C$4:$C$49,0),0)</f>
        <v>0</v>
      </c>
      <c r="L8" s="46"/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>
        <f>HLOOKUP(K$4,tab!$E$4:$P$49,MATCH($C9,$C$4:$C$49,0),0)</f>
        <v>0</v>
      </c>
      <c r="L9" s="46"/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>
        <f>HLOOKUP(K$4,tab!$E$4:$P$49,MATCH($C10,$C$4:$C$49,0),0)</f>
        <v>100</v>
      </c>
      <c r="L10" s="46"/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>
        <f>HLOOKUP(K$4,tab!$E$4:$P$49,MATCH($C11,$C$4:$C$49,0),0)</f>
        <v>0</v>
      </c>
      <c r="L11" s="46"/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>
        <f>HLOOKUP(K$4,tab!$E$4:$P$49,MATCH($C12,$C$4:$C$49,0),0)</f>
        <v>0</v>
      </c>
      <c r="L12" s="46"/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>
        <f>HLOOKUP(K$4,tab!$E$4:$P$49,MATCH($C13,$C$4:$C$49,0),0)</f>
        <v>0</v>
      </c>
      <c r="L13" s="46"/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>
        <f>HLOOKUP(K$4,tab!$E$4:$P$49,MATCH($C14,$C$4:$C$49,0),0)</f>
        <v>0</v>
      </c>
      <c r="L14" s="46"/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>
        <f>HLOOKUP(K$4,tab!$E$4:$P$49,MATCH($C15,$C$4:$C$49,0),0)</f>
        <v>500</v>
      </c>
      <c r="L15" s="46"/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>
        <f>HLOOKUP(K$4,tab!$E$4:$P$49,MATCH($C16,$C$4:$C$49,0),0)</f>
        <v>0</v>
      </c>
      <c r="L16" s="46"/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>
        <f>HLOOKUP(K$4,tab!$E$4:$P$49,MATCH($C17,$C$4:$C$49,0),0)</f>
        <v>0</v>
      </c>
      <c r="L17" s="46"/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>
        <f>HLOOKUP(K$4,tab!$E$4:$P$49,MATCH($C18,$C$4:$C$49,0),0)</f>
        <v>0</v>
      </c>
      <c r="L18" s="46"/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>
        <f>HLOOKUP(K$4,tab!$E$4:$P$49,MATCH($C19,$C$4:$C$49,0),0)</f>
        <v>0</v>
      </c>
      <c r="L19" s="46"/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K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>
        <f t="shared" si="1"/>
        <v>-1000</v>
      </c>
      <c r="L20" s="45"/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>
        <f>HLOOKUP(K$4,tab!$E$4:$P$49,MATCH($C21,$C$4:$C$49,0),0)</f>
        <v>0</v>
      </c>
      <c r="L21" s="46"/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>
        <f>HLOOKUP(K$4,tab!$E$4:$P$49,MATCH($C22,$C$4:$C$49,0),0)</f>
        <v>0</v>
      </c>
      <c r="L22" s="46"/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>
        <f>HLOOKUP(K$4,tab!$E$4:$P$49,MATCH($C23,$C$4:$C$49,0),0)</f>
        <v>0</v>
      </c>
      <c r="L23" s="46"/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>
        <f>HLOOKUP(K$4,tab!$E$4:$P$49,MATCH($C24,$C$4:$C$49,0),0)</f>
        <v>0</v>
      </c>
      <c r="L24" s="46"/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>
        <f>HLOOKUP(K$4,tab!$E$4:$P$49,MATCH($C25,$C$4:$C$49,0),0)</f>
        <v>0</v>
      </c>
      <c r="L25" s="46"/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>
        <f>HLOOKUP(K$4,tab!$E$4:$P$49,MATCH($C26,$C$4:$C$49,0),0)</f>
        <v>-1000</v>
      </c>
      <c r="L26" s="46"/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>
        <f>HLOOKUP(K$4,tab!$E$4:$P$49,MATCH($C27,$C$4:$C$49,0),0)</f>
        <v>0</v>
      </c>
      <c r="L27" s="46"/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>
        <f>HLOOKUP(K$4,tab!$E$4:$P$49,MATCH($C28,$C$4:$C$49,0),0)</f>
        <v>0</v>
      </c>
      <c r="L28" s="46"/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>
        <f>HLOOKUP(K$4,tab!$E$4:$P$49,MATCH($C29,$C$4:$C$49,0),0)</f>
        <v>0</v>
      </c>
      <c r="L29" s="46"/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>
        <f>HLOOKUP(K$4,tab!$E$4:$P$49,MATCH($C30,$C$4:$C$49,0),0)</f>
        <v>0</v>
      </c>
      <c r="L30" s="46"/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>
        <f>HLOOKUP(K$4,tab!$E$4:$P$49,MATCH($C31,$C$4:$C$49,0),0)</f>
        <v>0</v>
      </c>
      <c r="L31" s="46"/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>
        <f>HLOOKUP(K$4,tab!$E$4:$P$49,MATCH($C32,$C$4:$C$49,0),0)</f>
        <v>0</v>
      </c>
      <c r="L32" s="46"/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>
        <f>HLOOKUP(K$4,tab!$E$4:$P$49,MATCH($C33,$C$4:$C$49,0),0)</f>
        <v>0</v>
      </c>
      <c r="L33" s="46"/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K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>
        <f t="shared" si="2"/>
        <v>150600</v>
      </c>
      <c r="L34" s="45"/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 t="shared" ref="F35:K35" si="3">SUM(E35:E36)</f>
        <v>44820</v>
      </c>
      <c r="G35" s="45">
        <f t="shared" si="3"/>
        <v>37140</v>
      </c>
      <c r="H35" s="45">
        <f t="shared" si="3"/>
        <v>21960</v>
      </c>
      <c r="I35" s="45">
        <f t="shared" si="3"/>
        <v>0</v>
      </c>
      <c r="J35" s="45">
        <f t="shared" si="3"/>
        <v>0</v>
      </c>
      <c r="K35" s="45">
        <f t="shared" si="3"/>
        <v>0</v>
      </c>
      <c r="L35" s="45"/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K36" si="4">-IF(AND(E35&gt;0,E34*$D$36&lt;E35),E34*$D$36,E35)</f>
        <v>-180</v>
      </c>
      <c r="F36" s="45">
        <f t="shared" si="4"/>
        <v>-7680</v>
      </c>
      <c r="G36" s="45">
        <f t="shared" si="4"/>
        <v>-15180</v>
      </c>
      <c r="H36" s="45">
        <f t="shared" si="4"/>
        <v>-21960</v>
      </c>
      <c r="I36" s="45">
        <f t="shared" si="4"/>
        <v>0</v>
      </c>
      <c r="J36" s="45">
        <f t="shared" si="4"/>
        <v>0</v>
      </c>
      <c r="K36" s="45">
        <f t="shared" si="4"/>
        <v>0</v>
      </c>
      <c r="L36" s="45"/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5">HLOOKUP($E$4,INDIRECT($E$4&amp;"!$E$4:$O$49"),MATCH(C37,INDIRECT($E$4&amp;"!$C$4:$C$49"),0),0)</f>
        <v>0</v>
      </c>
      <c r="F37" s="45">
        <f t="shared" ref="F37:K37" si="6">IF(SUM(F34,F36)&gt;20000*$A$4,(SUM(F34,F36)-20000*$A$4)*$D$37,0)</f>
        <v>0</v>
      </c>
      <c r="G37" s="45">
        <f t="shared" si="6"/>
        <v>0</v>
      </c>
      <c r="H37" s="45">
        <f t="shared" si="6"/>
        <v>0</v>
      </c>
      <c r="I37" s="45">
        <f t="shared" si="6"/>
        <v>0</v>
      </c>
      <c r="J37" s="45">
        <f t="shared" si="6"/>
        <v>0</v>
      </c>
      <c r="K37" s="45">
        <f t="shared" si="6"/>
        <v>1060</v>
      </c>
      <c r="L37" s="45"/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K38" si="7">SUM(E34,E36)*$D$38</f>
        <v>63</v>
      </c>
      <c r="F38" s="45">
        <f t="shared" si="7"/>
        <v>2688</v>
      </c>
      <c r="G38" s="45">
        <f t="shared" si="7"/>
        <v>5313</v>
      </c>
      <c r="H38" s="45">
        <f t="shared" si="7"/>
        <v>8046</v>
      </c>
      <c r="I38" s="45">
        <f t="shared" si="7"/>
        <v>15090</v>
      </c>
      <c r="J38" s="45">
        <f t="shared" si="7"/>
        <v>18840</v>
      </c>
      <c r="K38" s="45">
        <f t="shared" si="7"/>
        <v>22590</v>
      </c>
      <c r="L38" s="45"/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K39" si="8">SUM(E34,E36)*$D$39</f>
        <v>37.799999999999997</v>
      </c>
      <c r="F39" s="45">
        <f t="shared" si="8"/>
        <v>1612.8</v>
      </c>
      <c r="G39" s="45">
        <f t="shared" si="8"/>
        <v>3187.7999999999997</v>
      </c>
      <c r="H39" s="45">
        <f t="shared" si="8"/>
        <v>4827.5999999999995</v>
      </c>
      <c r="I39" s="45">
        <f t="shared" si="8"/>
        <v>9054</v>
      </c>
      <c r="J39" s="45">
        <f t="shared" si="8"/>
        <v>11304</v>
      </c>
      <c r="K39" s="45">
        <f t="shared" si="8"/>
        <v>13554</v>
      </c>
      <c r="L39" s="45"/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K40" si="9">SUM(E42:E47)</f>
        <v>-3600</v>
      </c>
      <c r="F40" s="45">
        <f t="shared" ca="1" si="9"/>
        <v>-3600</v>
      </c>
      <c r="G40" s="45">
        <f t="shared" ca="1" si="9"/>
        <v>-4300.8</v>
      </c>
      <c r="H40" s="45">
        <f t="shared" ca="1" si="9"/>
        <v>-8500.7999999999993</v>
      </c>
      <c r="I40" s="45">
        <f t="shared" ca="1" si="9"/>
        <v>-12873.599999999999</v>
      </c>
      <c r="J40" s="45">
        <f t="shared" ca="1" si="9"/>
        <v>-24144</v>
      </c>
      <c r="K40" s="45">
        <f t="shared" ca="1" si="9"/>
        <v>-30144</v>
      </c>
      <c r="L40" s="46"/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>
        <f>HLOOKUP(K$4,tab!$E$4:$P$49,MATCH($C41,$C$4:$C$49,0),0)</f>
        <v>0</v>
      </c>
      <c r="L41" s="46"/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0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>
        <f>HLOOKUP(K$4,tab!$E$4:$P$49,MATCH($C42,$C$4:$C$49,0),0)</f>
        <v>-100</v>
      </c>
      <c r="L42" s="46"/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0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>
        <f>HLOOKUP(K$4,tab!$E$4:$P$49,MATCH($C43,$C$4:$C$49,0),0)</f>
        <v>-2000</v>
      </c>
      <c r="L43" s="46"/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0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>
        <f ca="1">-SUM($E$48:J48)</f>
        <v>-16740</v>
      </c>
      <c r="L44" s="46"/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0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>
        <f>HLOOKUP(K$4,tab!$E$4:$P$49,MATCH($C45,$C$4:$C$49,0),0)</f>
        <v>0</v>
      </c>
      <c r="L45" s="46"/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0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>
        <f>HLOOKUP(K$4,tab!$E$4:$P$49,MATCH($C46,$C$4:$C$49,0),0)</f>
        <v>-1500</v>
      </c>
      <c r="L46" s="46"/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0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>
        <f ca="1">-SUM($E$49:J49)</f>
        <v>-9804</v>
      </c>
      <c r="L47" s="46"/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3750</v>
      </c>
      <c r="K48" s="45">
        <f ca="1">IF(SUM(K37,K38,SUMIF($D$41:K47,"IR",K$41:K$47))&gt;0,SUM(K37,K38,SUMIF($D$41:K47,"IR",K$41:K$47)),0)</f>
        <v>4810</v>
      </c>
      <c r="L48" s="45"/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>
        <f ca="1">IF(SUM(K39,SUMIF($D$41:K47,"CS",K$41:K$47))&gt;0,SUM(K39,SUMIF($D$41:K47,"CS",K$41:K$47)),0)</f>
        <v>2250</v>
      </c>
      <c r="L49" s="45"/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E4B31D52-A89A-472F-AE88-35607C7E7297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G16" sqref="G16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2" width="12.7109375" style="4" customWidth="1"/>
    <col min="13" max="13" width="3.5703125" style="4" bestFit="1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8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>
        <f>HLOOKUP(K$4,tab!$E$4:$P$33,MATCH($C5,$C$4:$C$33,0),0)</f>
        <v>151000</v>
      </c>
      <c r="L5" s="45">
        <f>HLOOKUP(L$4,tab!$E$4:$P$33,MATCH($C5,$C$4:$C$33,0),0)</f>
        <v>176000</v>
      </c>
      <c r="M5" s="45"/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L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>
        <f t="shared" si="0"/>
        <v>600</v>
      </c>
      <c r="L6" s="45">
        <f t="shared" si="0"/>
        <v>600</v>
      </c>
      <c r="M6" s="45"/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>
        <f>HLOOKUP(K$4,tab!$E$4:$P$49,MATCH($C7,$C$4:$C$49,0),0)</f>
        <v>0</v>
      </c>
      <c r="L7" s="46">
        <f>HLOOKUP(L$4,tab!$E$4:$P$49,MATCH($C7,$C$4:$C$49,0),0)</f>
        <v>0</v>
      </c>
      <c r="M7" s="46"/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>
        <f>HLOOKUP(K$4,tab!$E$4:$P$49,MATCH($C8,$C$4:$C$49,0),0)</f>
        <v>0</v>
      </c>
      <c r="L8" s="46">
        <f>HLOOKUP(L$4,tab!$E$4:$P$49,MATCH($C8,$C$4:$C$49,0),0)</f>
        <v>0</v>
      </c>
      <c r="M8" s="46"/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>
        <f>HLOOKUP(K$4,tab!$E$4:$P$49,MATCH($C9,$C$4:$C$49,0),0)</f>
        <v>0</v>
      </c>
      <c r="L9" s="46">
        <f>HLOOKUP(L$4,tab!$E$4:$P$49,MATCH($C9,$C$4:$C$49,0),0)</f>
        <v>0</v>
      </c>
      <c r="M9" s="46"/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>
        <f>HLOOKUP(K$4,tab!$E$4:$P$49,MATCH($C10,$C$4:$C$49,0),0)</f>
        <v>100</v>
      </c>
      <c r="L10" s="46">
        <f>HLOOKUP(L$4,tab!$E$4:$P$49,MATCH($C10,$C$4:$C$49,0),0)</f>
        <v>100</v>
      </c>
      <c r="M10" s="46"/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>
        <f>HLOOKUP(K$4,tab!$E$4:$P$49,MATCH($C11,$C$4:$C$49,0),0)</f>
        <v>0</v>
      </c>
      <c r="L11" s="46">
        <f>HLOOKUP(L$4,tab!$E$4:$P$49,MATCH($C11,$C$4:$C$49,0),0)</f>
        <v>0</v>
      </c>
      <c r="M11" s="46"/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>
        <f>HLOOKUP(K$4,tab!$E$4:$P$49,MATCH($C12,$C$4:$C$49,0),0)</f>
        <v>0</v>
      </c>
      <c r="L12" s="46">
        <f>HLOOKUP(L$4,tab!$E$4:$P$49,MATCH($C12,$C$4:$C$49,0),0)</f>
        <v>0</v>
      </c>
      <c r="M12" s="46"/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>
        <f>HLOOKUP(K$4,tab!$E$4:$P$49,MATCH($C13,$C$4:$C$49,0),0)</f>
        <v>0</v>
      </c>
      <c r="L13" s="46">
        <f>HLOOKUP(L$4,tab!$E$4:$P$49,MATCH($C13,$C$4:$C$49,0),0)</f>
        <v>0</v>
      </c>
      <c r="M13" s="46"/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>
        <f>HLOOKUP(K$4,tab!$E$4:$P$49,MATCH($C14,$C$4:$C$49,0),0)</f>
        <v>0</v>
      </c>
      <c r="L14" s="46">
        <f>HLOOKUP(L$4,tab!$E$4:$P$49,MATCH($C14,$C$4:$C$49,0),0)</f>
        <v>0</v>
      </c>
      <c r="M14" s="46"/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>
        <f>HLOOKUP(K$4,tab!$E$4:$P$49,MATCH($C15,$C$4:$C$49,0),0)</f>
        <v>500</v>
      </c>
      <c r="L15" s="46">
        <f>HLOOKUP(L$4,tab!$E$4:$P$49,MATCH($C15,$C$4:$C$49,0),0)</f>
        <v>500</v>
      </c>
      <c r="M15" s="46"/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>
        <f>HLOOKUP(K$4,tab!$E$4:$P$49,MATCH($C16,$C$4:$C$49,0),0)</f>
        <v>0</v>
      </c>
      <c r="L16" s="46">
        <f>HLOOKUP(L$4,tab!$E$4:$P$49,MATCH($C16,$C$4:$C$49,0),0)</f>
        <v>0</v>
      </c>
      <c r="M16" s="46"/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>
        <f>HLOOKUP(K$4,tab!$E$4:$P$49,MATCH($C17,$C$4:$C$49,0),0)</f>
        <v>0</v>
      </c>
      <c r="L17" s="46">
        <f>HLOOKUP(L$4,tab!$E$4:$P$49,MATCH($C17,$C$4:$C$49,0),0)</f>
        <v>0</v>
      </c>
      <c r="M17" s="46"/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>
        <f>HLOOKUP(K$4,tab!$E$4:$P$49,MATCH($C18,$C$4:$C$49,0),0)</f>
        <v>0</v>
      </c>
      <c r="L18" s="46">
        <f>HLOOKUP(L$4,tab!$E$4:$P$49,MATCH($C18,$C$4:$C$49,0),0)</f>
        <v>0</v>
      </c>
      <c r="M18" s="46"/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>
        <f>HLOOKUP(K$4,tab!$E$4:$P$49,MATCH($C19,$C$4:$C$49,0),0)</f>
        <v>0</v>
      </c>
      <c r="L19" s="46">
        <f>HLOOKUP(L$4,tab!$E$4:$P$49,MATCH($C19,$C$4:$C$49,0),0)</f>
        <v>0</v>
      </c>
      <c r="M19" s="46"/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L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>
        <f t="shared" si="1"/>
        <v>-1000</v>
      </c>
      <c r="L20" s="45">
        <f t="shared" si="1"/>
        <v>-1000</v>
      </c>
      <c r="M20" s="45"/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>
        <f>HLOOKUP(K$4,tab!$E$4:$P$49,MATCH($C21,$C$4:$C$49,0),0)</f>
        <v>0</v>
      </c>
      <c r="L21" s="46">
        <f>HLOOKUP(L$4,tab!$E$4:$P$49,MATCH($C21,$C$4:$C$49,0),0)</f>
        <v>0</v>
      </c>
      <c r="M21" s="46"/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>
        <f>HLOOKUP(K$4,tab!$E$4:$P$49,MATCH($C22,$C$4:$C$49,0),0)</f>
        <v>0</v>
      </c>
      <c r="L22" s="46">
        <f>HLOOKUP(L$4,tab!$E$4:$P$49,MATCH($C22,$C$4:$C$49,0),0)</f>
        <v>0</v>
      </c>
      <c r="M22" s="46"/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>
        <f>HLOOKUP(K$4,tab!$E$4:$P$49,MATCH($C23,$C$4:$C$49,0),0)</f>
        <v>0</v>
      </c>
      <c r="L23" s="46">
        <f>HLOOKUP(L$4,tab!$E$4:$P$49,MATCH($C23,$C$4:$C$49,0),0)</f>
        <v>0</v>
      </c>
      <c r="M23" s="46"/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>
        <f>HLOOKUP(K$4,tab!$E$4:$P$49,MATCH($C24,$C$4:$C$49,0),0)</f>
        <v>0</v>
      </c>
      <c r="L24" s="46">
        <f>HLOOKUP(L$4,tab!$E$4:$P$49,MATCH($C24,$C$4:$C$49,0),0)</f>
        <v>0</v>
      </c>
      <c r="M24" s="46"/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>
        <f>HLOOKUP(K$4,tab!$E$4:$P$49,MATCH($C25,$C$4:$C$49,0),0)</f>
        <v>0</v>
      </c>
      <c r="L25" s="46">
        <f>HLOOKUP(L$4,tab!$E$4:$P$49,MATCH($C25,$C$4:$C$49,0),0)</f>
        <v>0</v>
      </c>
      <c r="M25" s="46"/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>
        <f>HLOOKUP(K$4,tab!$E$4:$P$49,MATCH($C26,$C$4:$C$49,0),0)</f>
        <v>-1000</v>
      </c>
      <c r="L26" s="46">
        <f>HLOOKUP(L$4,tab!$E$4:$P$49,MATCH($C26,$C$4:$C$49,0),0)</f>
        <v>-1000</v>
      </c>
      <c r="M26" s="46"/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>
        <f>HLOOKUP(K$4,tab!$E$4:$P$49,MATCH($C27,$C$4:$C$49,0),0)</f>
        <v>0</v>
      </c>
      <c r="L27" s="46">
        <f>HLOOKUP(L$4,tab!$E$4:$P$49,MATCH($C27,$C$4:$C$49,0),0)</f>
        <v>0</v>
      </c>
      <c r="M27" s="46"/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>
        <f>HLOOKUP(K$4,tab!$E$4:$P$49,MATCH($C28,$C$4:$C$49,0),0)</f>
        <v>0</v>
      </c>
      <c r="L28" s="46">
        <f>HLOOKUP(L$4,tab!$E$4:$P$49,MATCH($C28,$C$4:$C$49,0),0)</f>
        <v>0</v>
      </c>
      <c r="M28" s="46"/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>
        <f>HLOOKUP(K$4,tab!$E$4:$P$49,MATCH($C29,$C$4:$C$49,0),0)</f>
        <v>0</v>
      </c>
      <c r="L29" s="46">
        <f>HLOOKUP(L$4,tab!$E$4:$P$49,MATCH($C29,$C$4:$C$49,0),0)</f>
        <v>0</v>
      </c>
      <c r="M29" s="46"/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>
        <f>HLOOKUP(K$4,tab!$E$4:$P$49,MATCH($C30,$C$4:$C$49,0),0)</f>
        <v>0</v>
      </c>
      <c r="L30" s="46">
        <f>HLOOKUP(L$4,tab!$E$4:$P$49,MATCH($C30,$C$4:$C$49,0),0)</f>
        <v>0</v>
      </c>
      <c r="M30" s="46"/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>
        <f>HLOOKUP(K$4,tab!$E$4:$P$49,MATCH($C31,$C$4:$C$49,0),0)</f>
        <v>0</v>
      </c>
      <c r="L31" s="46">
        <f>HLOOKUP(L$4,tab!$E$4:$P$49,MATCH($C31,$C$4:$C$49,0),0)</f>
        <v>0</v>
      </c>
      <c r="M31" s="46"/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>
        <f>HLOOKUP(K$4,tab!$E$4:$P$49,MATCH($C32,$C$4:$C$49,0),0)</f>
        <v>0</v>
      </c>
      <c r="L32" s="46">
        <f>HLOOKUP(L$4,tab!$E$4:$P$49,MATCH($C32,$C$4:$C$49,0),0)</f>
        <v>0</v>
      </c>
      <c r="M32" s="46"/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>
        <f>HLOOKUP(K$4,tab!$E$4:$P$49,MATCH($C33,$C$4:$C$49,0),0)</f>
        <v>0</v>
      </c>
      <c r="L33" s="46">
        <f>HLOOKUP(L$4,tab!$E$4:$P$49,MATCH($C33,$C$4:$C$49,0),0)</f>
        <v>0</v>
      </c>
      <c r="M33" s="46"/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L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>
        <f t="shared" si="2"/>
        <v>150600</v>
      </c>
      <c r="L34" s="45">
        <f t="shared" si="2"/>
        <v>175600</v>
      </c>
      <c r="M34" s="45"/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 t="shared" ref="F35:L35" si="3">SUM(E35:E36)</f>
        <v>44820</v>
      </c>
      <c r="G35" s="45">
        <f t="shared" si="3"/>
        <v>37140</v>
      </c>
      <c r="H35" s="45">
        <f t="shared" si="3"/>
        <v>21960</v>
      </c>
      <c r="I35" s="45">
        <f t="shared" si="3"/>
        <v>0</v>
      </c>
      <c r="J35" s="45">
        <f t="shared" si="3"/>
        <v>0</v>
      </c>
      <c r="K35" s="45">
        <f t="shared" si="3"/>
        <v>0</v>
      </c>
      <c r="L35" s="45">
        <f t="shared" si="3"/>
        <v>0</v>
      </c>
      <c r="M35" s="45"/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L36" si="4">-IF(AND(E35&gt;0,E34*$D$36&lt;E35),E34*$D$36,E35)</f>
        <v>-180</v>
      </c>
      <c r="F36" s="45">
        <f t="shared" si="4"/>
        <v>-7680</v>
      </c>
      <c r="G36" s="45">
        <f t="shared" si="4"/>
        <v>-15180</v>
      </c>
      <c r="H36" s="45">
        <f t="shared" si="4"/>
        <v>-21960</v>
      </c>
      <c r="I36" s="45">
        <f t="shared" si="4"/>
        <v>0</v>
      </c>
      <c r="J36" s="45">
        <f t="shared" si="4"/>
        <v>0</v>
      </c>
      <c r="K36" s="45">
        <f t="shared" si="4"/>
        <v>0</v>
      </c>
      <c r="L36" s="45">
        <f t="shared" si="4"/>
        <v>0</v>
      </c>
      <c r="M36" s="45"/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5">HLOOKUP($E$4,INDIRECT($E$4&amp;"!$E$4:$O$49"),MATCH(C37,INDIRECT($E$4&amp;"!$C$4:$C$49"),0),0)</f>
        <v>0</v>
      </c>
      <c r="F37" s="45">
        <f t="shared" ref="F37:L37" si="6">IF(SUM(F34,F36)&gt;20000*$A$4,(SUM(F34,F36)-20000*$A$4)*$D$37,0)</f>
        <v>0</v>
      </c>
      <c r="G37" s="45">
        <f t="shared" si="6"/>
        <v>0</v>
      </c>
      <c r="H37" s="45">
        <f t="shared" si="6"/>
        <v>0</v>
      </c>
      <c r="I37" s="45">
        <f t="shared" si="6"/>
        <v>0</v>
      </c>
      <c r="J37" s="45">
        <f t="shared" si="6"/>
        <v>0</v>
      </c>
      <c r="K37" s="45">
        <f t="shared" si="6"/>
        <v>0</v>
      </c>
      <c r="L37" s="45">
        <f t="shared" si="6"/>
        <v>1560</v>
      </c>
      <c r="M37" s="45"/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L38" si="7">SUM(E34,E36)*$D$38</f>
        <v>63</v>
      </c>
      <c r="F38" s="45">
        <f t="shared" si="7"/>
        <v>2688</v>
      </c>
      <c r="G38" s="45">
        <f t="shared" si="7"/>
        <v>5313</v>
      </c>
      <c r="H38" s="45">
        <f t="shared" si="7"/>
        <v>8046</v>
      </c>
      <c r="I38" s="45">
        <f t="shared" si="7"/>
        <v>15090</v>
      </c>
      <c r="J38" s="45">
        <f t="shared" si="7"/>
        <v>18840</v>
      </c>
      <c r="K38" s="45">
        <f t="shared" si="7"/>
        <v>22590</v>
      </c>
      <c r="L38" s="45">
        <f t="shared" si="7"/>
        <v>26340</v>
      </c>
      <c r="M38" s="45"/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L39" si="8">SUM(E34,E36)*$D$39</f>
        <v>37.799999999999997</v>
      </c>
      <c r="F39" s="45">
        <f t="shared" si="8"/>
        <v>1612.8</v>
      </c>
      <c r="G39" s="45">
        <f t="shared" si="8"/>
        <v>3187.7999999999997</v>
      </c>
      <c r="H39" s="45">
        <f t="shared" si="8"/>
        <v>4827.5999999999995</v>
      </c>
      <c r="I39" s="45">
        <f t="shared" si="8"/>
        <v>9054</v>
      </c>
      <c r="J39" s="45">
        <f t="shared" si="8"/>
        <v>11304</v>
      </c>
      <c r="K39" s="45">
        <f t="shared" si="8"/>
        <v>13554</v>
      </c>
      <c r="L39" s="45">
        <f t="shared" si="8"/>
        <v>15804</v>
      </c>
      <c r="M39" s="45"/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L40" si="9">SUM(E42:E47)</f>
        <v>-3600</v>
      </c>
      <c r="F40" s="45">
        <f t="shared" ca="1" si="9"/>
        <v>-3600</v>
      </c>
      <c r="G40" s="45">
        <f t="shared" ca="1" si="9"/>
        <v>-4300.8</v>
      </c>
      <c r="H40" s="45">
        <f t="shared" ca="1" si="9"/>
        <v>-8500.7999999999993</v>
      </c>
      <c r="I40" s="45">
        <f t="shared" ca="1" si="9"/>
        <v>-12873.599999999999</v>
      </c>
      <c r="J40" s="45">
        <f t="shared" ca="1" si="9"/>
        <v>-24144</v>
      </c>
      <c r="K40" s="45">
        <f t="shared" ca="1" si="9"/>
        <v>-30144</v>
      </c>
      <c r="L40" s="45">
        <f t="shared" ca="1" si="9"/>
        <v>-36144</v>
      </c>
      <c r="M40" s="46"/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>
        <f>HLOOKUP(K$4,tab!$E$4:$P$49,MATCH($C41,$C$4:$C$49,0),0)</f>
        <v>0</v>
      </c>
      <c r="L41" s="46">
        <f>HLOOKUP(L$4,tab!$E$4:$P$49,MATCH($C41,$C$4:$C$49,0),0)</f>
        <v>0</v>
      </c>
      <c r="M41" s="46"/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0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>
        <f>HLOOKUP(K$4,tab!$E$4:$P$49,MATCH($C42,$C$4:$C$49,0),0)</f>
        <v>-100</v>
      </c>
      <c r="L42" s="46">
        <f>HLOOKUP(L$4,tab!$E$4:$P$49,MATCH($C42,$C$4:$C$49,0),0)</f>
        <v>-100</v>
      </c>
      <c r="M42" s="46"/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0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>
        <f>HLOOKUP(K$4,tab!$E$4:$P$49,MATCH($C43,$C$4:$C$49,0),0)</f>
        <v>-2000</v>
      </c>
      <c r="L43" s="46">
        <f>HLOOKUP(L$4,tab!$E$4:$P$49,MATCH($C43,$C$4:$C$49,0),0)</f>
        <v>-2000</v>
      </c>
      <c r="M43" s="46"/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0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>
        <f ca="1">-SUM($E$48:J48)</f>
        <v>-16740</v>
      </c>
      <c r="L44" s="46">
        <f ca="1">-SUM($E$48:K48)</f>
        <v>-20490</v>
      </c>
      <c r="M44" s="46"/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0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>
        <f>HLOOKUP(K$4,tab!$E$4:$P$49,MATCH($C45,$C$4:$C$49,0),0)</f>
        <v>0</v>
      </c>
      <c r="L45" s="46">
        <f>HLOOKUP(L$4,tab!$E$4:$P$49,MATCH($C45,$C$4:$C$49,0),0)</f>
        <v>0</v>
      </c>
      <c r="M45" s="46"/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0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>
        <f>HLOOKUP(K$4,tab!$E$4:$P$49,MATCH($C46,$C$4:$C$49,0),0)</f>
        <v>-1500</v>
      </c>
      <c r="L46" s="46">
        <f>HLOOKUP(L$4,tab!$E$4:$P$49,MATCH($C46,$C$4:$C$49,0),0)</f>
        <v>-1500</v>
      </c>
      <c r="M46" s="46"/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0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>
        <f ca="1">-SUM($E$49:J49)</f>
        <v>-9804</v>
      </c>
      <c r="L47" s="46">
        <f ca="1">-SUM($E$49:K49)</f>
        <v>-12054</v>
      </c>
      <c r="M47" s="46"/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3750</v>
      </c>
      <c r="K48" s="45">
        <f ca="1">IF(SUM(K37,K38,SUMIF($D$41:K47,"IR",K$41:K$47))&gt;0,SUM(K37,K38,SUMIF($D$41:K47,"IR",K$41:K$47)),0)</f>
        <v>3750</v>
      </c>
      <c r="L48" s="45">
        <f ca="1">IF(SUM(L37,L38,SUMIF($D$41:L47,"IR",L$41:L$47))&gt;0,SUM(L37,L38,SUMIF($D$41:L47,"IR",L$41:L$47)),0)</f>
        <v>5310</v>
      </c>
      <c r="M48" s="45"/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>
        <f ca="1">IF(SUM(K39,SUMIF($D$41:K47,"CS",K$41:K$47))&gt;0,SUM(K39,SUMIF($D$41:K47,"CS",K$41:K$47)),0)</f>
        <v>2250</v>
      </c>
      <c r="L49" s="45">
        <f ca="1">IF(SUM(L39,SUMIF($D$41:L47,"CS",L$41:L$47))&gt;0,SUM(L39,SUMIF($D$41:L47,"CS",L$41:L$47)),0)</f>
        <v>2250</v>
      </c>
      <c r="M49" s="45"/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C083E7BF-08CE-488F-886F-7A29D95A37AF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3" width="12.7109375" style="4" customWidth="1"/>
    <col min="14" max="14" width="4" style="4" bestFit="1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9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>
        <f>HLOOKUP(K$4,tab!$E$4:$P$33,MATCH($C5,$C$4:$C$33,0),0)</f>
        <v>151000</v>
      </c>
      <c r="L5" s="45">
        <f>HLOOKUP(L$4,tab!$E$4:$P$33,MATCH($C5,$C$4:$C$33,0),0)</f>
        <v>176000</v>
      </c>
      <c r="M5" s="45">
        <f>HLOOKUP(M$4,tab!$E$4:$P$33,MATCH($C5,$C$4:$C$33,0),0)</f>
        <v>201000</v>
      </c>
      <c r="N5" s="45"/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M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>
        <f t="shared" si="0"/>
        <v>600</v>
      </c>
      <c r="L6" s="45">
        <f t="shared" si="0"/>
        <v>600</v>
      </c>
      <c r="M6" s="45">
        <f t="shared" si="0"/>
        <v>600</v>
      </c>
      <c r="N6" s="45"/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>
        <f>HLOOKUP(K$4,tab!$E$4:$P$49,MATCH($C7,$C$4:$C$49,0),0)</f>
        <v>0</v>
      </c>
      <c r="L7" s="46">
        <f>HLOOKUP(L$4,tab!$E$4:$P$49,MATCH($C7,$C$4:$C$49,0),0)</f>
        <v>0</v>
      </c>
      <c r="M7" s="46">
        <f>HLOOKUP(M$4,tab!$E$4:$P$49,MATCH($C7,$C$4:$C$49,0),0)</f>
        <v>0</v>
      </c>
      <c r="N7" s="46"/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>
        <f>HLOOKUP(K$4,tab!$E$4:$P$49,MATCH($C8,$C$4:$C$49,0),0)</f>
        <v>0</v>
      </c>
      <c r="L8" s="46">
        <f>HLOOKUP(L$4,tab!$E$4:$P$49,MATCH($C8,$C$4:$C$49,0),0)</f>
        <v>0</v>
      </c>
      <c r="M8" s="46">
        <f>HLOOKUP(M$4,tab!$E$4:$P$49,MATCH($C8,$C$4:$C$49,0),0)</f>
        <v>0</v>
      </c>
      <c r="N8" s="46"/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>
        <f>HLOOKUP(K$4,tab!$E$4:$P$49,MATCH($C9,$C$4:$C$49,0),0)</f>
        <v>0</v>
      </c>
      <c r="L9" s="46">
        <f>HLOOKUP(L$4,tab!$E$4:$P$49,MATCH($C9,$C$4:$C$49,0),0)</f>
        <v>0</v>
      </c>
      <c r="M9" s="46">
        <f>HLOOKUP(M$4,tab!$E$4:$P$49,MATCH($C9,$C$4:$C$49,0),0)</f>
        <v>0</v>
      </c>
      <c r="N9" s="46"/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>
        <f>HLOOKUP(K$4,tab!$E$4:$P$49,MATCH($C10,$C$4:$C$49,0),0)</f>
        <v>100</v>
      </c>
      <c r="L10" s="46">
        <f>HLOOKUP(L$4,tab!$E$4:$P$49,MATCH($C10,$C$4:$C$49,0),0)</f>
        <v>100</v>
      </c>
      <c r="M10" s="46">
        <f>HLOOKUP(M$4,tab!$E$4:$P$49,MATCH($C10,$C$4:$C$49,0),0)</f>
        <v>100</v>
      </c>
      <c r="N10" s="46"/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>
        <f>HLOOKUP(K$4,tab!$E$4:$P$49,MATCH($C11,$C$4:$C$49,0),0)</f>
        <v>0</v>
      </c>
      <c r="L11" s="46">
        <f>HLOOKUP(L$4,tab!$E$4:$P$49,MATCH($C11,$C$4:$C$49,0),0)</f>
        <v>0</v>
      </c>
      <c r="M11" s="46">
        <f>HLOOKUP(M$4,tab!$E$4:$P$49,MATCH($C11,$C$4:$C$49,0),0)</f>
        <v>0</v>
      </c>
      <c r="N11" s="46"/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>
        <f>HLOOKUP(K$4,tab!$E$4:$P$49,MATCH($C12,$C$4:$C$49,0),0)</f>
        <v>0</v>
      </c>
      <c r="L12" s="46">
        <f>HLOOKUP(L$4,tab!$E$4:$P$49,MATCH($C12,$C$4:$C$49,0),0)</f>
        <v>0</v>
      </c>
      <c r="M12" s="46">
        <f>HLOOKUP(M$4,tab!$E$4:$P$49,MATCH($C12,$C$4:$C$49,0),0)</f>
        <v>0</v>
      </c>
      <c r="N12" s="46"/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>
        <f>HLOOKUP(K$4,tab!$E$4:$P$49,MATCH($C13,$C$4:$C$49,0),0)</f>
        <v>0</v>
      </c>
      <c r="L13" s="46">
        <f>HLOOKUP(L$4,tab!$E$4:$P$49,MATCH($C13,$C$4:$C$49,0),0)</f>
        <v>0</v>
      </c>
      <c r="M13" s="46">
        <f>HLOOKUP(M$4,tab!$E$4:$P$49,MATCH($C13,$C$4:$C$49,0),0)</f>
        <v>0</v>
      </c>
      <c r="N13" s="46"/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>
        <f>HLOOKUP(K$4,tab!$E$4:$P$49,MATCH($C14,$C$4:$C$49,0),0)</f>
        <v>0</v>
      </c>
      <c r="L14" s="46">
        <f>HLOOKUP(L$4,tab!$E$4:$P$49,MATCH($C14,$C$4:$C$49,0),0)</f>
        <v>0</v>
      </c>
      <c r="M14" s="46">
        <f>HLOOKUP(M$4,tab!$E$4:$P$49,MATCH($C14,$C$4:$C$49,0),0)</f>
        <v>0</v>
      </c>
      <c r="N14" s="46"/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>
        <f>HLOOKUP(K$4,tab!$E$4:$P$49,MATCH($C15,$C$4:$C$49,0),0)</f>
        <v>500</v>
      </c>
      <c r="L15" s="46">
        <f>HLOOKUP(L$4,tab!$E$4:$P$49,MATCH($C15,$C$4:$C$49,0),0)</f>
        <v>500</v>
      </c>
      <c r="M15" s="46">
        <f>HLOOKUP(M$4,tab!$E$4:$P$49,MATCH($C15,$C$4:$C$49,0),0)</f>
        <v>500</v>
      </c>
      <c r="N15" s="46"/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>
        <f>HLOOKUP(K$4,tab!$E$4:$P$49,MATCH($C16,$C$4:$C$49,0),0)</f>
        <v>0</v>
      </c>
      <c r="L16" s="46">
        <f>HLOOKUP(L$4,tab!$E$4:$P$49,MATCH($C16,$C$4:$C$49,0),0)</f>
        <v>0</v>
      </c>
      <c r="M16" s="46">
        <f>HLOOKUP(M$4,tab!$E$4:$P$49,MATCH($C16,$C$4:$C$49,0),0)</f>
        <v>0</v>
      </c>
      <c r="N16" s="46"/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>
        <f>HLOOKUP(K$4,tab!$E$4:$P$49,MATCH($C17,$C$4:$C$49,0),0)</f>
        <v>0</v>
      </c>
      <c r="L17" s="46">
        <f>HLOOKUP(L$4,tab!$E$4:$P$49,MATCH($C17,$C$4:$C$49,0),0)</f>
        <v>0</v>
      </c>
      <c r="M17" s="46">
        <f>HLOOKUP(M$4,tab!$E$4:$P$49,MATCH($C17,$C$4:$C$49,0),0)</f>
        <v>0</v>
      </c>
      <c r="N17" s="46"/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>
        <f>HLOOKUP(K$4,tab!$E$4:$P$49,MATCH($C18,$C$4:$C$49,0),0)</f>
        <v>0</v>
      </c>
      <c r="L18" s="46">
        <f>HLOOKUP(L$4,tab!$E$4:$P$49,MATCH($C18,$C$4:$C$49,0),0)</f>
        <v>0</v>
      </c>
      <c r="M18" s="46">
        <f>HLOOKUP(M$4,tab!$E$4:$P$49,MATCH($C18,$C$4:$C$49,0),0)</f>
        <v>0</v>
      </c>
      <c r="N18" s="46"/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>
        <f>HLOOKUP(K$4,tab!$E$4:$P$49,MATCH($C19,$C$4:$C$49,0),0)</f>
        <v>0</v>
      </c>
      <c r="L19" s="46">
        <f>HLOOKUP(L$4,tab!$E$4:$P$49,MATCH($C19,$C$4:$C$49,0),0)</f>
        <v>0</v>
      </c>
      <c r="M19" s="46">
        <f>HLOOKUP(M$4,tab!$E$4:$P$49,MATCH($C19,$C$4:$C$49,0),0)</f>
        <v>0</v>
      </c>
      <c r="N19" s="46"/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M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>
        <f t="shared" si="1"/>
        <v>-1000</v>
      </c>
      <c r="L20" s="45">
        <f t="shared" si="1"/>
        <v>-1000</v>
      </c>
      <c r="M20" s="45">
        <f t="shared" si="1"/>
        <v>-1000</v>
      </c>
      <c r="N20" s="45"/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>
        <f>HLOOKUP(K$4,tab!$E$4:$P$49,MATCH($C21,$C$4:$C$49,0),0)</f>
        <v>0</v>
      </c>
      <c r="L21" s="46">
        <f>HLOOKUP(L$4,tab!$E$4:$P$49,MATCH($C21,$C$4:$C$49,0),0)</f>
        <v>0</v>
      </c>
      <c r="M21" s="46">
        <f>HLOOKUP(M$4,tab!$E$4:$P$49,MATCH($C21,$C$4:$C$49,0),0)</f>
        <v>0</v>
      </c>
      <c r="N21" s="46"/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>
        <f>HLOOKUP(K$4,tab!$E$4:$P$49,MATCH($C22,$C$4:$C$49,0),0)</f>
        <v>0</v>
      </c>
      <c r="L22" s="46">
        <f>HLOOKUP(L$4,tab!$E$4:$P$49,MATCH($C22,$C$4:$C$49,0),0)</f>
        <v>0</v>
      </c>
      <c r="M22" s="46">
        <f>HLOOKUP(M$4,tab!$E$4:$P$49,MATCH($C22,$C$4:$C$49,0),0)</f>
        <v>0</v>
      </c>
      <c r="N22" s="46"/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>
        <f>HLOOKUP(K$4,tab!$E$4:$P$49,MATCH($C23,$C$4:$C$49,0),0)</f>
        <v>0</v>
      </c>
      <c r="L23" s="46">
        <f>HLOOKUP(L$4,tab!$E$4:$P$49,MATCH($C23,$C$4:$C$49,0),0)</f>
        <v>0</v>
      </c>
      <c r="M23" s="46">
        <f>HLOOKUP(M$4,tab!$E$4:$P$49,MATCH($C23,$C$4:$C$49,0),0)</f>
        <v>0</v>
      </c>
      <c r="N23" s="46"/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>
        <f>HLOOKUP(K$4,tab!$E$4:$P$49,MATCH($C24,$C$4:$C$49,0),0)</f>
        <v>0</v>
      </c>
      <c r="L24" s="46">
        <f>HLOOKUP(L$4,tab!$E$4:$P$49,MATCH($C24,$C$4:$C$49,0),0)</f>
        <v>0</v>
      </c>
      <c r="M24" s="46">
        <f>HLOOKUP(M$4,tab!$E$4:$P$49,MATCH($C24,$C$4:$C$49,0),0)</f>
        <v>0</v>
      </c>
      <c r="N24" s="46"/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>
        <f>HLOOKUP(K$4,tab!$E$4:$P$49,MATCH($C25,$C$4:$C$49,0),0)</f>
        <v>0</v>
      </c>
      <c r="L25" s="46">
        <f>HLOOKUP(L$4,tab!$E$4:$P$49,MATCH($C25,$C$4:$C$49,0),0)</f>
        <v>0</v>
      </c>
      <c r="M25" s="46">
        <f>HLOOKUP(M$4,tab!$E$4:$P$49,MATCH($C25,$C$4:$C$49,0),0)</f>
        <v>0</v>
      </c>
      <c r="N25" s="46"/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>
        <f>HLOOKUP(K$4,tab!$E$4:$P$49,MATCH($C26,$C$4:$C$49,0),0)</f>
        <v>-1000</v>
      </c>
      <c r="L26" s="46">
        <f>HLOOKUP(L$4,tab!$E$4:$P$49,MATCH($C26,$C$4:$C$49,0),0)</f>
        <v>-1000</v>
      </c>
      <c r="M26" s="46">
        <f>HLOOKUP(M$4,tab!$E$4:$P$49,MATCH($C26,$C$4:$C$49,0),0)</f>
        <v>-1000</v>
      </c>
      <c r="N26" s="46"/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>
        <f>HLOOKUP(K$4,tab!$E$4:$P$49,MATCH($C27,$C$4:$C$49,0),0)</f>
        <v>0</v>
      </c>
      <c r="L27" s="46">
        <f>HLOOKUP(L$4,tab!$E$4:$P$49,MATCH($C27,$C$4:$C$49,0),0)</f>
        <v>0</v>
      </c>
      <c r="M27" s="46">
        <f>HLOOKUP(M$4,tab!$E$4:$P$49,MATCH($C27,$C$4:$C$49,0),0)</f>
        <v>0</v>
      </c>
      <c r="N27" s="46"/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>
        <f>HLOOKUP(K$4,tab!$E$4:$P$49,MATCH($C28,$C$4:$C$49,0),0)</f>
        <v>0</v>
      </c>
      <c r="L28" s="46">
        <f>HLOOKUP(L$4,tab!$E$4:$P$49,MATCH($C28,$C$4:$C$49,0),0)</f>
        <v>0</v>
      </c>
      <c r="M28" s="46">
        <f>HLOOKUP(M$4,tab!$E$4:$P$49,MATCH($C28,$C$4:$C$49,0),0)</f>
        <v>0</v>
      </c>
      <c r="N28" s="46"/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>
        <f>HLOOKUP(K$4,tab!$E$4:$P$49,MATCH($C29,$C$4:$C$49,0),0)</f>
        <v>0</v>
      </c>
      <c r="L29" s="46">
        <f>HLOOKUP(L$4,tab!$E$4:$P$49,MATCH($C29,$C$4:$C$49,0),0)</f>
        <v>0</v>
      </c>
      <c r="M29" s="46">
        <f>HLOOKUP(M$4,tab!$E$4:$P$49,MATCH($C29,$C$4:$C$49,0),0)</f>
        <v>0</v>
      </c>
      <c r="N29" s="46"/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>
        <f>HLOOKUP(K$4,tab!$E$4:$P$49,MATCH($C30,$C$4:$C$49,0),0)</f>
        <v>0</v>
      </c>
      <c r="L30" s="46">
        <f>HLOOKUP(L$4,tab!$E$4:$P$49,MATCH($C30,$C$4:$C$49,0),0)</f>
        <v>0</v>
      </c>
      <c r="M30" s="46">
        <f>HLOOKUP(M$4,tab!$E$4:$P$49,MATCH($C30,$C$4:$C$49,0),0)</f>
        <v>0</v>
      </c>
      <c r="N30" s="46"/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>
        <f>HLOOKUP(K$4,tab!$E$4:$P$49,MATCH($C31,$C$4:$C$49,0),0)</f>
        <v>0</v>
      </c>
      <c r="L31" s="46">
        <f>HLOOKUP(L$4,tab!$E$4:$P$49,MATCH($C31,$C$4:$C$49,0),0)</f>
        <v>0</v>
      </c>
      <c r="M31" s="46">
        <f>HLOOKUP(M$4,tab!$E$4:$P$49,MATCH($C31,$C$4:$C$49,0),0)</f>
        <v>0</v>
      </c>
      <c r="N31" s="46"/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>
        <f>HLOOKUP(K$4,tab!$E$4:$P$49,MATCH($C32,$C$4:$C$49,0),0)</f>
        <v>0</v>
      </c>
      <c r="L32" s="46">
        <f>HLOOKUP(L$4,tab!$E$4:$P$49,MATCH($C32,$C$4:$C$49,0),0)</f>
        <v>0</v>
      </c>
      <c r="M32" s="46">
        <f>HLOOKUP(M$4,tab!$E$4:$P$49,MATCH($C32,$C$4:$C$49,0),0)</f>
        <v>0</v>
      </c>
      <c r="N32" s="46"/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>
        <f>HLOOKUP(K$4,tab!$E$4:$P$49,MATCH($C33,$C$4:$C$49,0),0)</f>
        <v>0</v>
      </c>
      <c r="L33" s="46">
        <f>HLOOKUP(L$4,tab!$E$4:$P$49,MATCH($C33,$C$4:$C$49,0),0)</f>
        <v>0</v>
      </c>
      <c r="M33" s="46">
        <f>HLOOKUP(M$4,tab!$E$4:$P$49,MATCH($C33,$C$4:$C$49,0),0)</f>
        <v>0</v>
      </c>
      <c r="N33" s="46"/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M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>
        <f t="shared" si="2"/>
        <v>150600</v>
      </c>
      <c r="L34" s="45">
        <f t="shared" si="2"/>
        <v>175600</v>
      </c>
      <c r="M34" s="45">
        <f t="shared" si="2"/>
        <v>200600</v>
      </c>
      <c r="N34" s="45"/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 t="shared" ref="F35:M35" si="3">SUM(E35:E36)</f>
        <v>44820</v>
      </c>
      <c r="G35" s="45">
        <f t="shared" si="3"/>
        <v>37140</v>
      </c>
      <c r="H35" s="45">
        <f t="shared" si="3"/>
        <v>21960</v>
      </c>
      <c r="I35" s="45">
        <f t="shared" si="3"/>
        <v>0</v>
      </c>
      <c r="J35" s="45">
        <f t="shared" si="3"/>
        <v>0</v>
      </c>
      <c r="K35" s="45">
        <f t="shared" si="3"/>
        <v>0</v>
      </c>
      <c r="L35" s="45">
        <f t="shared" si="3"/>
        <v>0</v>
      </c>
      <c r="M35" s="45">
        <f t="shared" si="3"/>
        <v>0</v>
      </c>
      <c r="N35" s="45"/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M36" si="4">-IF(AND(E35&gt;0,E34*$D$36&lt;E35),E34*$D$36,E35)</f>
        <v>-180</v>
      </c>
      <c r="F36" s="45">
        <f t="shared" si="4"/>
        <v>-7680</v>
      </c>
      <c r="G36" s="45">
        <f t="shared" si="4"/>
        <v>-15180</v>
      </c>
      <c r="H36" s="45">
        <f t="shared" si="4"/>
        <v>-21960</v>
      </c>
      <c r="I36" s="45">
        <f t="shared" si="4"/>
        <v>0</v>
      </c>
      <c r="J36" s="45">
        <f t="shared" si="4"/>
        <v>0</v>
      </c>
      <c r="K36" s="45">
        <f t="shared" si="4"/>
        <v>0</v>
      </c>
      <c r="L36" s="45">
        <f t="shared" si="4"/>
        <v>0</v>
      </c>
      <c r="M36" s="45">
        <f t="shared" si="4"/>
        <v>0</v>
      </c>
      <c r="N36" s="45"/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5">HLOOKUP($E$4,INDIRECT($E$4&amp;"!$E$4:$O$49"),MATCH(C37,INDIRECT($E$4&amp;"!$C$4:$C$49"),0),0)</f>
        <v>0</v>
      </c>
      <c r="F37" s="45">
        <f t="shared" ref="F37:M37" si="6">IF(SUM(F34,F36)&gt;20000*$A$4,(SUM(F34,F36)-20000*$A$4)*$D$37,0)</f>
        <v>0</v>
      </c>
      <c r="G37" s="45">
        <f t="shared" si="6"/>
        <v>0</v>
      </c>
      <c r="H37" s="45">
        <f t="shared" si="6"/>
        <v>0</v>
      </c>
      <c r="I37" s="45">
        <f t="shared" si="6"/>
        <v>0</v>
      </c>
      <c r="J37" s="45">
        <f t="shared" si="6"/>
        <v>0</v>
      </c>
      <c r="K37" s="45">
        <f t="shared" si="6"/>
        <v>0</v>
      </c>
      <c r="L37" s="45">
        <f t="shared" si="6"/>
        <v>0</v>
      </c>
      <c r="M37" s="45">
        <f t="shared" si="6"/>
        <v>2060</v>
      </c>
      <c r="N37" s="45"/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M38" si="7">SUM(E34,E36)*$D$38</f>
        <v>63</v>
      </c>
      <c r="F38" s="45">
        <f t="shared" si="7"/>
        <v>2688</v>
      </c>
      <c r="G38" s="45">
        <f t="shared" si="7"/>
        <v>5313</v>
      </c>
      <c r="H38" s="45">
        <f t="shared" si="7"/>
        <v>8046</v>
      </c>
      <c r="I38" s="45">
        <f t="shared" si="7"/>
        <v>15090</v>
      </c>
      <c r="J38" s="45">
        <f t="shared" si="7"/>
        <v>18840</v>
      </c>
      <c r="K38" s="45">
        <f t="shared" si="7"/>
        <v>22590</v>
      </c>
      <c r="L38" s="45">
        <f t="shared" si="7"/>
        <v>26340</v>
      </c>
      <c r="M38" s="45">
        <f t="shared" si="7"/>
        <v>30090</v>
      </c>
      <c r="N38" s="45"/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M39" si="8">SUM(E34,E36)*$D$39</f>
        <v>37.799999999999997</v>
      </c>
      <c r="F39" s="45">
        <f t="shared" si="8"/>
        <v>1612.8</v>
      </c>
      <c r="G39" s="45">
        <f t="shared" si="8"/>
        <v>3187.7999999999997</v>
      </c>
      <c r="H39" s="45">
        <f t="shared" si="8"/>
        <v>4827.5999999999995</v>
      </c>
      <c r="I39" s="45">
        <f t="shared" si="8"/>
        <v>9054</v>
      </c>
      <c r="J39" s="45">
        <f t="shared" si="8"/>
        <v>11304</v>
      </c>
      <c r="K39" s="45">
        <f t="shared" si="8"/>
        <v>13554</v>
      </c>
      <c r="L39" s="45">
        <f t="shared" si="8"/>
        <v>15804</v>
      </c>
      <c r="M39" s="45">
        <f t="shared" si="8"/>
        <v>18054</v>
      </c>
      <c r="N39" s="45"/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M40" si="9">SUM(E42:E47)</f>
        <v>-3600</v>
      </c>
      <c r="F40" s="45">
        <f t="shared" ca="1" si="9"/>
        <v>-3600</v>
      </c>
      <c r="G40" s="45">
        <f t="shared" ca="1" si="9"/>
        <v>-4300.8</v>
      </c>
      <c r="H40" s="45">
        <f t="shared" ca="1" si="9"/>
        <v>-8500.7999999999993</v>
      </c>
      <c r="I40" s="45">
        <f t="shared" ca="1" si="9"/>
        <v>-12873.599999999999</v>
      </c>
      <c r="J40" s="45">
        <f t="shared" ca="1" si="9"/>
        <v>-24144</v>
      </c>
      <c r="K40" s="45">
        <f t="shared" ca="1" si="9"/>
        <v>-30144</v>
      </c>
      <c r="L40" s="45">
        <f t="shared" ca="1" si="9"/>
        <v>-36144</v>
      </c>
      <c r="M40" s="45">
        <f t="shared" ca="1" si="9"/>
        <v>-42144</v>
      </c>
      <c r="N40" s="46"/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>
        <f>HLOOKUP(K$4,tab!$E$4:$P$49,MATCH($C41,$C$4:$C$49,0),0)</f>
        <v>0</v>
      </c>
      <c r="L41" s="46">
        <f>HLOOKUP(L$4,tab!$E$4:$P$49,MATCH($C41,$C$4:$C$49,0),0)</f>
        <v>0</v>
      </c>
      <c r="M41" s="46">
        <f>HLOOKUP(M$4,tab!$E$4:$P$49,MATCH($C41,$C$4:$C$49,0),0)</f>
        <v>0</v>
      </c>
      <c r="N41" s="46"/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0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>
        <f>HLOOKUP(K$4,tab!$E$4:$P$49,MATCH($C42,$C$4:$C$49,0),0)</f>
        <v>-100</v>
      </c>
      <c r="L42" s="46">
        <f>HLOOKUP(L$4,tab!$E$4:$P$49,MATCH($C42,$C$4:$C$49,0),0)</f>
        <v>-100</v>
      </c>
      <c r="M42" s="46">
        <f>HLOOKUP(M$4,tab!$E$4:$P$49,MATCH($C42,$C$4:$C$49,0),0)</f>
        <v>-100</v>
      </c>
      <c r="N42" s="46"/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0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>
        <f>HLOOKUP(K$4,tab!$E$4:$P$49,MATCH($C43,$C$4:$C$49,0),0)</f>
        <v>-2000</v>
      </c>
      <c r="L43" s="46">
        <f>HLOOKUP(L$4,tab!$E$4:$P$49,MATCH($C43,$C$4:$C$49,0),0)</f>
        <v>-2000</v>
      </c>
      <c r="M43" s="46">
        <f>HLOOKUP(M$4,tab!$E$4:$P$49,MATCH($C43,$C$4:$C$49,0),0)</f>
        <v>-2000</v>
      </c>
      <c r="N43" s="46"/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0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>
        <f ca="1">-SUM($E$48:J48)</f>
        <v>-16740</v>
      </c>
      <c r="L44" s="46">
        <f ca="1">-SUM($E$48:K48)</f>
        <v>-20490</v>
      </c>
      <c r="M44" s="46">
        <f ca="1">-SUM($E$48:L48)</f>
        <v>-24240</v>
      </c>
      <c r="N44" s="46"/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0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>
        <f>HLOOKUP(K$4,tab!$E$4:$P$49,MATCH($C45,$C$4:$C$49,0),0)</f>
        <v>0</v>
      </c>
      <c r="L45" s="46">
        <f>HLOOKUP(L$4,tab!$E$4:$P$49,MATCH($C45,$C$4:$C$49,0),0)</f>
        <v>0</v>
      </c>
      <c r="M45" s="46">
        <f>HLOOKUP(M$4,tab!$E$4:$P$49,MATCH($C45,$C$4:$C$49,0),0)</f>
        <v>0</v>
      </c>
      <c r="N45" s="46"/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0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>
        <f>HLOOKUP(K$4,tab!$E$4:$P$49,MATCH($C46,$C$4:$C$49,0),0)</f>
        <v>-1500</v>
      </c>
      <c r="L46" s="46">
        <f>HLOOKUP(L$4,tab!$E$4:$P$49,MATCH($C46,$C$4:$C$49,0),0)</f>
        <v>-1500</v>
      </c>
      <c r="M46" s="46">
        <f>HLOOKUP(M$4,tab!$E$4:$P$49,MATCH($C46,$C$4:$C$49,0),0)</f>
        <v>-1500</v>
      </c>
      <c r="N46" s="46"/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0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>
        <f ca="1">-SUM($E$49:J49)</f>
        <v>-9804</v>
      </c>
      <c r="L47" s="46">
        <f ca="1">-SUM($E$49:K49)</f>
        <v>-12054</v>
      </c>
      <c r="M47" s="46">
        <f ca="1">-SUM($E$49:L49)</f>
        <v>-14304</v>
      </c>
      <c r="N47" s="46"/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3750</v>
      </c>
      <c r="K48" s="45">
        <f ca="1">IF(SUM(K37,K38,SUMIF($D$41:K47,"IR",K$41:K$47))&gt;0,SUM(K37,K38,SUMIF($D$41:K47,"IR",K$41:K$47)),0)</f>
        <v>3750</v>
      </c>
      <c r="L48" s="45">
        <f ca="1">IF(SUM(L37,L38,SUMIF($D$41:L47,"IR",L$41:L$47))&gt;0,SUM(L37,L38,SUMIF($D$41:L47,"IR",L$41:L$47)),0)</f>
        <v>3750</v>
      </c>
      <c r="M48" s="45">
        <f ca="1">IF(SUM(M37,M38,SUMIF($D$41:M47,"IR",M$41:M$47))&gt;0,SUM(M37,M38,SUMIF($D$41:M47,"IR",M$41:M$47)),0)</f>
        <v>5810</v>
      </c>
      <c r="N48" s="45"/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>
        <f ca="1">IF(SUM(K39,SUMIF($D$41:K47,"CS",K$41:K$47))&gt;0,SUM(K39,SUMIF($D$41:K47,"CS",K$41:K$47)),0)</f>
        <v>2250</v>
      </c>
      <c r="L49" s="45">
        <f ca="1">IF(SUM(L39,SUMIF($D$41:L47,"CS",L$41:L$47))&gt;0,SUM(L39,SUMIF($D$41:L47,"CS",L$41:L$47)),0)</f>
        <v>2250</v>
      </c>
      <c r="M49" s="45">
        <f ca="1">IF(SUM(M39,SUMIF($D$41:M47,"CS",M$41:M$47))&gt;0,SUM(M39,SUMIF($D$41:M47,"CS",M$41:M$47)),0)</f>
        <v>2250</v>
      </c>
      <c r="N49" s="45"/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3F04A1E7-0BC3-4231-8738-961465CD6D75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4" width="12.7109375" style="4" customWidth="1"/>
    <col min="15" max="15" width="4.42578125" style="4" bestFit="1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10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>
        <f>HLOOKUP(K$4,tab!$E$4:$P$33,MATCH($C5,$C$4:$C$33,0),0)</f>
        <v>151000</v>
      </c>
      <c r="L5" s="45">
        <f>HLOOKUP(L$4,tab!$E$4:$P$33,MATCH($C5,$C$4:$C$33,0),0)</f>
        <v>176000</v>
      </c>
      <c r="M5" s="45">
        <f>HLOOKUP(M$4,tab!$E$4:$P$33,MATCH($C5,$C$4:$C$33,0),0)</f>
        <v>201000</v>
      </c>
      <c r="N5" s="45">
        <f>HLOOKUP(N$4,tab!$E$4:$P$33,MATCH($C5,$C$4:$C$33,0),0)</f>
        <v>226000</v>
      </c>
      <c r="O5" s="45"/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N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>
        <f t="shared" si="0"/>
        <v>600</v>
      </c>
      <c r="L6" s="45">
        <f t="shared" si="0"/>
        <v>600</v>
      </c>
      <c r="M6" s="45">
        <f t="shared" si="0"/>
        <v>600</v>
      </c>
      <c r="N6" s="45">
        <f t="shared" si="0"/>
        <v>600</v>
      </c>
      <c r="O6" s="45"/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>
        <f>HLOOKUP(K$4,tab!$E$4:$P$49,MATCH($C7,$C$4:$C$49,0),0)</f>
        <v>0</v>
      </c>
      <c r="L7" s="46">
        <f>HLOOKUP(L$4,tab!$E$4:$P$49,MATCH($C7,$C$4:$C$49,0),0)</f>
        <v>0</v>
      </c>
      <c r="M7" s="46">
        <f>HLOOKUP(M$4,tab!$E$4:$P$49,MATCH($C7,$C$4:$C$49,0),0)</f>
        <v>0</v>
      </c>
      <c r="N7" s="46">
        <f>HLOOKUP(N$4,tab!$E$4:$P$49,MATCH($C7,$C$4:$C$49,0),0)</f>
        <v>0</v>
      </c>
      <c r="O7" s="46"/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>
        <f>HLOOKUP(K$4,tab!$E$4:$P$49,MATCH($C8,$C$4:$C$49,0),0)</f>
        <v>0</v>
      </c>
      <c r="L8" s="46">
        <f>HLOOKUP(L$4,tab!$E$4:$P$49,MATCH($C8,$C$4:$C$49,0),0)</f>
        <v>0</v>
      </c>
      <c r="M8" s="46">
        <f>HLOOKUP(M$4,tab!$E$4:$P$49,MATCH($C8,$C$4:$C$49,0),0)</f>
        <v>0</v>
      </c>
      <c r="N8" s="46">
        <f>HLOOKUP(N$4,tab!$E$4:$P$49,MATCH($C8,$C$4:$C$49,0),0)</f>
        <v>0</v>
      </c>
      <c r="O8" s="46"/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>
        <f>HLOOKUP(K$4,tab!$E$4:$P$49,MATCH($C9,$C$4:$C$49,0),0)</f>
        <v>0</v>
      </c>
      <c r="L9" s="46">
        <f>HLOOKUP(L$4,tab!$E$4:$P$49,MATCH($C9,$C$4:$C$49,0),0)</f>
        <v>0</v>
      </c>
      <c r="M9" s="46">
        <f>HLOOKUP(M$4,tab!$E$4:$P$49,MATCH($C9,$C$4:$C$49,0),0)</f>
        <v>0</v>
      </c>
      <c r="N9" s="46">
        <f>HLOOKUP(N$4,tab!$E$4:$P$49,MATCH($C9,$C$4:$C$49,0),0)</f>
        <v>0</v>
      </c>
      <c r="O9" s="46"/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>
        <f>HLOOKUP(K$4,tab!$E$4:$P$49,MATCH($C10,$C$4:$C$49,0),0)</f>
        <v>100</v>
      </c>
      <c r="L10" s="46">
        <f>HLOOKUP(L$4,tab!$E$4:$P$49,MATCH($C10,$C$4:$C$49,0),0)</f>
        <v>100</v>
      </c>
      <c r="M10" s="46">
        <f>HLOOKUP(M$4,tab!$E$4:$P$49,MATCH($C10,$C$4:$C$49,0),0)</f>
        <v>100</v>
      </c>
      <c r="N10" s="46">
        <f>HLOOKUP(N$4,tab!$E$4:$P$49,MATCH($C10,$C$4:$C$49,0),0)</f>
        <v>100</v>
      </c>
      <c r="O10" s="46"/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>
        <f>HLOOKUP(K$4,tab!$E$4:$P$49,MATCH($C11,$C$4:$C$49,0),0)</f>
        <v>0</v>
      </c>
      <c r="L11" s="46">
        <f>HLOOKUP(L$4,tab!$E$4:$P$49,MATCH($C11,$C$4:$C$49,0),0)</f>
        <v>0</v>
      </c>
      <c r="M11" s="46">
        <f>HLOOKUP(M$4,tab!$E$4:$P$49,MATCH($C11,$C$4:$C$49,0),0)</f>
        <v>0</v>
      </c>
      <c r="N11" s="46">
        <f>HLOOKUP(N$4,tab!$E$4:$P$49,MATCH($C11,$C$4:$C$49,0),0)</f>
        <v>0</v>
      </c>
      <c r="O11" s="46"/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>
        <f>HLOOKUP(K$4,tab!$E$4:$P$49,MATCH($C12,$C$4:$C$49,0),0)</f>
        <v>0</v>
      </c>
      <c r="L12" s="46">
        <f>HLOOKUP(L$4,tab!$E$4:$P$49,MATCH($C12,$C$4:$C$49,0),0)</f>
        <v>0</v>
      </c>
      <c r="M12" s="46">
        <f>HLOOKUP(M$4,tab!$E$4:$P$49,MATCH($C12,$C$4:$C$49,0),0)</f>
        <v>0</v>
      </c>
      <c r="N12" s="46">
        <f>HLOOKUP(N$4,tab!$E$4:$P$49,MATCH($C12,$C$4:$C$49,0),0)</f>
        <v>0</v>
      </c>
      <c r="O12" s="46"/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>
        <f>HLOOKUP(K$4,tab!$E$4:$P$49,MATCH($C13,$C$4:$C$49,0),0)</f>
        <v>0</v>
      </c>
      <c r="L13" s="46">
        <f>HLOOKUP(L$4,tab!$E$4:$P$49,MATCH($C13,$C$4:$C$49,0),0)</f>
        <v>0</v>
      </c>
      <c r="M13" s="46">
        <f>HLOOKUP(M$4,tab!$E$4:$P$49,MATCH($C13,$C$4:$C$49,0),0)</f>
        <v>0</v>
      </c>
      <c r="N13" s="46">
        <f>HLOOKUP(N$4,tab!$E$4:$P$49,MATCH($C13,$C$4:$C$49,0),0)</f>
        <v>0</v>
      </c>
      <c r="O13" s="46"/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>
        <f>HLOOKUP(K$4,tab!$E$4:$P$49,MATCH($C14,$C$4:$C$49,0),0)</f>
        <v>0</v>
      </c>
      <c r="L14" s="46">
        <f>HLOOKUP(L$4,tab!$E$4:$P$49,MATCH($C14,$C$4:$C$49,0),0)</f>
        <v>0</v>
      </c>
      <c r="M14" s="46">
        <f>HLOOKUP(M$4,tab!$E$4:$P$49,MATCH($C14,$C$4:$C$49,0),0)</f>
        <v>0</v>
      </c>
      <c r="N14" s="46">
        <f>HLOOKUP(N$4,tab!$E$4:$P$49,MATCH($C14,$C$4:$C$49,0),0)</f>
        <v>0</v>
      </c>
      <c r="O14" s="46"/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>
        <f>HLOOKUP(K$4,tab!$E$4:$P$49,MATCH($C15,$C$4:$C$49,0),0)</f>
        <v>500</v>
      </c>
      <c r="L15" s="46">
        <f>HLOOKUP(L$4,tab!$E$4:$P$49,MATCH($C15,$C$4:$C$49,0),0)</f>
        <v>500</v>
      </c>
      <c r="M15" s="46">
        <f>HLOOKUP(M$4,tab!$E$4:$P$49,MATCH($C15,$C$4:$C$49,0),0)</f>
        <v>500</v>
      </c>
      <c r="N15" s="46">
        <f>HLOOKUP(N$4,tab!$E$4:$P$49,MATCH($C15,$C$4:$C$49,0),0)</f>
        <v>500</v>
      </c>
      <c r="O15" s="46"/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>
        <f>HLOOKUP(K$4,tab!$E$4:$P$49,MATCH($C16,$C$4:$C$49,0),0)</f>
        <v>0</v>
      </c>
      <c r="L16" s="46">
        <f>HLOOKUP(L$4,tab!$E$4:$P$49,MATCH($C16,$C$4:$C$49,0),0)</f>
        <v>0</v>
      </c>
      <c r="M16" s="46">
        <f>HLOOKUP(M$4,tab!$E$4:$P$49,MATCH($C16,$C$4:$C$49,0),0)</f>
        <v>0</v>
      </c>
      <c r="N16" s="46">
        <f>HLOOKUP(N$4,tab!$E$4:$P$49,MATCH($C16,$C$4:$C$49,0),0)</f>
        <v>0</v>
      </c>
      <c r="O16" s="46"/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>
        <f>HLOOKUP(K$4,tab!$E$4:$P$49,MATCH($C17,$C$4:$C$49,0),0)</f>
        <v>0</v>
      </c>
      <c r="L17" s="46">
        <f>HLOOKUP(L$4,tab!$E$4:$P$49,MATCH($C17,$C$4:$C$49,0),0)</f>
        <v>0</v>
      </c>
      <c r="M17" s="46">
        <f>HLOOKUP(M$4,tab!$E$4:$P$49,MATCH($C17,$C$4:$C$49,0),0)</f>
        <v>0</v>
      </c>
      <c r="N17" s="46">
        <f>HLOOKUP(N$4,tab!$E$4:$P$49,MATCH($C17,$C$4:$C$49,0),0)</f>
        <v>0</v>
      </c>
      <c r="O17" s="46"/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>
        <f>HLOOKUP(K$4,tab!$E$4:$P$49,MATCH($C18,$C$4:$C$49,0),0)</f>
        <v>0</v>
      </c>
      <c r="L18" s="46">
        <f>HLOOKUP(L$4,tab!$E$4:$P$49,MATCH($C18,$C$4:$C$49,0),0)</f>
        <v>0</v>
      </c>
      <c r="M18" s="46">
        <f>HLOOKUP(M$4,tab!$E$4:$P$49,MATCH($C18,$C$4:$C$49,0),0)</f>
        <v>0</v>
      </c>
      <c r="N18" s="46">
        <f>HLOOKUP(N$4,tab!$E$4:$P$49,MATCH($C18,$C$4:$C$49,0),0)</f>
        <v>0</v>
      </c>
      <c r="O18" s="46"/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>
        <f>HLOOKUP(K$4,tab!$E$4:$P$49,MATCH($C19,$C$4:$C$49,0),0)</f>
        <v>0</v>
      </c>
      <c r="L19" s="46">
        <f>HLOOKUP(L$4,tab!$E$4:$P$49,MATCH($C19,$C$4:$C$49,0),0)</f>
        <v>0</v>
      </c>
      <c r="M19" s="46">
        <f>HLOOKUP(M$4,tab!$E$4:$P$49,MATCH($C19,$C$4:$C$49,0),0)</f>
        <v>0</v>
      </c>
      <c r="N19" s="46">
        <f>HLOOKUP(N$4,tab!$E$4:$P$49,MATCH($C19,$C$4:$C$49,0),0)</f>
        <v>0</v>
      </c>
      <c r="O19" s="46"/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N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>
        <f t="shared" si="1"/>
        <v>-1000</v>
      </c>
      <c r="L20" s="45">
        <f t="shared" si="1"/>
        <v>-1000</v>
      </c>
      <c r="M20" s="45">
        <f t="shared" si="1"/>
        <v>-1000</v>
      </c>
      <c r="N20" s="45">
        <f t="shared" si="1"/>
        <v>-1000</v>
      </c>
      <c r="O20" s="45"/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>
        <f>HLOOKUP(K$4,tab!$E$4:$P$49,MATCH($C21,$C$4:$C$49,0),0)</f>
        <v>0</v>
      </c>
      <c r="L21" s="46">
        <f>HLOOKUP(L$4,tab!$E$4:$P$49,MATCH($C21,$C$4:$C$49,0),0)</f>
        <v>0</v>
      </c>
      <c r="M21" s="46">
        <f>HLOOKUP(M$4,tab!$E$4:$P$49,MATCH($C21,$C$4:$C$49,0),0)</f>
        <v>0</v>
      </c>
      <c r="N21" s="46">
        <f>HLOOKUP(N$4,tab!$E$4:$P$49,MATCH($C21,$C$4:$C$49,0),0)</f>
        <v>0</v>
      </c>
      <c r="O21" s="46"/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>
        <f>HLOOKUP(K$4,tab!$E$4:$P$49,MATCH($C22,$C$4:$C$49,0),0)</f>
        <v>0</v>
      </c>
      <c r="L22" s="46">
        <f>HLOOKUP(L$4,tab!$E$4:$P$49,MATCH($C22,$C$4:$C$49,0),0)</f>
        <v>0</v>
      </c>
      <c r="M22" s="46">
        <f>HLOOKUP(M$4,tab!$E$4:$P$49,MATCH($C22,$C$4:$C$49,0),0)</f>
        <v>0</v>
      </c>
      <c r="N22" s="46">
        <f>HLOOKUP(N$4,tab!$E$4:$P$49,MATCH($C22,$C$4:$C$49,0),0)</f>
        <v>0</v>
      </c>
      <c r="O22" s="46"/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>
        <f>HLOOKUP(K$4,tab!$E$4:$P$49,MATCH($C23,$C$4:$C$49,0),0)</f>
        <v>0</v>
      </c>
      <c r="L23" s="46">
        <f>HLOOKUP(L$4,tab!$E$4:$P$49,MATCH($C23,$C$4:$C$49,0),0)</f>
        <v>0</v>
      </c>
      <c r="M23" s="46">
        <f>HLOOKUP(M$4,tab!$E$4:$P$49,MATCH($C23,$C$4:$C$49,0),0)</f>
        <v>0</v>
      </c>
      <c r="N23" s="46">
        <f>HLOOKUP(N$4,tab!$E$4:$P$49,MATCH($C23,$C$4:$C$49,0),0)</f>
        <v>0</v>
      </c>
      <c r="O23" s="46"/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>
        <f>HLOOKUP(K$4,tab!$E$4:$P$49,MATCH($C24,$C$4:$C$49,0),0)</f>
        <v>0</v>
      </c>
      <c r="L24" s="46">
        <f>HLOOKUP(L$4,tab!$E$4:$P$49,MATCH($C24,$C$4:$C$49,0),0)</f>
        <v>0</v>
      </c>
      <c r="M24" s="46">
        <f>HLOOKUP(M$4,tab!$E$4:$P$49,MATCH($C24,$C$4:$C$49,0),0)</f>
        <v>0</v>
      </c>
      <c r="N24" s="46">
        <f>HLOOKUP(N$4,tab!$E$4:$P$49,MATCH($C24,$C$4:$C$49,0),0)</f>
        <v>0</v>
      </c>
      <c r="O24" s="46"/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>
        <f>HLOOKUP(K$4,tab!$E$4:$P$49,MATCH($C25,$C$4:$C$49,0),0)</f>
        <v>0</v>
      </c>
      <c r="L25" s="46">
        <f>HLOOKUP(L$4,tab!$E$4:$P$49,MATCH($C25,$C$4:$C$49,0),0)</f>
        <v>0</v>
      </c>
      <c r="M25" s="46">
        <f>HLOOKUP(M$4,tab!$E$4:$P$49,MATCH($C25,$C$4:$C$49,0),0)</f>
        <v>0</v>
      </c>
      <c r="N25" s="46">
        <f>HLOOKUP(N$4,tab!$E$4:$P$49,MATCH($C25,$C$4:$C$49,0),0)</f>
        <v>0</v>
      </c>
      <c r="O25" s="46"/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>
        <f>HLOOKUP(K$4,tab!$E$4:$P$49,MATCH($C26,$C$4:$C$49,0),0)</f>
        <v>-1000</v>
      </c>
      <c r="L26" s="46">
        <f>HLOOKUP(L$4,tab!$E$4:$P$49,MATCH($C26,$C$4:$C$49,0),0)</f>
        <v>-1000</v>
      </c>
      <c r="M26" s="46">
        <f>HLOOKUP(M$4,tab!$E$4:$P$49,MATCH($C26,$C$4:$C$49,0),0)</f>
        <v>-1000</v>
      </c>
      <c r="N26" s="46">
        <f>HLOOKUP(N$4,tab!$E$4:$P$49,MATCH($C26,$C$4:$C$49,0),0)</f>
        <v>-1000</v>
      </c>
      <c r="O26" s="46"/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>
        <f>HLOOKUP(K$4,tab!$E$4:$P$49,MATCH($C27,$C$4:$C$49,0),0)</f>
        <v>0</v>
      </c>
      <c r="L27" s="46">
        <f>HLOOKUP(L$4,tab!$E$4:$P$49,MATCH($C27,$C$4:$C$49,0),0)</f>
        <v>0</v>
      </c>
      <c r="M27" s="46">
        <f>HLOOKUP(M$4,tab!$E$4:$P$49,MATCH($C27,$C$4:$C$49,0),0)</f>
        <v>0</v>
      </c>
      <c r="N27" s="46">
        <f>HLOOKUP(N$4,tab!$E$4:$P$49,MATCH($C27,$C$4:$C$49,0),0)</f>
        <v>0</v>
      </c>
      <c r="O27" s="46"/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>
        <f>HLOOKUP(K$4,tab!$E$4:$P$49,MATCH($C28,$C$4:$C$49,0),0)</f>
        <v>0</v>
      </c>
      <c r="L28" s="46">
        <f>HLOOKUP(L$4,tab!$E$4:$P$49,MATCH($C28,$C$4:$C$49,0),0)</f>
        <v>0</v>
      </c>
      <c r="M28" s="46">
        <f>HLOOKUP(M$4,tab!$E$4:$P$49,MATCH($C28,$C$4:$C$49,0),0)</f>
        <v>0</v>
      </c>
      <c r="N28" s="46">
        <f>HLOOKUP(N$4,tab!$E$4:$P$49,MATCH($C28,$C$4:$C$49,0),0)</f>
        <v>0</v>
      </c>
      <c r="O28" s="46"/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>
        <f>HLOOKUP(K$4,tab!$E$4:$P$49,MATCH($C29,$C$4:$C$49,0),0)</f>
        <v>0</v>
      </c>
      <c r="L29" s="46">
        <f>HLOOKUP(L$4,tab!$E$4:$P$49,MATCH($C29,$C$4:$C$49,0),0)</f>
        <v>0</v>
      </c>
      <c r="M29" s="46">
        <f>HLOOKUP(M$4,tab!$E$4:$P$49,MATCH($C29,$C$4:$C$49,0),0)</f>
        <v>0</v>
      </c>
      <c r="N29" s="46">
        <f>HLOOKUP(N$4,tab!$E$4:$P$49,MATCH($C29,$C$4:$C$49,0),0)</f>
        <v>0</v>
      </c>
      <c r="O29" s="46"/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>
        <f>HLOOKUP(K$4,tab!$E$4:$P$49,MATCH($C30,$C$4:$C$49,0),0)</f>
        <v>0</v>
      </c>
      <c r="L30" s="46">
        <f>HLOOKUP(L$4,tab!$E$4:$P$49,MATCH($C30,$C$4:$C$49,0),0)</f>
        <v>0</v>
      </c>
      <c r="M30" s="46">
        <f>HLOOKUP(M$4,tab!$E$4:$P$49,MATCH($C30,$C$4:$C$49,0),0)</f>
        <v>0</v>
      </c>
      <c r="N30" s="46">
        <f>HLOOKUP(N$4,tab!$E$4:$P$49,MATCH($C30,$C$4:$C$49,0),0)</f>
        <v>0</v>
      </c>
      <c r="O30" s="46"/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>
        <f>HLOOKUP(K$4,tab!$E$4:$P$49,MATCH($C31,$C$4:$C$49,0),0)</f>
        <v>0</v>
      </c>
      <c r="L31" s="46">
        <f>HLOOKUP(L$4,tab!$E$4:$P$49,MATCH($C31,$C$4:$C$49,0),0)</f>
        <v>0</v>
      </c>
      <c r="M31" s="46">
        <f>HLOOKUP(M$4,tab!$E$4:$P$49,MATCH($C31,$C$4:$C$49,0),0)</f>
        <v>0</v>
      </c>
      <c r="N31" s="46">
        <f>HLOOKUP(N$4,tab!$E$4:$P$49,MATCH($C31,$C$4:$C$49,0),0)</f>
        <v>0</v>
      </c>
      <c r="O31" s="46"/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>
        <f>HLOOKUP(K$4,tab!$E$4:$P$49,MATCH($C32,$C$4:$C$49,0),0)</f>
        <v>0</v>
      </c>
      <c r="L32" s="46">
        <f>HLOOKUP(L$4,tab!$E$4:$P$49,MATCH($C32,$C$4:$C$49,0),0)</f>
        <v>0</v>
      </c>
      <c r="M32" s="46">
        <f>HLOOKUP(M$4,tab!$E$4:$P$49,MATCH($C32,$C$4:$C$49,0),0)</f>
        <v>0</v>
      </c>
      <c r="N32" s="46">
        <f>HLOOKUP(N$4,tab!$E$4:$P$49,MATCH($C32,$C$4:$C$49,0),0)</f>
        <v>0</v>
      </c>
      <c r="O32" s="46"/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>
        <f>HLOOKUP(K$4,tab!$E$4:$P$49,MATCH($C33,$C$4:$C$49,0),0)</f>
        <v>0</v>
      </c>
      <c r="L33" s="46">
        <f>HLOOKUP(L$4,tab!$E$4:$P$49,MATCH($C33,$C$4:$C$49,0),0)</f>
        <v>0</v>
      </c>
      <c r="M33" s="46">
        <f>HLOOKUP(M$4,tab!$E$4:$P$49,MATCH($C33,$C$4:$C$49,0),0)</f>
        <v>0</v>
      </c>
      <c r="N33" s="46">
        <f>HLOOKUP(N$4,tab!$E$4:$P$49,MATCH($C33,$C$4:$C$49,0),0)</f>
        <v>0</v>
      </c>
      <c r="O33" s="46"/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N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>
        <f t="shared" si="2"/>
        <v>150600</v>
      </c>
      <c r="L34" s="45">
        <f t="shared" si="2"/>
        <v>175600</v>
      </c>
      <c r="M34" s="45">
        <f t="shared" si="2"/>
        <v>200600</v>
      </c>
      <c r="N34" s="45">
        <f t="shared" si="2"/>
        <v>225600</v>
      </c>
      <c r="O34" s="45"/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 t="shared" ref="F35:N35" si="3">SUM(E35:E36)</f>
        <v>44820</v>
      </c>
      <c r="G35" s="45">
        <f t="shared" si="3"/>
        <v>37140</v>
      </c>
      <c r="H35" s="45">
        <f t="shared" si="3"/>
        <v>21960</v>
      </c>
      <c r="I35" s="45">
        <f t="shared" si="3"/>
        <v>0</v>
      </c>
      <c r="J35" s="45">
        <f t="shared" si="3"/>
        <v>0</v>
      </c>
      <c r="K35" s="45">
        <f t="shared" si="3"/>
        <v>0</v>
      </c>
      <c r="L35" s="45">
        <f t="shared" si="3"/>
        <v>0</v>
      </c>
      <c r="M35" s="45">
        <f t="shared" si="3"/>
        <v>0</v>
      </c>
      <c r="N35" s="45">
        <f t="shared" si="3"/>
        <v>0</v>
      </c>
      <c r="O35" s="45"/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N36" si="4">-IF(AND(E35&gt;0,E34*$D$36&lt;E35),E34*$D$36,E35)</f>
        <v>-180</v>
      </c>
      <c r="F36" s="45">
        <f t="shared" si="4"/>
        <v>-7680</v>
      </c>
      <c r="G36" s="45">
        <f t="shared" si="4"/>
        <v>-15180</v>
      </c>
      <c r="H36" s="45">
        <f t="shared" si="4"/>
        <v>-21960</v>
      </c>
      <c r="I36" s="45">
        <f t="shared" si="4"/>
        <v>0</v>
      </c>
      <c r="J36" s="45">
        <f t="shared" si="4"/>
        <v>0</v>
      </c>
      <c r="K36" s="45">
        <f t="shared" si="4"/>
        <v>0</v>
      </c>
      <c r="L36" s="45">
        <f t="shared" si="4"/>
        <v>0</v>
      </c>
      <c r="M36" s="45">
        <f t="shared" si="4"/>
        <v>0</v>
      </c>
      <c r="N36" s="45">
        <f t="shared" si="4"/>
        <v>0</v>
      </c>
      <c r="O36" s="45"/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5">HLOOKUP($E$4,INDIRECT($E$4&amp;"!$E$4:$O$49"),MATCH(C37,INDIRECT($E$4&amp;"!$C$4:$C$49"),0),0)</f>
        <v>0</v>
      </c>
      <c r="F37" s="45">
        <f t="shared" ref="F37:N37" si="6">IF(SUM(F34,F36)&gt;20000*$A$4,(SUM(F34,F36)-20000*$A$4)*$D$37,0)</f>
        <v>0</v>
      </c>
      <c r="G37" s="45">
        <f t="shared" si="6"/>
        <v>0</v>
      </c>
      <c r="H37" s="45">
        <f t="shared" si="6"/>
        <v>0</v>
      </c>
      <c r="I37" s="45">
        <f t="shared" si="6"/>
        <v>0</v>
      </c>
      <c r="J37" s="45">
        <f t="shared" si="6"/>
        <v>0</v>
      </c>
      <c r="K37" s="45">
        <f t="shared" si="6"/>
        <v>0</v>
      </c>
      <c r="L37" s="45">
        <f t="shared" si="6"/>
        <v>0</v>
      </c>
      <c r="M37" s="45">
        <f t="shared" si="6"/>
        <v>60</v>
      </c>
      <c r="N37" s="45">
        <f t="shared" si="6"/>
        <v>2560</v>
      </c>
      <c r="O37" s="45"/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N38" si="7">SUM(E34,E36)*$D$38</f>
        <v>63</v>
      </c>
      <c r="F38" s="45">
        <f t="shared" si="7"/>
        <v>2688</v>
      </c>
      <c r="G38" s="45">
        <f t="shared" si="7"/>
        <v>5313</v>
      </c>
      <c r="H38" s="45">
        <f t="shared" si="7"/>
        <v>8046</v>
      </c>
      <c r="I38" s="45">
        <f t="shared" si="7"/>
        <v>15090</v>
      </c>
      <c r="J38" s="45">
        <f t="shared" si="7"/>
        <v>18840</v>
      </c>
      <c r="K38" s="45">
        <f t="shared" si="7"/>
        <v>22590</v>
      </c>
      <c r="L38" s="45">
        <f t="shared" si="7"/>
        <v>26340</v>
      </c>
      <c r="M38" s="45">
        <f t="shared" si="7"/>
        <v>30090</v>
      </c>
      <c r="N38" s="45">
        <f t="shared" si="7"/>
        <v>33840</v>
      </c>
      <c r="O38" s="45"/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N39" si="8">SUM(E34,E36)*$D$39</f>
        <v>37.799999999999997</v>
      </c>
      <c r="F39" s="45">
        <f t="shared" si="8"/>
        <v>1612.8</v>
      </c>
      <c r="G39" s="45">
        <f t="shared" si="8"/>
        <v>3187.7999999999997</v>
      </c>
      <c r="H39" s="45">
        <f t="shared" si="8"/>
        <v>4827.5999999999995</v>
      </c>
      <c r="I39" s="45">
        <f t="shared" si="8"/>
        <v>9054</v>
      </c>
      <c r="J39" s="45">
        <f t="shared" si="8"/>
        <v>11304</v>
      </c>
      <c r="K39" s="45">
        <f t="shared" si="8"/>
        <v>13554</v>
      </c>
      <c r="L39" s="45">
        <f t="shared" si="8"/>
        <v>15804</v>
      </c>
      <c r="M39" s="45">
        <f t="shared" si="8"/>
        <v>18054</v>
      </c>
      <c r="N39" s="45">
        <f t="shared" si="8"/>
        <v>20304</v>
      </c>
      <c r="O39" s="45"/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N40" si="9">SUM(E42:E47)</f>
        <v>-3600</v>
      </c>
      <c r="F40" s="45">
        <f t="shared" ca="1" si="9"/>
        <v>-3600</v>
      </c>
      <c r="G40" s="45">
        <f t="shared" ca="1" si="9"/>
        <v>-4300.8</v>
      </c>
      <c r="H40" s="45">
        <f t="shared" ca="1" si="9"/>
        <v>-8500.7999999999993</v>
      </c>
      <c r="I40" s="45">
        <f t="shared" ca="1" si="9"/>
        <v>-12873.599999999999</v>
      </c>
      <c r="J40" s="45">
        <f t="shared" ca="1" si="9"/>
        <v>-24144</v>
      </c>
      <c r="K40" s="45">
        <f t="shared" ca="1" si="9"/>
        <v>-30144</v>
      </c>
      <c r="L40" s="45">
        <f t="shared" ca="1" si="9"/>
        <v>-36144</v>
      </c>
      <c r="M40" s="45">
        <f t="shared" ca="1" si="9"/>
        <v>-42144</v>
      </c>
      <c r="N40" s="45">
        <f t="shared" ca="1" si="9"/>
        <v>-48204</v>
      </c>
      <c r="O40" s="46"/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>
        <f>HLOOKUP(K$4,tab!$E$4:$P$49,MATCH($C41,$C$4:$C$49,0),0)</f>
        <v>0</v>
      </c>
      <c r="L41" s="46">
        <f>HLOOKUP(L$4,tab!$E$4:$P$49,MATCH($C41,$C$4:$C$49,0),0)</f>
        <v>0</v>
      </c>
      <c r="M41" s="46">
        <f>HLOOKUP(M$4,tab!$E$4:$P$49,MATCH($C41,$C$4:$C$49,0),0)</f>
        <v>0</v>
      </c>
      <c r="N41" s="46">
        <f>HLOOKUP(N$4,tab!$E$4:$P$49,MATCH($C41,$C$4:$C$49,0),0)</f>
        <v>0</v>
      </c>
      <c r="O41" s="46"/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0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>
        <f>HLOOKUP(K$4,tab!$E$4:$P$49,MATCH($C42,$C$4:$C$49,0),0)</f>
        <v>-100</v>
      </c>
      <c r="L42" s="46">
        <f>HLOOKUP(L$4,tab!$E$4:$P$49,MATCH($C42,$C$4:$C$49,0),0)</f>
        <v>-100</v>
      </c>
      <c r="M42" s="46">
        <f>HLOOKUP(M$4,tab!$E$4:$P$49,MATCH($C42,$C$4:$C$49,0),0)</f>
        <v>-100</v>
      </c>
      <c r="N42" s="46">
        <f>HLOOKUP(N$4,tab!$E$4:$P$49,MATCH($C42,$C$4:$C$49,0),0)</f>
        <v>-100</v>
      </c>
      <c r="O42" s="46"/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0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>
        <f>HLOOKUP(K$4,tab!$E$4:$P$49,MATCH($C43,$C$4:$C$49,0),0)</f>
        <v>-2000</v>
      </c>
      <c r="L43" s="46">
        <f>HLOOKUP(L$4,tab!$E$4:$P$49,MATCH($C43,$C$4:$C$49,0),0)</f>
        <v>-2000</v>
      </c>
      <c r="M43" s="46">
        <f>HLOOKUP(M$4,tab!$E$4:$P$49,MATCH($C43,$C$4:$C$49,0),0)</f>
        <v>-2000</v>
      </c>
      <c r="N43" s="46">
        <f>HLOOKUP(N$4,tab!$E$4:$P$49,MATCH($C43,$C$4:$C$49,0),0)</f>
        <v>-2000</v>
      </c>
      <c r="O43" s="46"/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0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>
        <f ca="1">-SUM($E$48:J48)</f>
        <v>-16740</v>
      </c>
      <c r="L44" s="46">
        <f ca="1">-SUM($E$48:K48)</f>
        <v>-20490</v>
      </c>
      <c r="M44" s="46">
        <f ca="1">-SUM($E$48:L48)</f>
        <v>-24240</v>
      </c>
      <c r="N44" s="46">
        <f ca="1">-SUM($E$48:M48)</f>
        <v>-28050</v>
      </c>
      <c r="O44" s="46"/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0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>
        <f>HLOOKUP(K$4,tab!$E$4:$P$49,MATCH($C45,$C$4:$C$49,0),0)</f>
        <v>0</v>
      </c>
      <c r="L45" s="46">
        <f>HLOOKUP(L$4,tab!$E$4:$P$49,MATCH($C45,$C$4:$C$49,0),0)</f>
        <v>0</v>
      </c>
      <c r="M45" s="46">
        <f>HLOOKUP(M$4,tab!$E$4:$P$49,MATCH($C45,$C$4:$C$49,0),0)</f>
        <v>0</v>
      </c>
      <c r="N45" s="46">
        <f>HLOOKUP(N$4,tab!$E$4:$P$49,MATCH($C45,$C$4:$C$49,0),0)</f>
        <v>0</v>
      </c>
      <c r="O45" s="46"/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0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>
        <f>HLOOKUP(K$4,tab!$E$4:$P$49,MATCH($C46,$C$4:$C$49,0),0)</f>
        <v>-1500</v>
      </c>
      <c r="L46" s="46">
        <f>HLOOKUP(L$4,tab!$E$4:$P$49,MATCH($C46,$C$4:$C$49,0),0)</f>
        <v>-1500</v>
      </c>
      <c r="M46" s="46">
        <f>HLOOKUP(M$4,tab!$E$4:$P$49,MATCH($C46,$C$4:$C$49,0),0)</f>
        <v>-1500</v>
      </c>
      <c r="N46" s="46">
        <f>HLOOKUP(N$4,tab!$E$4:$P$49,MATCH($C46,$C$4:$C$49,0),0)</f>
        <v>-1500</v>
      </c>
      <c r="O46" s="46"/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0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>
        <f ca="1">-SUM($E$49:J49)</f>
        <v>-9804</v>
      </c>
      <c r="L47" s="46">
        <f ca="1">-SUM($E$49:K49)</f>
        <v>-12054</v>
      </c>
      <c r="M47" s="46">
        <f ca="1">-SUM($E$49:L49)</f>
        <v>-14304</v>
      </c>
      <c r="N47" s="46">
        <f ca="1">-SUM($E$49:M49)</f>
        <v>-16554</v>
      </c>
      <c r="O47" s="46"/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3750</v>
      </c>
      <c r="K48" s="45">
        <f ca="1">IF(SUM(K37,K38,SUMIF($D$41:K47,"IR",K$41:K$47))&gt;0,SUM(K37,K38,SUMIF($D$41:K47,"IR",K$41:K$47)),0)</f>
        <v>3750</v>
      </c>
      <c r="L48" s="45">
        <f ca="1">IF(SUM(L37,L38,SUMIF($D$41:L47,"IR",L$41:L$47))&gt;0,SUM(L37,L38,SUMIF($D$41:L47,"IR",L$41:L$47)),0)</f>
        <v>3750</v>
      </c>
      <c r="M48" s="45">
        <f ca="1">IF(SUM(M37,M38,SUMIF($D$41:M47,"IR",M$41:M$47))&gt;0,SUM(M37,M38,SUMIF($D$41:M47,"IR",M$41:M$47)),0)</f>
        <v>3810</v>
      </c>
      <c r="N48" s="45">
        <f ca="1">IF(SUM(N37,N38,SUMIF($D$41:N47,"IR",N$41:N$47))&gt;0,SUM(N37,N38,SUMIF($D$41:N47,"IR",N$41:N$47)),0)</f>
        <v>6250</v>
      </c>
      <c r="O48" s="45"/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>
        <f ca="1">IF(SUM(K39,SUMIF($D$41:K47,"CS",K$41:K$47))&gt;0,SUM(K39,SUMIF($D$41:K47,"CS",K$41:K$47)),0)</f>
        <v>2250</v>
      </c>
      <c r="L49" s="45">
        <f ca="1">IF(SUM(L39,SUMIF($D$41:L47,"CS",L$41:L$47))&gt;0,SUM(L39,SUMIF($D$41:L47,"CS",L$41:L$47)),0)</f>
        <v>2250</v>
      </c>
      <c r="M49" s="45">
        <f ca="1">IF(SUM(M39,SUMIF($D$41:M47,"CS",M$41:M$47))&gt;0,SUM(M39,SUMIF($D$41:M47,"CS",M$41:M$47)),0)</f>
        <v>2250</v>
      </c>
      <c r="N49" s="45">
        <f ca="1">IF(SUM(N39,SUMIF($D$41:N47,"CS",N$41:N$47))&gt;0,SUM(N39,SUMIF($D$41:N47,"CS",N$41:N$47)),0)</f>
        <v>2250</v>
      </c>
      <c r="O49" s="45"/>
      <c r="P49" s="45"/>
    </row>
  </sheetData>
  <sheetProtection selectLockedCells="1" selectUnlockedCells="1"/>
  <dataValidations count="1">
    <dataValidation type="list" allowBlank="1" showInputMessage="1" showErrorMessage="1" sqref="B3" xr:uid="{D4D2263C-F3ED-45BA-AA38-368B70E2A1D7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5" width="12.7109375" style="4" customWidth="1"/>
    <col min="16" max="16" width="4.140625" style="4" bestFit="1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11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>
        <f>HLOOKUP(K$4,tab!$E$4:$P$33,MATCH($C5,$C$4:$C$33,0),0)</f>
        <v>151000</v>
      </c>
      <c r="L5" s="45">
        <f>HLOOKUP(L$4,tab!$E$4:$P$33,MATCH($C5,$C$4:$C$33,0),0)</f>
        <v>176000</v>
      </c>
      <c r="M5" s="45">
        <f>HLOOKUP(M$4,tab!$E$4:$P$33,MATCH($C5,$C$4:$C$33,0),0)</f>
        <v>201000</v>
      </c>
      <c r="N5" s="45">
        <f>HLOOKUP(N$4,tab!$E$4:$P$33,MATCH($C5,$C$4:$C$33,0),0)</f>
        <v>226000</v>
      </c>
      <c r="O5" s="45">
        <f>HLOOKUP(O$4,tab!$E$4:$P$33,MATCH($C5,$C$4:$C$33,0),0)</f>
        <v>251000</v>
      </c>
      <c r="P5" s="45"/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O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>
        <f t="shared" si="0"/>
        <v>600</v>
      </c>
      <c r="L6" s="45">
        <f t="shared" si="0"/>
        <v>600</v>
      </c>
      <c r="M6" s="45">
        <f t="shared" si="0"/>
        <v>600</v>
      </c>
      <c r="N6" s="45">
        <f t="shared" si="0"/>
        <v>600</v>
      </c>
      <c r="O6" s="45">
        <f t="shared" si="0"/>
        <v>600</v>
      </c>
      <c r="P6" s="45"/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>
        <f>HLOOKUP(K$4,tab!$E$4:$P$49,MATCH($C7,$C$4:$C$49,0),0)</f>
        <v>0</v>
      </c>
      <c r="L7" s="46">
        <f>HLOOKUP(L$4,tab!$E$4:$P$49,MATCH($C7,$C$4:$C$49,0),0)</f>
        <v>0</v>
      </c>
      <c r="M7" s="46">
        <f>HLOOKUP(M$4,tab!$E$4:$P$49,MATCH($C7,$C$4:$C$49,0),0)</f>
        <v>0</v>
      </c>
      <c r="N7" s="46">
        <f>HLOOKUP(N$4,tab!$E$4:$P$49,MATCH($C7,$C$4:$C$49,0),0)</f>
        <v>0</v>
      </c>
      <c r="O7" s="46">
        <f>HLOOKUP(O$4,tab!$E$4:$P$49,MATCH($C7,$C$4:$C$49,0),0)</f>
        <v>0</v>
      </c>
      <c r="P7" s="46"/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>
        <f>HLOOKUP(K$4,tab!$E$4:$P$49,MATCH($C8,$C$4:$C$49,0),0)</f>
        <v>0</v>
      </c>
      <c r="L8" s="46">
        <f>HLOOKUP(L$4,tab!$E$4:$P$49,MATCH($C8,$C$4:$C$49,0),0)</f>
        <v>0</v>
      </c>
      <c r="M8" s="46">
        <f>HLOOKUP(M$4,tab!$E$4:$P$49,MATCH($C8,$C$4:$C$49,0),0)</f>
        <v>0</v>
      </c>
      <c r="N8" s="46">
        <f>HLOOKUP(N$4,tab!$E$4:$P$49,MATCH($C8,$C$4:$C$49,0),0)</f>
        <v>0</v>
      </c>
      <c r="O8" s="46">
        <f>HLOOKUP(O$4,tab!$E$4:$P$49,MATCH($C8,$C$4:$C$49,0),0)</f>
        <v>0</v>
      </c>
      <c r="P8" s="46"/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>
        <f>HLOOKUP(K$4,tab!$E$4:$P$49,MATCH($C9,$C$4:$C$49,0),0)</f>
        <v>0</v>
      </c>
      <c r="L9" s="46">
        <f>HLOOKUP(L$4,tab!$E$4:$P$49,MATCH($C9,$C$4:$C$49,0),0)</f>
        <v>0</v>
      </c>
      <c r="M9" s="46">
        <f>HLOOKUP(M$4,tab!$E$4:$P$49,MATCH($C9,$C$4:$C$49,0),0)</f>
        <v>0</v>
      </c>
      <c r="N9" s="46">
        <f>HLOOKUP(N$4,tab!$E$4:$P$49,MATCH($C9,$C$4:$C$49,0),0)</f>
        <v>0</v>
      </c>
      <c r="O9" s="46">
        <f>HLOOKUP(O$4,tab!$E$4:$P$49,MATCH($C9,$C$4:$C$49,0),0)</f>
        <v>0</v>
      </c>
      <c r="P9" s="46"/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>
        <f>HLOOKUP(K$4,tab!$E$4:$P$49,MATCH($C10,$C$4:$C$49,0),0)</f>
        <v>100</v>
      </c>
      <c r="L10" s="46">
        <f>HLOOKUP(L$4,tab!$E$4:$P$49,MATCH($C10,$C$4:$C$49,0),0)</f>
        <v>100</v>
      </c>
      <c r="M10" s="46">
        <f>HLOOKUP(M$4,tab!$E$4:$P$49,MATCH($C10,$C$4:$C$49,0),0)</f>
        <v>100</v>
      </c>
      <c r="N10" s="46">
        <f>HLOOKUP(N$4,tab!$E$4:$P$49,MATCH($C10,$C$4:$C$49,0),0)</f>
        <v>100</v>
      </c>
      <c r="O10" s="46">
        <f>HLOOKUP(O$4,tab!$E$4:$P$49,MATCH($C10,$C$4:$C$49,0),0)</f>
        <v>100</v>
      </c>
      <c r="P10" s="46"/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>
        <f>HLOOKUP(K$4,tab!$E$4:$P$49,MATCH($C11,$C$4:$C$49,0),0)</f>
        <v>0</v>
      </c>
      <c r="L11" s="46">
        <f>HLOOKUP(L$4,tab!$E$4:$P$49,MATCH($C11,$C$4:$C$49,0),0)</f>
        <v>0</v>
      </c>
      <c r="M11" s="46">
        <f>HLOOKUP(M$4,tab!$E$4:$P$49,MATCH($C11,$C$4:$C$49,0),0)</f>
        <v>0</v>
      </c>
      <c r="N11" s="46">
        <f>HLOOKUP(N$4,tab!$E$4:$P$49,MATCH($C11,$C$4:$C$49,0),0)</f>
        <v>0</v>
      </c>
      <c r="O11" s="46">
        <f>HLOOKUP(O$4,tab!$E$4:$P$49,MATCH($C11,$C$4:$C$49,0),0)</f>
        <v>0</v>
      </c>
      <c r="P11" s="46"/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>
        <f>HLOOKUP(K$4,tab!$E$4:$P$49,MATCH($C12,$C$4:$C$49,0),0)</f>
        <v>0</v>
      </c>
      <c r="L12" s="46">
        <f>HLOOKUP(L$4,tab!$E$4:$P$49,MATCH($C12,$C$4:$C$49,0),0)</f>
        <v>0</v>
      </c>
      <c r="M12" s="46">
        <f>HLOOKUP(M$4,tab!$E$4:$P$49,MATCH($C12,$C$4:$C$49,0),0)</f>
        <v>0</v>
      </c>
      <c r="N12" s="46">
        <f>HLOOKUP(N$4,tab!$E$4:$P$49,MATCH($C12,$C$4:$C$49,0),0)</f>
        <v>0</v>
      </c>
      <c r="O12" s="46">
        <f>HLOOKUP(O$4,tab!$E$4:$P$49,MATCH($C12,$C$4:$C$49,0),0)</f>
        <v>0</v>
      </c>
      <c r="P12" s="46"/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>
        <f>HLOOKUP(K$4,tab!$E$4:$P$49,MATCH($C13,$C$4:$C$49,0),0)</f>
        <v>0</v>
      </c>
      <c r="L13" s="46">
        <f>HLOOKUP(L$4,tab!$E$4:$P$49,MATCH($C13,$C$4:$C$49,0),0)</f>
        <v>0</v>
      </c>
      <c r="M13" s="46">
        <f>HLOOKUP(M$4,tab!$E$4:$P$49,MATCH($C13,$C$4:$C$49,0),0)</f>
        <v>0</v>
      </c>
      <c r="N13" s="46">
        <f>HLOOKUP(N$4,tab!$E$4:$P$49,MATCH($C13,$C$4:$C$49,0),0)</f>
        <v>0</v>
      </c>
      <c r="O13" s="46">
        <f>HLOOKUP(O$4,tab!$E$4:$P$49,MATCH($C13,$C$4:$C$49,0),0)</f>
        <v>0</v>
      </c>
      <c r="P13" s="46"/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>
        <f>HLOOKUP(K$4,tab!$E$4:$P$49,MATCH($C14,$C$4:$C$49,0),0)</f>
        <v>0</v>
      </c>
      <c r="L14" s="46">
        <f>HLOOKUP(L$4,tab!$E$4:$P$49,MATCH($C14,$C$4:$C$49,0),0)</f>
        <v>0</v>
      </c>
      <c r="M14" s="46">
        <f>HLOOKUP(M$4,tab!$E$4:$P$49,MATCH($C14,$C$4:$C$49,0),0)</f>
        <v>0</v>
      </c>
      <c r="N14" s="46">
        <f>HLOOKUP(N$4,tab!$E$4:$P$49,MATCH($C14,$C$4:$C$49,0),0)</f>
        <v>0</v>
      </c>
      <c r="O14" s="46">
        <f>HLOOKUP(O$4,tab!$E$4:$P$49,MATCH($C14,$C$4:$C$49,0),0)</f>
        <v>0</v>
      </c>
      <c r="P14" s="46"/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>
        <f>HLOOKUP(K$4,tab!$E$4:$P$49,MATCH($C15,$C$4:$C$49,0),0)</f>
        <v>500</v>
      </c>
      <c r="L15" s="46">
        <f>HLOOKUP(L$4,tab!$E$4:$P$49,MATCH($C15,$C$4:$C$49,0),0)</f>
        <v>500</v>
      </c>
      <c r="M15" s="46">
        <f>HLOOKUP(M$4,tab!$E$4:$P$49,MATCH($C15,$C$4:$C$49,0),0)</f>
        <v>500</v>
      </c>
      <c r="N15" s="46">
        <f>HLOOKUP(N$4,tab!$E$4:$P$49,MATCH($C15,$C$4:$C$49,0),0)</f>
        <v>500</v>
      </c>
      <c r="O15" s="46">
        <f>HLOOKUP(O$4,tab!$E$4:$P$49,MATCH($C15,$C$4:$C$49,0),0)</f>
        <v>500</v>
      </c>
      <c r="P15" s="46"/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>
        <f>HLOOKUP(K$4,tab!$E$4:$P$49,MATCH($C16,$C$4:$C$49,0),0)</f>
        <v>0</v>
      </c>
      <c r="L16" s="46">
        <f>HLOOKUP(L$4,tab!$E$4:$P$49,MATCH($C16,$C$4:$C$49,0),0)</f>
        <v>0</v>
      </c>
      <c r="M16" s="46">
        <f>HLOOKUP(M$4,tab!$E$4:$P$49,MATCH($C16,$C$4:$C$49,0),0)</f>
        <v>0</v>
      </c>
      <c r="N16" s="46">
        <f>HLOOKUP(N$4,tab!$E$4:$P$49,MATCH($C16,$C$4:$C$49,0),0)</f>
        <v>0</v>
      </c>
      <c r="O16" s="46">
        <f>HLOOKUP(O$4,tab!$E$4:$P$49,MATCH($C16,$C$4:$C$49,0),0)</f>
        <v>0</v>
      </c>
      <c r="P16" s="46"/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>
        <f>HLOOKUP(K$4,tab!$E$4:$P$49,MATCH($C17,$C$4:$C$49,0),0)</f>
        <v>0</v>
      </c>
      <c r="L17" s="46">
        <f>HLOOKUP(L$4,tab!$E$4:$P$49,MATCH($C17,$C$4:$C$49,0),0)</f>
        <v>0</v>
      </c>
      <c r="M17" s="46">
        <f>HLOOKUP(M$4,tab!$E$4:$P$49,MATCH($C17,$C$4:$C$49,0),0)</f>
        <v>0</v>
      </c>
      <c r="N17" s="46">
        <f>HLOOKUP(N$4,tab!$E$4:$P$49,MATCH($C17,$C$4:$C$49,0),0)</f>
        <v>0</v>
      </c>
      <c r="O17" s="46">
        <f>HLOOKUP(O$4,tab!$E$4:$P$49,MATCH($C17,$C$4:$C$49,0),0)</f>
        <v>0</v>
      </c>
      <c r="P17" s="46"/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>
        <f>HLOOKUP(K$4,tab!$E$4:$P$49,MATCH($C18,$C$4:$C$49,0),0)</f>
        <v>0</v>
      </c>
      <c r="L18" s="46">
        <f>HLOOKUP(L$4,tab!$E$4:$P$49,MATCH($C18,$C$4:$C$49,0),0)</f>
        <v>0</v>
      </c>
      <c r="M18" s="46">
        <f>HLOOKUP(M$4,tab!$E$4:$P$49,MATCH($C18,$C$4:$C$49,0),0)</f>
        <v>0</v>
      </c>
      <c r="N18" s="46">
        <f>HLOOKUP(N$4,tab!$E$4:$P$49,MATCH($C18,$C$4:$C$49,0),0)</f>
        <v>0</v>
      </c>
      <c r="O18" s="46">
        <f>HLOOKUP(O$4,tab!$E$4:$P$49,MATCH($C18,$C$4:$C$49,0),0)</f>
        <v>0</v>
      </c>
      <c r="P18" s="46"/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>
        <f>HLOOKUP(K$4,tab!$E$4:$P$49,MATCH($C19,$C$4:$C$49,0),0)</f>
        <v>0</v>
      </c>
      <c r="L19" s="46">
        <f>HLOOKUP(L$4,tab!$E$4:$P$49,MATCH($C19,$C$4:$C$49,0),0)</f>
        <v>0</v>
      </c>
      <c r="M19" s="46">
        <f>HLOOKUP(M$4,tab!$E$4:$P$49,MATCH($C19,$C$4:$C$49,0),0)</f>
        <v>0</v>
      </c>
      <c r="N19" s="46">
        <f>HLOOKUP(N$4,tab!$E$4:$P$49,MATCH($C19,$C$4:$C$49,0),0)</f>
        <v>0</v>
      </c>
      <c r="O19" s="46">
        <f>HLOOKUP(O$4,tab!$E$4:$P$49,MATCH($C19,$C$4:$C$49,0),0)</f>
        <v>0</v>
      </c>
      <c r="P19" s="46"/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O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>
        <f t="shared" si="1"/>
        <v>-1000</v>
      </c>
      <c r="L20" s="45">
        <f t="shared" si="1"/>
        <v>-1000</v>
      </c>
      <c r="M20" s="45">
        <f t="shared" si="1"/>
        <v>-1000</v>
      </c>
      <c r="N20" s="45">
        <f t="shared" si="1"/>
        <v>-1000</v>
      </c>
      <c r="O20" s="45">
        <f t="shared" si="1"/>
        <v>-1000</v>
      </c>
      <c r="P20" s="45"/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>
        <f>HLOOKUP(K$4,tab!$E$4:$P$49,MATCH($C21,$C$4:$C$49,0),0)</f>
        <v>0</v>
      </c>
      <c r="L21" s="46">
        <f>HLOOKUP(L$4,tab!$E$4:$P$49,MATCH($C21,$C$4:$C$49,0),0)</f>
        <v>0</v>
      </c>
      <c r="M21" s="46">
        <f>HLOOKUP(M$4,tab!$E$4:$P$49,MATCH($C21,$C$4:$C$49,0),0)</f>
        <v>0</v>
      </c>
      <c r="N21" s="46">
        <f>HLOOKUP(N$4,tab!$E$4:$P$49,MATCH($C21,$C$4:$C$49,0),0)</f>
        <v>0</v>
      </c>
      <c r="O21" s="46">
        <f>HLOOKUP(O$4,tab!$E$4:$P$49,MATCH($C21,$C$4:$C$49,0),0)</f>
        <v>0</v>
      </c>
      <c r="P21" s="46"/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>
        <f>HLOOKUP(K$4,tab!$E$4:$P$49,MATCH($C22,$C$4:$C$49,0),0)</f>
        <v>0</v>
      </c>
      <c r="L22" s="46">
        <f>HLOOKUP(L$4,tab!$E$4:$P$49,MATCH($C22,$C$4:$C$49,0),0)</f>
        <v>0</v>
      </c>
      <c r="M22" s="46">
        <f>HLOOKUP(M$4,tab!$E$4:$P$49,MATCH($C22,$C$4:$C$49,0),0)</f>
        <v>0</v>
      </c>
      <c r="N22" s="46">
        <f>HLOOKUP(N$4,tab!$E$4:$P$49,MATCH($C22,$C$4:$C$49,0),0)</f>
        <v>0</v>
      </c>
      <c r="O22" s="46">
        <f>HLOOKUP(O$4,tab!$E$4:$P$49,MATCH($C22,$C$4:$C$49,0),0)</f>
        <v>0</v>
      </c>
      <c r="P22" s="46"/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>
        <f>HLOOKUP(K$4,tab!$E$4:$P$49,MATCH($C23,$C$4:$C$49,0),0)</f>
        <v>0</v>
      </c>
      <c r="L23" s="46">
        <f>HLOOKUP(L$4,tab!$E$4:$P$49,MATCH($C23,$C$4:$C$49,0),0)</f>
        <v>0</v>
      </c>
      <c r="M23" s="46">
        <f>HLOOKUP(M$4,tab!$E$4:$P$49,MATCH($C23,$C$4:$C$49,0),0)</f>
        <v>0</v>
      </c>
      <c r="N23" s="46">
        <f>HLOOKUP(N$4,tab!$E$4:$P$49,MATCH($C23,$C$4:$C$49,0),0)</f>
        <v>0</v>
      </c>
      <c r="O23" s="46">
        <f>HLOOKUP(O$4,tab!$E$4:$P$49,MATCH($C23,$C$4:$C$49,0),0)</f>
        <v>0</v>
      </c>
      <c r="P23" s="46"/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>
        <f>HLOOKUP(K$4,tab!$E$4:$P$49,MATCH($C24,$C$4:$C$49,0),0)</f>
        <v>0</v>
      </c>
      <c r="L24" s="46">
        <f>HLOOKUP(L$4,tab!$E$4:$P$49,MATCH($C24,$C$4:$C$49,0),0)</f>
        <v>0</v>
      </c>
      <c r="M24" s="46">
        <f>HLOOKUP(M$4,tab!$E$4:$P$49,MATCH($C24,$C$4:$C$49,0),0)</f>
        <v>0</v>
      </c>
      <c r="N24" s="46">
        <f>HLOOKUP(N$4,tab!$E$4:$P$49,MATCH($C24,$C$4:$C$49,0),0)</f>
        <v>0</v>
      </c>
      <c r="O24" s="46">
        <f>HLOOKUP(O$4,tab!$E$4:$P$49,MATCH($C24,$C$4:$C$49,0),0)</f>
        <v>0</v>
      </c>
      <c r="P24" s="46"/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>
        <f>HLOOKUP(K$4,tab!$E$4:$P$49,MATCH($C25,$C$4:$C$49,0),0)</f>
        <v>0</v>
      </c>
      <c r="L25" s="46">
        <f>HLOOKUP(L$4,tab!$E$4:$P$49,MATCH($C25,$C$4:$C$49,0),0)</f>
        <v>0</v>
      </c>
      <c r="M25" s="46">
        <f>HLOOKUP(M$4,tab!$E$4:$P$49,MATCH($C25,$C$4:$C$49,0),0)</f>
        <v>0</v>
      </c>
      <c r="N25" s="46">
        <f>HLOOKUP(N$4,tab!$E$4:$P$49,MATCH($C25,$C$4:$C$49,0),0)</f>
        <v>0</v>
      </c>
      <c r="O25" s="46">
        <f>HLOOKUP(O$4,tab!$E$4:$P$49,MATCH($C25,$C$4:$C$49,0),0)</f>
        <v>0</v>
      </c>
      <c r="P25" s="46"/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>
        <f>HLOOKUP(K$4,tab!$E$4:$P$49,MATCH($C26,$C$4:$C$49,0),0)</f>
        <v>-1000</v>
      </c>
      <c r="L26" s="46">
        <f>HLOOKUP(L$4,tab!$E$4:$P$49,MATCH($C26,$C$4:$C$49,0),0)</f>
        <v>-1000</v>
      </c>
      <c r="M26" s="46">
        <f>HLOOKUP(M$4,tab!$E$4:$P$49,MATCH($C26,$C$4:$C$49,0),0)</f>
        <v>-1000</v>
      </c>
      <c r="N26" s="46">
        <f>HLOOKUP(N$4,tab!$E$4:$P$49,MATCH($C26,$C$4:$C$49,0),0)</f>
        <v>-1000</v>
      </c>
      <c r="O26" s="46">
        <f>HLOOKUP(O$4,tab!$E$4:$P$49,MATCH($C26,$C$4:$C$49,0),0)</f>
        <v>-1000</v>
      </c>
      <c r="P26" s="46"/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>
        <f>HLOOKUP(K$4,tab!$E$4:$P$49,MATCH($C27,$C$4:$C$49,0),0)</f>
        <v>0</v>
      </c>
      <c r="L27" s="46">
        <f>HLOOKUP(L$4,tab!$E$4:$P$49,MATCH($C27,$C$4:$C$49,0),0)</f>
        <v>0</v>
      </c>
      <c r="M27" s="46">
        <f>HLOOKUP(M$4,tab!$E$4:$P$49,MATCH($C27,$C$4:$C$49,0),0)</f>
        <v>0</v>
      </c>
      <c r="N27" s="46">
        <f>HLOOKUP(N$4,tab!$E$4:$P$49,MATCH($C27,$C$4:$C$49,0),0)</f>
        <v>0</v>
      </c>
      <c r="O27" s="46">
        <f>HLOOKUP(O$4,tab!$E$4:$P$49,MATCH($C27,$C$4:$C$49,0),0)</f>
        <v>0</v>
      </c>
      <c r="P27" s="46"/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>
        <f>HLOOKUP(K$4,tab!$E$4:$P$49,MATCH($C28,$C$4:$C$49,0),0)</f>
        <v>0</v>
      </c>
      <c r="L28" s="46">
        <f>HLOOKUP(L$4,tab!$E$4:$P$49,MATCH($C28,$C$4:$C$49,0),0)</f>
        <v>0</v>
      </c>
      <c r="M28" s="46">
        <f>HLOOKUP(M$4,tab!$E$4:$P$49,MATCH($C28,$C$4:$C$49,0),0)</f>
        <v>0</v>
      </c>
      <c r="N28" s="46">
        <f>HLOOKUP(N$4,tab!$E$4:$P$49,MATCH($C28,$C$4:$C$49,0),0)</f>
        <v>0</v>
      </c>
      <c r="O28" s="46">
        <f>HLOOKUP(O$4,tab!$E$4:$P$49,MATCH($C28,$C$4:$C$49,0),0)</f>
        <v>0</v>
      </c>
      <c r="P28" s="46"/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>
        <f>HLOOKUP(K$4,tab!$E$4:$P$49,MATCH($C29,$C$4:$C$49,0),0)</f>
        <v>0</v>
      </c>
      <c r="L29" s="46">
        <f>HLOOKUP(L$4,tab!$E$4:$P$49,MATCH($C29,$C$4:$C$49,0),0)</f>
        <v>0</v>
      </c>
      <c r="M29" s="46">
        <f>HLOOKUP(M$4,tab!$E$4:$P$49,MATCH($C29,$C$4:$C$49,0),0)</f>
        <v>0</v>
      </c>
      <c r="N29" s="46">
        <f>HLOOKUP(N$4,tab!$E$4:$P$49,MATCH($C29,$C$4:$C$49,0),0)</f>
        <v>0</v>
      </c>
      <c r="O29" s="46">
        <f>HLOOKUP(O$4,tab!$E$4:$P$49,MATCH($C29,$C$4:$C$49,0),0)</f>
        <v>0</v>
      </c>
      <c r="P29" s="46"/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>
        <f>HLOOKUP(K$4,tab!$E$4:$P$49,MATCH($C30,$C$4:$C$49,0),0)</f>
        <v>0</v>
      </c>
      <c r="L30" s="46">
        <f>HLOOKUP(L$4,tab!$E$4:$P$49,MATCH($C30,$C$4:$C$49,0),0)</f>
        <v>0</v>
      </c>
      <c r="M30" s="46">
        <f>HLOOKUP(M$4,tab!$E$4:$P$49,MATCH($C30,$C$4:$C$49,0),0)</f>
        <v>0</v>
      </c>
      <c r="N30" s="46">
        <f>HLOOKUP(N$4,tab!$E$4:$P$49,MATCH($C30,$C$4:$C$49,0),0)</f>
        <v>0</v>
      </c>
      <c r="O30" s="46">
        <f>HLOOKUP(O$4,tab!$E$4:$P$49,MATCH($C30,$C$4:$C$49,0),0)</f>
        <v>0</v>
      </c>
      <c r="P30" s="46"/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>
        <f>HLOOKUP(K$4,tab!$E$4:$P$49,MATCH($C31,$C$4:$C$49,0),0)</f>
        <v>0</v>
      </c>
      <c r="L31" s="46">
        <f>HLOOKUP(L$4,tab!$E$4:$P$49,MATCH($C31,$C$4:$C$49,0),0)</f>
        <v>0</v>
      </c>
      <c r="M31" s="46">
        <f>HLOOKUP(M$4,tab!$E$4:$P$49,MATCH($C31,$C$4:$C$49,0),0)</f>
        <v>0</v>
      </c>
      <c r="N31" s="46">
        <f>HLOOKUP(N$4,tab!$E$4:$P$49,MATCH($C31,$C$4:$C$49,0),0)</f>
        <v>0</v>
      </c>
      <c r="O31" s="46">
        <f>HLOOKUP(O$4,tab!$E$4:$P$49,MATCH($C31,$C$4:$C$49,0),0)</f>
        <v>0</v>
      </c>
      <c r="P31" s="46"/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>
        <f>HLOOKUP(K$4,tab!$E$4:$P$49,MATCH($C32,$C$4:$C$49,0),0)</f>
        <v>0</v>
      </c>
      <c r="L32" s="46">
        <f>HLOOKUP(L$4,tab!$E$4:$P$49,MATCH($C32,$C$4:$C$49,0),0)</f>
        <v>0</v>
      </c>
      <c r="M32" s="46">
        <f>HLOOKUP(M$4,tab!$E$4:$P$49,MATCH($C32,$C$4:$C$49,0),0)</f>
        <v>0</v>
      </c>
      <c r="N32" s="46">
        <f>HLOOKUP(N$4,tab!$E$4:$P$49,MATCH($C32,$C$4:$C$49,0),0)</f>
        <v>0</v>
      </c>
      <c r="O32" s="46">
        <f>HLOOKUP(O$4,tab!$E$4:$P$49,MATCH($C32,$C$4:$C$49,0),0)</f>
        <v>0</v>
      </c>
      <c r="P32" s="46"/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>
        <f>HLOOKUP(K$4,tab!$E$4:$P$49,MATCH($C33,$C$4:$C$49,0),0)</f>
        <v>0</v>
      </c>
      <c r="L33" s="46">
        <f>HLOOKUP(L$4,tab!$E$4:$P$49,MATCH($C33,$C$4:$C$49,0),0)</f>
        <v>0</v>
      </c>
      <c r="M33" s="46">
        <f>HLOOKUP(M$4,tab!$E$4:$P$49,MATCH($C33,$C$4:$C$49,0),0)</f>
        <v>0</v>
      </c>
      <c r="N33" s="46">
        <f>HLOOKUP(N$4,tab!$E$4:$P$49,MATCH($C33,$C$4:$C$49,0),0)</f>
        <v>0</v>
      </c>
      <c r="O33" s="46">
        <f>HLOOKUP(O$4,tab!$E$4:$P$49,MATCH($C33,$C$4:$C$49,0),0)</f>
        <v>0</v>
      </c>
      <c r="P33" s="46"/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O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>
        <f t="shared" si="2"/>
        <v>150600</v>
      </c>
      <c r="L34" s="45">
        <f t="shared" si="2"/>
        <v>175600</v>
      </c>
      <c r="M34" s="45">
        <f t="shared" si="2"/>
        <v>200600</v>
      </c>
      <c r="N34" s="45">
        <f t="shared" si="2"/>
        <v>225600</v>
      </c>
      <c r="O34" s="45">
        <f t="shared" si="2"/>
        <v>250600</v>
      </c>
      <c r="P34" s="45"/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 t="shared" ref="F35:O35" si="3">SUM(E35:E36)</f>
        <v>44820</v>
      </c>
      <c r="G35" s="45">
        <f t="shared" si="3"/>
        <v>37140</v>
      </c>
      <c r="H35" s="45">
        <f t="shared" si="3"/>
        <v>21960</v>
      </c>
      <c r="I35" s="45">
        <f t="shared" si="3"/>
        <v>0</v>
      </c>
      <c r="J35" s="45">
        <f t="shared" si="3"/>
        <v>0</v>
      </c>
      <c r="K35" s="45">
        <f t="shared" si="3"/>
        <v>0</v>
      </c>
      <c r="L35" s="45">
        <f t="shared" si="3"/>
        <v>0</v>
      </c>
      <c r="M35" s="45">
        <f t="shared" si="3"/>
        <v>0</v>
      </c>
      <c r="N35" s="45">
        <f t="shared" si="3"/>
        <v>0</v>
      </c>
      <c r="O35" s="45">
        <f t="shared" si="3"/>
        <v>0</v>
      </c>
      <c r="P35" s="45"/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O36" si="4">-IF(AND(E35&gt;0,E34*$D$36&lt;E35),E34*$D$36,E35)</f>
        <v>-180</v>
      </c>
      <c r="F36" s="45">
        <f t="shared" si="4"/>
        <v>-7680</v>
      </c>
      <c r="G36" s="45">
        <f t="shared" si="4"/>
        <v>-15180</v>
      </c>
      <c r="H36" s="45">
        <f t="shared" si="4"/>
        <v>-21960</v>
      </c>
      <c r="I36" s="45">
        <f t="shared" si="4"/>
        <v>0</v>
      </c>
      <c r="J36" s="45">
        <f t="shared" si="4"/>
        <v>0</v>
      </c>
      <c r="K36" s="45">
        <f t="shared" si="4"/>
        <v>0</v>
      </c>
      <c r="L36" s="45">
        <f t="shared" si="4"/>
        <v>0</v>
      </c>
      <c r="M36" s="45">
        <f t="shared" si="4"/>
        <v>0</v>
      </c>
      <c r="N36" s="45">
        <f t="shared" si="4"/>
        <v>0</v>
      </c>
      <c r="O36" s="45">
        <f t="shared" si="4"/>
        <v>0</v>
      </c>
      <c r="P36" s="45"/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5">HLOOKUP($E$4,INDIRECT($E$4&amp;"!$E$4:$O$49"),MATCH(C37,INDIRECT($E$4&amp;"!$C$4:$C$49"),0),0)</f>
        <v>0</v>
      </c>
      <c r="F37" s="45">
        <f t="shared" ref="F37:O37" si="6">IF(SUM(F34,F36)&gt;20000*$A$4,(SUM(F34,F36)-20000*$A$4)*$D$37,0)</f>
        <v>0</v>
      </c>
      <c r="G37" s="45">
        <f t="shared" si="6"/>
        <v>0</v>
      </c>
      <c r="H37" s="45">
        <f t="shared" si="6"/>
        <v>0</v>
      </c>
      <c r="I37" s="45">
        <f t="shared" si="6"/>
        <v>0</v>
      </c>
      <c r="J37" s="45">
        <f t="shared" si="6"/>
        <v>0</v>
      </c>
      <c r="K37" s="45">
        <f t="shared" si="6"/>
        <v>0</v>
      </c>
      <c r="L37" s="45">
        <f t="shared" si="6"/>
        <v>0</v>
      </c>
      <c r="M37" s="45">
        <f t="shared" si="6"/>
        <v>0</v>
      </c>
      <c r="N37" s="45">
        <f t="shared" si="6"/>
        <v>560</v>
      </c>
      <c r="O37" s="45">
        <f t="shared" si="6"/>
        <v>3060</v>
      </c>
      <c r="P37" s="45"/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O38" si="7">SUM(E34,E36)*$D$38</f>
        <v>63</v>
      </c>
      <c r="F38" s="45">
        <f t="shared" si="7"/>
        <v>2688</v>
      </c>
      <c r="G38" s="45">
        <f t="shared" si="7"/>
        <v>5313</v>
      </c>
      <c r="H38" s="45">
        <f t="shared" si="7"/>
        <v>8046</v>
      </c>
      <c r="I38" s="45">
        <f t="shared" si="7"/>
        <v>15090</v>
      </c>
      <c r="J38" s="45">
        <f t="shared" si="7"/>
        <v>18840</v>
      </c>
      <c r="K38" s="45">
        <f t="shared" si="7"/>
        <v>22590</v>
      </c>
      <c r="L38" s="45">
        <f t="shared" si="7"/>
        <v>26340</v>
      </c>
      <c r="M38" s="45">
        <f t="shared" si="7"/>
        <v>30090</v>
      </c>
      <c r="N38" s="45">
        <f t="shared" si="7"/>
        <v>33840</v>
      </c>
      <c r="O38" s="45">
        <f t="shared" si="7"/>
        <v>37590</v>
      </c>
      <c r="P38" s="45"/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O39" si="8">SUM(E34,E36)*$D$39</f>
        <v>37.799999999999997</v>
      </c>
      <c r="F39" s="45">
        <f t="shared" si="8"/>
        <v>1612.8</v>
      </c>
      <c r="G39" s="45">
        <f t="shared" si="8"/>
        <v>3187.7999999999997</v>
      </c>
      <c r="H39" s="45">
        <f t="shared" si="8"/>
        <v>4827.5999999999995</v>
      </c>
      <c r="I39" s="45">
        <f t="shared" si="8"/>
        <v>9054</v>
      </c>
      <c r="J39" s="45">
        <f t="shared" si="8"/>
        <v>11304</v>
      </c>
      <c r="K39" s="45">
        <f t="shared" si="8"/>
        <v>13554</v>
      </c>
      <c r="L39" s="45">
        <f t="shared" si="8"/>
        <v>15804</v>
      </c>
      <c r="M39" s="45">
        <f t="shared" si="8"/>
        <v>18054</v>
      </c>
      <c r="N39" s="45">
        <f t="shared" si="8"/>
        <v>20304</v>
      </c>
      <c r="O39" s="45">
        <f t="shared" si="8"/>
        <v>22554</v>
      </c>
      <c r="P39" s="45"/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O40" si="9">SUM(E42:E47)</f>
        <v>-3600</v>
      </c>
      <c r="F40" s="45">
        <f t="shared" ca="1" si="9"/>
        <v>-3600</v>
      </c>
      <c r="G40" s="45">
        <f t="shared" ca="1" si="9"/>
        <v>-4300.8</v>
      </c>
      <c r="H40" s="45">
        <f t="shared" ca="1" si="9"/>
        <v>-8500.7999999999993</v>
      </c>
      <c r="I40" s="45">
        <f t="shared" ca="1" si="9"/>
        <v>-12873.599999999999</v>
      </c>
      <c r="J40" s="45">
        <f t="shared" ca="1" si="9"/>
        <v>-24144</v>
      </c>
      <c r="K40" s="45">
        <f t="shared" ca="1" si="9"/>
        <v>-30144</v>
      </c>
      <c r="L40" s="45">
        <f t="shared" ca="1" si="9"/>
        <v>-36144</v>
      </c>
      <c r="M40" s="45">
        <f t="shared" ca="1" si="9"/>
        <v>-42144</v>
      </c>
      <c r="N40" s="45">
        <f t="shared" ca="1" si="9"/>
        <v>-48144</v>
      </c>
      <c r="O40" s="45">
        <f t="shared" ca="1" si="9"/>
        <v>-54704</v>
      </c>
      <c r="P40" s="46"/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>
        <f>HLOOKUP(K$4,tab!$E$4:$P$49,MATCH($C41,$C$4:$C$49,0),0)</f>
        <v>0</v>
      </c>
      <c r="L41" s="46">
        <f>HLOOKUP(L$4,tab!$E$4:$P$49,MATCH($C41,$C$4:$C$49,0),0)</f>
        <v>0</v>
      </c>
      <c r="M41" s="46">
        <f>HLOOKUP(M$4,tab!$E$4:$P$49,MATCH($C41,$C$4:$C$49,0),0)</f>
        <v>0</v>
      </c>
      <c r="N41" s="46">
        <f>HLOOKUP(N$4,tab!$E$4:$P$49,MATCH($C41,$C$4:$C$49,0),0)</f>
        <v>0</v>
      </c>
      <c r="O41" s="46">
        <f>HLOOKUP(O$4,tab!$E$4:$P$49,MATCH($C41,$C$4:$C$49,0),0)</f>
        <v>0</v>
      </c>
      <c r="P41" s="46"/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0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>
        <f>HLOOKUP(K$4,tab!$E$4:$P$49,MATCH($C42,$C$4:$C$49,0),0)</f>
        <v>-100</v>
      </c>
      <c r="L42" s="46">
        <f>HLOOKUP(L$4,tab!$E$4:$P$49,MATCH($C42,$C$4:$C$49,0),0)</f>
        <v>-100</v>
      </c>
      <c r="M42" s="46">
        <f>HLOOKUP(M$4,tab!$E$4:$P$49,MATCH($C42,$C$4:$C$49,0),0)</f>
        <v>-100</v>
      </c>
      <c r="N42" s="46">
        <f>HLOOKUP(N$4,tab!$E$4:$P$49,MATCH($C42,$C$4:$C$49,0),0)</f>
        <v>-100</v>
      </c>
      <c r="O42" s="46">
        <f>HLOOKUP(O$4,tab!$E$4:$P$49,MATCH($C42,$C$4:$C$49,0),0)</f>
        <v>-100</v>
      </c>
      <c r="P42" s="46"/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0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>
        <f>HLOOKUP(K$4,tab!$E$4:$P$49,MATCH($C43,$C$4:$C$49,0),0)</f>
        <v>-2000</v>
      </c>
      <c r="L43" s="46">
        <f>HLOOKUP(L$4,tab!$E$4:$P$49,MATCH($C43,$C$4:$C$49,0),0)</f>
        <v>-2000</v>
      </c>
      <c r="M43" s="46">
        <f>HLOOKUP(M$4,tab!$E$4:$P$49,MATCH($C43,$C$4:$C$49,0),0)</f>
        <v>-2000</v>
      </c>
      <c r="N43" s="46">
        <f>HLOOKUP(N$4,tab!$E$4:$P$49,MATCH($C43,$C$4:$C$49,0),0)</f>
        <v>-2000</v>
      </c>
      <c r="O43" s="46">
        <f>HLOOKUP(O$4,tab!$E$4:$P$49,MATCH($C43,$C$4:$C$49,0),0)</f>
        <v>-2000</v>
      </c>
      <c r="P43" s="46"/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0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>
        <f ca="1">-SUM($E$48:J48)</f>
        <v>-16740</v>
      </c>
      <c r="L44" s="46">
        <f ca="1">-SUM($E$48:K48)</f>
        <v>-20490</v>
      </c>
      <c r="M44" s="46">
        <f ca="1">-SUM($E$48:L48)</f>
        <v>-24240</v>
      </c>
      <c r="N44" s="46">
        <f ca="1">-SUM($E$48:M48)</f>
        <v>-27990</v>
      </c>
      <c r="O44" s="46">
        <f ca="1">-SUM($E$48:N48)</f>
        <v>-32300</v>
      </c>
      <c r="P44" s="46"/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0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>
        <f>HLOOKUP(K$4,tab!$E$4:$P$49,MATCH($C45,$C$4:$C$49,0),0)</f>
        <v>0</v>
      </c>
      <c r="L45" s="46">
        <f>HLOOKUP(L$4,tab!$E$4:$P$49,MATCH($C45,$C$4:$C$49,0),0)</f>
        <v>0</v>
      </c>
      <c r="M45" s="46">
        <f>HLOOKUP(M$4,tab!$E$4:$P$49,MATCH($C45,$C$4:$C$49,0),0)</f>
        <v>0</v>
      </c>
      <c r="N45" s="46">
        <f>HLOOKUP(N$4,tab!$E$4:$P$49,MATCH($C45,$C$4:$C$49,0),0)</f>
        <v>0</v>
      </c>
      <c r="O45" s="46">
        <f>HLOOKUP(O$4,tab!$E$4:$P$49,MATCH($C45,$C$4:$C$49,0),0)</f>
        <v>0</v>
      </c>
      <c r="P45" s="46"/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0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>
        <f>HLOOKUP(K$4,tab!$E$4:$P$49,MATCH($C46,$C$4:$C$49,0),0)</f>
        <v>-1500</v>
      </c>
      <c r="L46" s="46">
        <f>HLOOKUP(L$4,tab!$E$4:$P$49,MATCH($C46,$C$4:$C$49,0),0)</f>
        <v>-1500</v>
      </c>
      <c r="M46" s="46">
        <f>HLOOKUP(M$4,tab!$E$4:$P$49,MATCH($C46,$C$4:$C$49,0),0)</f>
        <v>-1500</v>
      </c>
      <c r="N46" s="46">
        <f>HLOOKUP(N$4,tab!$E$4:$P$49,MATCH($C46,$C$4:$C$49,0),0)</f>
        <v>-1500</v>
      </c>
      <c r="O46" s="46">
        <f>HLOOKUP(O$4,tab!$E$4:$P$49,MATCH($C46,$C$4:$C$49,0),0)</f>
        <v>-1500</v>
      </c>
      <c r="P46" s="46"/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0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>
        <f ca="1">-SUM($E$49:J49)</f>
        <v>-9804</v>
      </c>
      <c r="L47" s="46">
        <f ca="1">-SUM($E$49:K49)</f>
        <v>-12054</v>
      </c>
      <c r="M47" s="46">
        <f ca="1">-SUM($E$49:L49)</f>
        <v>-14304</v>
      </c>
      <c r="N47" s="46">
        <f ca="1">-SUM($E$49:M49)</f>
        <v>-16554</v>
      </c>
      <c r="O47" s="46">
        <f ca="1">-SUM($E$49:N49)</f>
        <v>-18804</v>
      </c>
      <c r="P47" s="46"/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3750</v>
      </c>
      <c r="K48" s="45">
        <f ca="1">IF(SUM(K37,K38,SUMIF($D$41:K47,"IR",K$41:K$47))&gt;0,SUM(K37,K38,SUMIF($D$41:K47,"IR",K$41:K$47)),0)</f>
        <v>3750</v>
      </c>
      <c r="L48" s="45">
        <f ca="1">IF(SUM(L37,L38,SUMIF($D$41:L47,"IR",L$41:L$47))&gt;0,SUM(L37,L38,SUMIF($D$41:L47,"IR",L$41:L$47)),0)</f>
        <v>3750</v>
      </c>
      <c r="M48" s="45">
        <f ca="1">IF(SUM(M37,M38,SUMIF($D$41:M47,"IR",M$41:M$47))&gt;0,SUM(M37,M38,SUMIF($D$41:M47,"IR",M$41:M$47)),0)</f>
        <v>3750</v>
      </c>
      <c r="N48" s="45">
        <f ca="1">IF(SUM(N37,N38,SUMIF($D$41:N47,"IR",N$41:N$47))&gt;0,SUM(N37,N38,SUMIF($D$41:N47,"IR",N$41:N$47)),0)</f>
        <v>4310</v>
      </c>
      <c r="O48" s="45">
        <f ca="1">IF(SUM(O37,O38,SUMIF($D$41:O47,"IR",O$41:O$47))&gt;0,SUM(O37,O38,SUMIF($D$41:O47,"IR",O$41:O$47)),0)</f>
        <v>6250</v>
      </c>
      <c r="P48" s="45"/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>
        <f ca="1">IF(SUM(K39,SUMIF($D$41:K47,"CS",K$41:K$47))&gt;0,SUM(K39,SUMIF($D$41:K47,"CS",K$41:K$47)),0)</f>
        <v>2250</v>
      </c>
      <c r="L49" s="45">
        <f ca="1">IF(SUM(L39,SUMIF($D$41:L47,"CS",L$41:L$47))&gt;0,SUM(L39,SUMIF($D$41:L47,"CS",L$41:L$47)),0)</f>
        <v>2250</v>
      </c>
      <c r="M49" s="45">
        <f ca="1">IF(SUM(M39,SUMIF($D$41:M47,"CS",M$41:M$47))&gt;0,SUM(M39,SUMIF($D$41:M47,"CS",M$41:M$47)),0)</f>
        <v>2250</v>
      </c>
      <c r="N49" s="45">
        <f ca="1">IF(SUM(N39,SUMIF($D$41:N47,"CS",N$41:N$47))&gt;0,SUM(N39,SUMIF($D$41:N47,"CS",N$41:N$47)),0)</f>
        <v>2250</v>
      </c>
      <c r="O49" s="45">
        <f ca="1">IF(SUM(O39,SUMIF($D$41:O47,"CS",O$41:O$47))&gt;0,SUM(O39,SUMIF($D$41:O47,"CS",O$41:O$47)),0)</f>
        <v>2250</v>
      </c>
      <c r="P49" s="45"/>
    </row>
  </sheetData>
  <sheetProtection selectLockedCells="1" selectUnlockedCells="1"/>
  <dataValidations count="1">
    <dataValidation type="list" allowBlank="1" showInputMessage="1" showErrorMessage="1" sqref="B3" xr:uid="{048366FD-C928-4ADE-8A69-318B5FD419FE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9"/>
  <sheetViews>
    <sheetView showGridLines="0" workbookViewId="0">
      <pane ySplit="4" topLeftCell="A5" activePane="bottomLeft" state="frozen"/>
      <selection activeCell="C9" sqref="C9"/>
      <selection pane="bottomLeft" activeCell="C9" sqref="C9"/>
    </sheetView>
  </sheetViews>
  <sheetFormatPr defaultRowHeight="14.25" x14ac:dyDescent="0.25"/>
  <cols>
    <col min="1" max="1" width="3.7109375" style="10" customWidth="1"/>
    <col min="2" max="2" width="7.140625" style="4" bestFit="1" customWidth="1"/>
    <col min="3" max="3" width="61.5703125" style="4" bestFit="1" customWidth="1"/>
    <col min="4" max="4" width="7.140625" style="4" bestFit="1" customWidth="1"/>
    <col min="5" max="16" width="12.7109375" style="4" customWidth="1"/>
    <col min="17" max="16384" width="9.140625" style="4"/>
  </cols>
  <sheetData>
    <row r="1" spans="1:16" s="3" customFormat="1" ht="39" customHeight="1" x14ac:dyDescent="0.25">
      <c r="A1" s="9"/>
    </row>
    <row r="2" spans="1:16" x14ac:dyDescent="0.25">
      <c r="A2" s="11"/>
    </row>
    <row r="3" spans="1:16" ht="30" customHeight="1" thickBot="1" x14ac:dyDescent="0.3">
      <c r="B3" s="15">
        <v>2018</v>
      </c>
    </row>
    <row r="4" spans="1:16" ht="15" thickTop="1" x14ac:dyDescent="0.25">
      <c r="A4" s="10">
        <v>12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</row>
    <row r="5" spans="1:16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HLOOKUP(E$4,tab!$E$4:$P$33,MATCH($C5,$C$4:$C$33,0),0)</f>
        <v>1000</v>
      </c>
      <c r="F5" s="45">
        <f>HLOOKUP(F$4,tab!$E$4:$P$33,MATCH($C5,$C$4:$C$33,0),0)</f>
        <v>26000</v>
      </c>
      <c r="G5" s="45">
        <f>HLOOKUP(G$4,tab!$E$4:$P$33,MATCH($C5,$C$4:$C$33,0),0)</f>
        <v>51000</v>
      </c>
      <c r="H5" s="45">
        <f>HLOOKUP(H$4,tab!$E$4:$P$33,MATCH($C5,$C$4:$C$33,0),0)</f>
        <v>76000</v>
      </c>
      <c r="I5" s="45">
        <f>HLOOKUP(I$4,tab!$E$4:$P$33,MATCH($C5,$C$4:$C$33,0),0)</f>
        <v>101000</v>
      </c>
      <c r="J5" s="45">
        <f>HLOOKUP(J$4,tab!$E$4:$P$33,MATCH($C5,$C$4:$C$33,0),0)</f>
        <v>126000</v>
      </c>
      <c r="K5" s="45">
        <f>HLOOKUP(K$4,tab!$E$4:$P$33,MATCH($C5,$C$4:$C$33,0),0)</f>
        <v>151000</v>
      </c>
      <c r="L5" s="45">
        <f>HLOOKUP(L$4,tab!$E$4:$P$33,MATCH($C5,$C$4:$C$33,0),0)</f>
        <v>176000</v>
      </c>
      <c r="M5" s="45">
        <f>HLOOKUP(M$4,tab!$E$4:$P$33,MATCH($C5,$C$4:$C$33,0),0)</f>
        <v>201000</v>
      </c>
      <c r="N5" s="45">
        <f>HLOOKUP(N$4,tab!$E$4:$P$33,MATCH($C5,$C$4:$C$33,0),0)</f>
        <v>226000</v>
      </c>
      <c r="O5" s="45">
        <f>HLOOKUP(O$4,tab!$E$4:$P$33,MATCH($C5,$C$4:$C$33,0),0)</f>
        <v>251000</v>
      </c>
      <c r="P5" s="45">
        <f>HLOOKUP(P$4,tab!$E$4:$P$33,MATCH($C5,$C$4:$C$33,0),0)</f>
        <v>276000</v>
      </c>
    </row>
    <row r="6" spans="1:16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 t="shared" ref="E6:P6" si="0">SUM(E7:E19)</f>
        <v>600</v>
      </c>
      <c r="F6" s="45">
        <f t="shared" si="0"/>
        <v>600</v>
      </c>
      <c r="G6" s="45">
        <f t="shared" si="0"/>
        <v>600</v>
      </c>
      <c r="H6" s="45">
        <f t="shared" si="0"/>
        <v>600</v>
      </c>
      <c r="I6" s="45">
        <f t="shared" si="0"/>
        <v>600</v>
      </c>
      <c r="J6" s="45">
        <f t="shared" si="0"/>
        <v>600</v>
      </c>
      <c r="K6" s="45">
        <f t="shared" si="0"/>
        <v>600</v>
      </c>
      <c r="L6" s="45">
        <f t="shared" si="0"/>
        <v>600</v>
      </c>
      <c r="M6" s="45">
        <f t="shared" si="0"/>
        <v>600</v>
      </c>
      <c r="N6" s="45">
        <f t="shared" si="0"/>
        <v>600</v>
      </c>
      <c r="O6" s="45">
        <f t="shared" si="0"/>
        <v>600</v>
      </c>
      <c r="P6" s="45">
        <f t="shared" si="0"/>
        <v>600</v>
      </c>
    </row>
    <row r="7" spans="1:16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HLOOKUP(E$4,tab!$E$4:$P$49,MATCH($C7,$C$4:$C$49,0),0)</f>
        <v>0</v>
      </c>
      <c r="F7" s="46">
        <f>HLOOKUP(F$4,tab!$E$4:$P$49,MATCH($C7,$C$4:$C$49,0),0)</f>
        <v>0</v>
      </c>
      <c r="G7" s="46">
        <f>HLOOKUP(G$4,tab!$E$4:$P$49,MATCH($C7,$C$4:$C$49,0),0)</f>
        <v>0</v>
      </c>
      <c r="H7" s="46">
        <f>HLOOKUP(H$4,tab!$E$4:$P$49,MATCH($C7,$C$4:$C$49,0),0)</f>
        <v>0</v>
      </c>
      <c r="I7" s="46">
        <f>HLOOKUP(I$4,tab!$E$4:$P$49,MATCH($C7,$C$4:$C$49,0),0)</f>
        <v>0</v>
      </c>
      <c r="J7" s="46">
        <f>HLOOKUP(J$4,tab!$E$4:$P$49,MATCH($C7,$C$4:$C$49,0),0)</f>
        <v>0</v>
      </c>
      <c r="K7" s="46">
        <f>HLOOKUP(K$4,tab!$E$4:$P$49,MATCH($C7,$C$4:$C$49,0),0)</f>
        <v>0</v>
      </c>
      <c r="L7" s="46">
        <f>HLOOKUP(L$4,tab!$E$4:$P$49,MATCH($C7,$C$4:$C$49,0),0)</f>
        <v>0</v>
      </c>
      <c r="M7" s="46">
        <f>HLOOKUP(M$4,tab!$E$4:$P$49,MATCH($C7,$C$4:$C$49,0),0)</f>
        <v>0</v>
      </c>
      <c r="N7" s="46">
        <f>HLOOKUP(N$4,tab!$E$4:$P$49,MATCH($C7,$C$4:$C$49,0),0)</f>
        <v>0</v>
      </c>
      <c r="O7" s="46">
        <f>HLOOKUP(O$4,tab!$E$4:$P$49,MATCH($C7,$C$4:$C$49,0),0)</f>
        <v>0</v>
      </c>
      <c r="P7" s="46">
        <f>HLOOKUP(P$4,tab!$E$4:$P$49,MATCH($C7,$C$4:$C$49,0),0)</f>
        <v>0</v>
      </c>
    </row>
    <row r="8" spans="1:16" ht="14.25" customHeight="1" x14ac:dyDescent="0.25">
      <c r="A8" s="3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HLOOKUP(E$4,tab!$E$4:$P$49,MATCH($C8,$C$4:$C$49,0),0)</f>
        <v>0</v>
      </c>
      <c r="F8" s="46">
        <f>HLOOKUP(F$4,tab!$E$4:$P$49,MATCH($C8,$C$4:$C$49,0),0)</f>
        <v>0</v>
      </c>
      <c r="G8" s="46">
        <f>HLOOKUP(G$4,tab!$E$4:$P$49,MATCH($C8,$C$4:$C$49,0),0)</f>
        <v>0</v>
      </c>
      <c r="H8" s="46">
        <f>HLOOKUP(H$4,tab!$E$4:$P$49,MATCH($C8,$C$4:$C$49,0),0)</f>
        <v>0</v>
      </c>
      <c r="I8" s="46">
        <f>HLOOKUP(I$4,tab!$E$4:$P$49,MATCH($C8,$C$4:$C$49,0),0)</f>
        <v>0</v>
      </c>
      <c r="J8" s="46">
        <f>HLOOKUP(J$4,tab!$E$4:$P$49,MATCH($C8,$C$4:$C$49,0),0)</f>
        <v>0</v>
      </c>
      <c r="K8" s="46">
        <f>HLOOKUP(K$4,tab!$E$4:$P$49,MATCH($C8,$C$4:$C$49,0),0)</f>
        <v>0</v>
      </c>
      <c r="L8" s="46">
        <f>HLOOKUP(L$4,tab!$E$4:$P$49,MATCH($C8,$C$4:$C$49,0),0)</f>
        <v>0</v>
      </c>
      <c r="M8" s="46">
        <f>HLOOKUP(M$4,tab!$E$4:$P$49,MATCH($C8,$C$4:$C$49,0),0)</f>
        <v>0</v>
      </c>
      <c r="N8" s="46">
        <f>HLOOKUP(N$4,tab!$E$4:$P$49,MATCH($C8,$C$4:$C$49,0),0)</f>
        <v>0</v>
      </c>
      <c r="O8" s="46">
        <f>HLOOKUP(O$4,tab!$E$4:$P$49,MATCH($C8,$C$4:$C$49,0),0)</f>
        <v>0</v>
      </c>
      <c r="P8" s="46">
        <f>HLOOKUP(P$4,tab!$E$4:$P$49,MATCH($C8,$C$4:$C$49,0),0)</f>
        <v>0</v>
      </c>
    </row>
    <row r="9" spans="1:16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HLOOKUP(E$4,tab!$E$4:$P$49,MATCH($C9,$C$4:$C$49,0),0)</f>
        <v>0</v>
      </c>
      <c r="F9" s="46">
        <f>HLOOKUP(F$4,tab!$E$4:$P$49,MATCH($C9,$C$4:$C$49,0),0)</f>
        <v>0</v>
      </c>
      <c r="G9" s="46">
        <f>HLOOKUP(G$4,tab!$E$4:$P$49,MATCH($C9,$C$4:$C$49,0),0)</f>
        <v>0</v>
      </c>
      <c r="H9" s="46">
        <f>HLOOKUP(H$4,tab!$E$4:$P$49,MATCH($C9,$C$4:$C$49,0),0)</f>
        <v>0</v>
      </c>
      <c r="I9" s="46">
        <f>HLOOKUP(I$4,tab!$E$4:$P$49,MATCH($C9,$C$4:$C$49,0),0)</f>
        <v>0</v>
      </c>
      <c r="J9" s="46">
        <f>HLOOKUP(J$4,tab!$E$4:$P$49,MATCH($C9,$C$4:$C$49,0),0)</f>
        <v>0</v>
      </c>
      <c r="K9" s="46">
        <f>HLOOKUP(K$4,tab!$E$4:$P$49,MATCH($C9,$C$4:$C$49,0),0)</f>
        <v>0</v>
      </c>
      <c r="L9" s="46">
        <f>HLOOKUP(L$4,tab!$E$4:$P$49,MATCH($C9,$C$4:$C$49,0),0)</f>
        <v>0</v>
      </c>
      <c r="M9" s="46">
        <f>HLOOKUP(M$4,tab!$E$4:$P$49,MATCH($C9,$C$4:$C$49,0),0)</f>
        <v>0</v>
      </c>
      <c r="N9" s="46">
        <f>HLOOKUP(N$4,tab!$E$4:$P$49,MATCH($C9,$C$4:$C$49,0),0)</f>
        <v>0</v>
      </c>
      <c r="O9" s="46">
        <f>HLOOKUP(O$4,tab!$E$4:$P$49,MATCH($C9,$C$4:$C$49,0),0)</f>
        <v>0</v>
      </c>
      <c r="P9" s="46">
        <f>HLOOKUP(P$4,tab!$E$4:$P$49,MATCH($C9,$C$4:$C$49,0),0)</f>
        <v>0</v>
      </c>
    </row>
    <row r="10" spans="1:16" ht="14.25" customHeight="1" x14ac:dyDescent="0.25">
      <c r="A10" s="3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HLOOKUP(E$4,tab!$E$4:$P$49,MATCH($C10,$C$4:$C$49,0),0)</f>
        <v>100</v>
      </c>
      <c r="F10" s="46">
        <f>HLOOKUP(F$4,tab!$E$4:$P$49,MATCH($C10,$C$4:$C$49,0),0)</f>
        <v>100</v>
      </c>
      <c r="G10" s="46">
        <f>HLOOKUP(G$4,tab!$E$4:$P$49,MATCH($C10,$C$4:$C$49,0),0)</f>
        <v>100</v>
      </c>
      <c r="H10" s="46">
        <f>HLOOKUP(H$4,tab!$E$4:$P$49,MATCH($C10,$C$4:$C$49,0),0)</f>
        <v>100</v>
      </c>
      <c r="I10" s="46">
        <f>HLOOKUP(I$4,tab!$E$4:$P$49,MATCH($C10,$C$4:$C$49,0),0)</f>
        <v>100</v>
      </c>
      <c r="J10" s="46">
        <f>HLOOKUP(J$4,tab!$E$4:$P$49,MATCH($C10,$C$4:$C$49,0),0)</f>
        <v>100</v>
      </c>
      <c r="K10" s="46">
        <f>HLOOKUP(K$4,tab!$E$4:$P$49,MATCH($C10,$C$4:$C$49,0),0)</f>
        <v>100</v>
      </c>
      <c r="L10" s="46">
        <f>HLOOKUP(L$4,tab!$E$4:$P$49,MATCH($C10,$C$4:$C$49,0),0)</f>
        <v>100</v>
      </c>
      <c r="M10" s="46">
        <f>HLOOKUP(M$4,tab!$E$4:$P$49,MATCH($C10,$C$4:$C$49,0),0)</f>
        <v>100</v>
      </c>
      <c r="N10" s="46">
        <f>HLOOKUP(N$4,tab!$E$4:$P$49,MATCH($C10,$C$4:$C$49,0),0)</f>
        <v>100</v>
      </c>
      <c r="O10" s="46">
        <f>HLOOKUP(O$4,tab!$E$4:$P$49,MATCH($C10,$C$4:$C$49,0),0)</f>
        <v>100</v>
      </c>
      <c r="P10" s="46">
        <f>HLOOKUP(P$4,tab!$E$4:$P$49,MATCH($C10,$C$4:$C$49,0),0)</f>
        <v>100</v>
      </c>
    </row>
    <row r="11" spans="1:16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HLOOKUP(E$4,tab!$E$4:$P$49,MATCH($C11,$C$4:$C$49,0),0)</f>
        <v>0</v>
      </c>
      <c r="F11" s="46">
        <f>HLOOKUP(F$4,tab!$E$4:$P$49,MATCH($C11,$C$4:$C$49,0),0)</f>
        <v>0</v>
      </c>
      <c r="G11" s="46">
        <f>HLOOKUP(G$4,tab!$E$4:$P$49,MATCH($C11,$C$4:$C$49,0),0)</f>
        <v>0</v>
      </c>
      <c r="H11" s="46">
        <f>HLOOKUP(H$4,tab!$E$4:$P$49,MATCH($C11,$C$4:$C$49,0),0)</f>
        <v>0</v>
      </c>
      <c r="I11" s="46">
        <f>HLOOKUP(I$4,tab!$E$4:$P$49,MATCH($C11,$C$4:$C$49,0),0)</f>
        <v>0</v>
      </c>
      <c r="J11" s="46">
        <f>HLOOKUP(J$4,tab!$E$4:$P$49,MATCH($C11,$C$4:$C$49,0),0)</f>
        <v>0</v>
      </c>
      <c r="K11" s="46">
        <f>HLOOKUP(K$4,tab!$E$4:$P$49,MATCH($C11,$C$4:$C$49,0),0)</f>
        <v>0</v>
      </c>
      <c r="L11" s="46">
        <f>HLOOKUP(L$4,tab!$E$4:$P$49,MATCH($C11,$C$4:$C$49,0),0)</f>
        <v>0</v>
      </c>
      <c r="M11" s="46">
        <f>HLOOKUP(M$4,tab!$E$4:$P$49,MATCH($C11,$C$4:$C$49,0),0)</f>
        <v>0</v>
      </c>
      <c r="N11" s="46">
        <f>HLOOKUP(N$4,tab!$E$4:$P$49,MATCH($C11,$C$4:$C$49,0),0)</f>
        <v>0</v>
      </c>
      <c r="O11" s="46">
        <f>HLOOKUP(O$4,tab!$E$4:$P$49,MATCH($C11,$C$4:$C$49,0),0)</f>
        <v>0</v>
      </c>
      <c r="P11" s="46">
        <f>HLOOKUP(P$4,tab!$E$4:$P$49,MATCH($C11,$C$4:$C$49,0),0)</f>
        <v>0</v>
      </c>
    </row>
    <row r="12" spans="1:16" ht="14.25" customHeight="1" x14ac:dyDescent="0.25">
      <c r="A12" s="3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HLOOKUP(E$4,tab!$E$4:$P$49,MATCH($C12,$C$4:$C$49,0),0)</f>
        <v>0</v>
      </c>
      <c r="F12" s="46">
        <f>HLOOKUP(F$4,tab!$E$4:$P$49,MATCH($C12,$C$4:$C$49,0),0)</f>
        <v>0</v>
      </c>
      <c r="G12" s="46">
        <f>HLOOKUP(G$4,tab!$E$4:$P$49,MATCH($C12,$C$4:$C$49,0),0)</f>
        <v>0</v>
      </c>
      <c r="H12" s="46">
        <f>HLOOKUP(H$4,tab!$E$4:$P$49,MATCH($C12,$C$4:$C$49,0),0)</f>
        <v>0</v>
      </c>
      <c r="I12" s="46">
        <f>HLOOKUP(I$4,tab!$E$4:$P$49,MATCH($C12,$C$4:$C$49,0),0)</f>
        <v>0</v>
      </c>
      <c r="J12" s="46">
        <f>HLOOKUP(J$4,tab!$E$4:$P$49,MATCH($C12,$C$4:$C$49,0),0)</f>
        <v>0</v>
      </c>
      <c r="K12" s="46">
        <f>HLOOKUP(K$4,tab!$E$4:$P$49,MATCH($C12,$C$4:$C$49,0),0)</f>
        <v>0</v>
      </c>
      <c r="L12" s="46">
        <f>HLOOKUP(L$4,tab!$E$4:$P$49,MATCH($C12,$C$4:$C$49,0),0)</f>
        <v>0</v>
      </c>
      <c r="M12" s="46">
        <f>HLOOKUP(M$4,tab!$E$4:$P$49,MATCH($C12,$C$4:$C$49,0),0)</f>
        <v>0</v>
      </c>
      <c r="N12" s="46">
        <f>HLOOKUP(N$4,tab!$E$4:$P$49,MATCH($C12,$C$4:$C$49,0),0)</f>
        <v>0</v>
      </c>
      <c r="O12" s="46">
        <f>HLOOKUP(O$4,tab!$E$4:$P$49,MATCH($C12,$C$4:$C$49,0),0)</f>
        <v>0</v>
      </c>
      <c r="P12" s="46">
        <f>HLOOKUP(P$4,tab!$E$4:$P$49,MATCH($C12,$C$4:$C$49,0),0)</f>
        <v>0</v>
      </c>
    </row>
    <row r="13" spans="1:16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HLOOKUP(E$4,tab!$E$4:$P$49,MATCH($C13,$C$4:$C$49,0),0)</f>
        <v>0</v>
      </c>
      <c r="F13" s="46">
        <f>HLOOKUP(F$4,tab!$E$4:$P$49,MATCH($C13,$C$4:$C$49,0),0)</f>
        <v>0</v>
      </c>
      <c r="G13" s="46">
        <f>HLOOKUP(G$4,tab!$E$4:$P$49,MATCH($C13,$C$4:$C$49,0),0)</f>
        <v>0</v>
      </c>
      <c r="H13" s="46">
        <f>HLOOKUP(H$4,tab!$E$4:$P$49,MATCH($C13,$C$4:$C$49,0),0)</f>
        <v>0</v>
      </c>
      <c r="I13" s="46">
        <f>HLOOKUP(I$4,tab!$E$4:$P$49,MATCH($C13,$C$4:$C$49,0),0)</f>
        <v>0</v>
      </c>
      <c r="J13" s="46">
        <f>HLOOKUP(J$4,tab!$E$4:$P$49,MATCH($C13,$C$4:$C$49,0),0)</f>
        <v>0</v>
      </c>
      <c r="K13" s="46">
        <f>HLOOKUP(K$4,tab!$E$4:$P$49,MATCH($C13,$C$4:$C$49,0),0)</f>
        <v>0</v>
      </c>
      <c r="L13" s="46">
        <f>HLOOKUP(L$4,tab!$E$4:$P$49,MATCH($C13,$C$4:$C$49,0),0)</f>
        <v>0</v>
      </c>
      <c r="M13" s="46">
        <f>HLOOKUP(M$4,tab!$E$4:$P$49,MATCH($C13,$C$4:$C$49,0),0)</f>
        <v>0</v>
      </c>
      <c r="N13" s="46">
        <f>HLOOKUP(N$4,tab!$E$4:$P$49,MATCH($C13,$C$4:$C$49,0),0)</f>
        <v>0</v>
      </c>
      <c r="O13" s="46">
        <f>HLOOKUP(O$4,tab!$E$4:$P$49,MATCH($C13,$C$4:$C$49,0),0)</f>
        <v>0</v>
      </c>
      <c r="P13" s="46">
        <f>HLOOKUP(P$4,tab!$E$4:$P$49,MATCH($C13,$C$4:$C$49,0),0)</f>
        <v>0</v>
      </c>
    </row>
    <row r="14" spans="1:16" ht="14.25" customHeight="1" x14ac:dyDescent="0.25">
      <c r="A14" s="3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HLOOKUP(E$4,tab!$E$4:$P$49,MATCH($C14,$C$4:$C$49,0),0)</f>
        <v>0</v>
      </c>
      <c r="F14" s="46">
        <f>HLOOKUP(F$4,tab!$E$4:$P$49,MATCH($C14,$C$4:$C$49,0),0)</f>
        <v>0</v>
      </c>
      <c r="G14" s="46">
        <f>HLOOKUP(G$4,tab!$E$4:$P$49,MATCH($C14,$C$4:$C$49,0),0)</f>
        <v>0</v>
      </c>
      <c r="H14" s="46">
        <f>HLOOKUP(H$4,tab!$E$4:$P$49,MATCH($C14,$C$4:$C$49,0),0)</f>
        <v>0</v>
      </c>
      <c r="I14" s="46">
        <f>HLOOKUP(I$4,tab!$E$4:$P$49,MATCH($C14,$C$4:$C$49,0),0)</f>
        <v>0</v>
      </c>
      <c r="J14" s="46">
        <f>HLOOKUP(J$4,tab!$E$4:$P$49,MATCH($C14,$C$4:$C$49,0),0)</f>
        <v>0</v>
      </c>
      <c r="K14" s="46">
        <f>HLOOKUP(K$4,tab!$E$4:$P$49,MATCH($C14,$C$4:$C$49,0),0)</f>
        <v>0</v>
      </c>
      <c r="L14" s="46">
        <f>HLOOKUP(L$4,tab!$E$4:$P$49,MATCH($C14,$C$4:$C$49,0),0)</f>
        <v>0</v>
      </c>
      <c r="M14" s="46">
        <f>HLOOKUP(M$4,tab!$E$4:$P$49,MATCH($C14,$C$4:$C$49,0),0)</f>
        <v>0</v>
      </c>
      <c r="N14" s="46">
        <f>HLOOKUP(N$4,tab!$E$4:$P$49,MATCH($C14,$C$4:$C$49,0),0)</f>
        <v>0</v>
      </c>
      <c r="O14" s="46">
        <f>HLOOKUP(O$4,tab!$E$4:$P$49,MATCH($C14,$C$4:$C$49,0),0)</f>
        <v>0</v>
      </c>
      <c r="P14" s="46">
        <f>HLOOKUP(P$4,tab!$E$4:$P$49,MATCH($C14,$C$4:$C$49,0),0)</f>
        <v>0</v>
      </c>
    </row>
    <row r="15" spans="1:16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HLOOKUP(E$4,tab!$E$4:$P$49,MATCH($C15,$C$4:$C$49,0),0)</f>
        <v>500</v>
      </c>
      <c r="F15" s="46">
        <f>HLOOKUP(F$4,tab!$E$4:$P$49,MATCH($C15,$C$4:$C$49,0),0)</f>
        <v>500</v>
      </c>
      <c r="G15" s="46">
        <f>HLOOKUP(G$4,tab!$E$4:$P$49,MATCH($C15,$C$4:$C$49,0),0)</f>
        <v>500</v>
      </c>
      <c r="H15" s="46">
        <f>HLOOKUP(H$4,tab!$E$4:$P$49,MATCH($C15,$C$4:$C$49,0),0)</f>
        <v>500</v>
      </c>
      <c r="I15" s="46">
        <f>HLOOKUP(I$4,tab!$E$4:$P$49,MATCH($C15,$C$4:$C$49,0),0)</f>
        <v>500</v>
      </c>
      <c r="J15" s="46">
        <f>HLOOKUP(J$4,tab!$E$4:$P$49,MATCH($C15,$C$4:$C$49,0),0)</f>
        <v>500</v>
      </c>
      <c r="K15" s="46">
        <f>HLOOKUP(K$4,tab!$E$4:$P$49,MATCH($C15,$C$4:$C$49,0),0)</f>
        <v>500</v>
      </c>
      <c r="L15" s="46">
        <f>HLOOKUP(L$4,tab!$E$4:$P$49,MATCH($C15,$C$4:$C$49,0),0)</f>
        <v>500</v>
      </c>
      <c r="M15" s="46">
        <f>HLOOKUP(M$4,tab!$E$4:$P$49,MATCH($C15,$C$4:$C$49,0),0)</f>
        <v>500</v>
      </c>
      <c r="N15" s="46">
        <f>HLOOKUP(N$4,tab!$E$4:$P$49,MATCH($C15,$C$4:$C$49,0),0)</f>
        <v>500</v>
      </c>
      <c r="O15" s="46">
        <f>HLOOKUP(O$4,tab!$E$4:$P$49,MATCH($C15,$C$4:$C$49,0),0)</f>
        <v>500</v>
      </c>
      <c r="P15" s="46">
        <f>HLOOKUP(P$4,tab!$E$4:$P$49,MATCH($C15,$C$4:$C$49,0),0)</f>
        <v>500</v>
      </c>
    </row>
    <row r="16" spans="1:16" ht="14.25" customHeight="1" x14ac:dyDescent="0.25">
      <c r="A16" s="3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HLOOKUP(E$4,tab!$E$4:$P$49,MATCH($C16,$C$4:$C$49,0),0)</f>
        <v>0</v>
      </c>
      <c r="F16" s="46">
        <f>HLOOKUP(F$4,tab!$E$4:$P$49,MATCH($C16,$C$4:$C$49,0),0)</f>
        <v>0</v>
      </c>
      <c r="G16" s="46">
        <f>HLOOKUP(G$4,tab!$E$4:$P$49,MATCH($C16,$C$4:$C$49,0),0)</f>
        <v>0</v>
      </c>
      <c r="H16" s="46">
        <f>HLOOKUP(H$4,tab!$E$4:$P$49,MATCH($C16,$C$4:$C$49,0),0)</f>
        <v>0</v>
      </c>
      <c r="I16" s="46">
        <f>HLOOKUP(I$4,tab!$E$4:$P$49,MATCH($C16,$C$4:$C$49,0),0)</f>
        <v>0</v>
      </c>
      <c r="J16" s="46">
        <f>HLOOKUP(J$4,tab!$E$4:$P$49,MATCH($C16,$C$4:$C$49,0),0)</f>
        <v>0</v>
      </c>
      <c r="K16" s="46">
        <f>HLOOKUP(K$4,tab!$E$4:$P$49,MATCH($C16,$C$4:$C$49,0),0)</f>
        <v>0</v>
      </c>
      <c r="L16" s="46">
        <f>HLOOKUP(L$4,tab!$E$4:$P$49,MATCH($C16,$C$4:$C$49,0),0)</f>
        <v>0</v>
      </c>
      <c r="M16" s="46">
        <f>HLOOKUP(M$4,tab!$E$4:$P$49,MATCH($C16,$C$4:$C$49,0),0)</f>
        <v>0</v>
      </c>
      <c r="N16" s="46">
        <f>HLOOKUP(N$4,tab!$E$4:$P$49,MATCH($C16,$C$4:$C$49,0),0)</f>
        <v>0</v>
      </c>
      <c r="O16" s="46">
        <f>HLOOKUP(O$4,tab!$E$4:$P$49,MATCH($C16,$C$4:$C$49,0),0)</f>
        <v>0</v>
      </c>
      <c r="P16" s="46">
        <f>HLOOKUP(P$4,tab!$E$4:$P$49,MATCH($C16,$C$4:$C$49,0),0)</f>
        <v>0</v>
      </c>
    </row>
    <row r="17" spans="1:16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HLOOKUP(E$4,tab!$E$4:$P$49,MATCH($C17,$C$4:$C$49,0),0)</f>
        <v>0</v>
      </c>
      <c r="F17" s="46">
        <f>HLOOKUP(F$4,tab!$E$4:$P$49,MATCH($C17,$C$4:$C$49,0),0)</f>
        <v>0</v>
      </c>
      <c r="G17" s="46">
        <f>HLOOKUP(G$4,tab!$E$4:$P$49,MATCH($C17,$C$4:$C$49,0),0)</f>
        <v>0</v>
      </c>
      <c r="H17" s="46">
        <f>HLOOKUP(H$4,tab!$E$4:$P$49,MATCH($C17,$C$4:$C$49,0),0)</f>
        <v>0</v>
      </c>
      <c r="I17" s="46">
        <f>HLOOKUP(I$4,tab!$E$4:$P$49,MATCH($C17,$C$4:$C$49,0),0)</f>
        <v>0</v>
      </c>
      <c r="J17" s="46">
        <f>HLOOKUP(J$4,tab!$E$4:$P$49,MATCH($C17,$C$4:$C$49,0),0)</f>
        <v>0</v>
      </c>
      <c r="K17" s="46">
        <f>HLOOKUP(K$4,tab!$E$4:$P$49,MATCH($C17,$C$4:$C$49,0),0)</f>
        <v>0</v>
      </c>
      <c r="L17" s="46">
        <f>HLOOKUP(L$4,tab!$E$4:$P$49,MATCH($C17,$C$4:$C$49,0),0)</f>
        <v>0</v>
      </c>
      <c r="M17" s="46">
        <f>HLOOKUP(M$4,tab!$E$4:$P$49,MATCH($C17,$C$4:$C$49,0),0)</f>
        <v>0</v>
      </c>
      <c r="N17" s="46">
        <f>HLOOKUP(N$4,tab!$E$4:$P$49,MATCH($C17,$C$4:$C$49,0),0)</f>
        <v>0</v>
      </c>
      <c r="O17" s="46">
        <f>HLOOKUP(O$4,tab!$E$4:$P$49,MATCH($C17,$C$4:$C$49,0),0)</f>
        <v>0</v>
      </c>
      <c r="P17" s="46">
        <f>HLOOKUP(P$4,tab!$E$4:$P$49,MATCH($C17,$C$4:$C$49,0),0)</f>
        <v>0</v>
      </c>
    </row>
    <row r="18" spans="1:16" ht="14.25" customHeight="1" x14ac:dyDescent="0.25">
      <c r="B18" s="25" t="str">
        <f>tab!B18</f>
        <v>+</v>
      </c>
      <c r="C18" s="26" t="str">
        <f>tab!C18</f>
        <v>Recibos sem especificação da fonte recebedora;</v>
      </c>
      <c r="D18" s="27"/>
      <c r="E18" s="46">
        <f>HLOOKUP(E$4,tab!$E$4:$P$49,MATCH($C18,$C$4:$C$49,0),0)</f>
        <v>0</v>
      </c>
      <c r="F18" s="46">
        <f>HLOOKUP(F$4,tab!$E$4:$P$49,MATCH($C18,$C$4:$C$49,0),0)</f>
        <v>0</v>
      </c>
      <c r="G18" s="46">
        <f>HLOOKUP(G$4,tab!$E$4:$P$49,MATCH($C18,$C$4:$C$49,0),0)</f>
        <v>0</v>
      </c>
      <c r="H18" s="46">
        <f>HLOOKUP(H$4,tab!$E$4:$P$49,MATCH($C18,$C$4:$C$49,0),0)</f>
        <v>0</v>
      </c>
      <c r="I18" s="46">
        <f>HLOOKUP(I$4,tab!$E$4:$P$49,MATCH($C18,$C$4:$C$49,0),0)</f>
        <v>0</v>
      </c>
      <c r="J18" s="46">
        <f>HLOOKUP(J$4,tab!$E$4:$P$49,MATCH($C18,$C$4:$C$49,0),0)</f>
        <v>0</v>
      </c>
      <c r="K18" s="46">
        <f>HLOOKUP(K$4,tab!$E$4:$P$49,MATCH($C18,$C$4:$C$49,0),0)</f>
        <v>0</v>
      </c>
      <c r="L18" s="46">
        <f>HLOOKUP(L$4,tab!$E$4:$P$49,MATCH($C18,$C$4:$C$49,0),0)</f>
        <v>0</v>
      </c>
      <c r="M18" s="46">
        <f>HLOOKUP(M$4,tab!$E$4:$P$49,MATCH($C18,$C$4:$C$49,0),0)</f>
        <v>0</v>
      </c>
      <c r="N18" s="46">
        <f>HLOOKUP(N$4,tab!$E$4:$P$49,MATCH($C18,$C$4:$C$49,0),0)</f>
        <v>0</v>
      </c>
      <c r="O18" s="46">
        <f>HLOOKUP(O$4,tab!$E$4:$P$49,MATCH($C18,$C$4:$C$49,0),0)</f>
        <v>0</v>
      </c>
      <c r="P18" s="46">
        <f>HLOOKUP(P$4,tab!$E$4:$P$49,MATCH($C18,$C$4:$C$49,0),0)</f>
        <v>0</v>
      </c>
    </row>
    <row r="19" spans="1:16" ht="14.25" customHeight="1" x14ac:dyDescent="0.25"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HLOOKUP(E$4,tab!$E$4:$P$49,MATCH($C19,$C$4:$C$49,0),0)</f>
        <v>0</v>
      </c>
      <c r="F19" s="46">
        <f>HLOOKUP(F$4,tab!$E$4:$P$49,MATCH($C19,$C$4:$C$49,0),0)</f>
        <v>0</v>
      </c>
      <c r="G19" s="46">
        <f>HLOOKUP(G$4,tab!$E$4:$P$49,MATCH($C19,$C$4:$C$49,0),0)</f>
        <v>0</v>
      </c>
      <c r="H19" s="46">
        <f>HLOOKUP(H$4,tab!$E$4:$P$49,MATCH($C19,$C$4:$C$49,0),0)</f>
        <v>0</v>
      </c>
      <c r="I19" s="46">
        <f>HLOOKUP(I$4,tab!$E$4:$P$49,MATCH($C19,$C$4:$C$49,0),0)</f>
        <v>0</v>
      </c>
      <c r="J19" s="46">
        <f>HLOOKUP(J$4,tab!$E$4:$P$49,MATCH($C19,$C$4:$C$49,0),0)</f>
        <v>0</v>
      </c>
      <c r="K19" s="46">
        <f>HLOOKUP(K$4,tab!$E$4:$P$49,MATCH($C19,$C$4:$C$49,0),0)</f>
        <v>0</v>
      </c>
      <c r="L19" s="46">
        <f>HLOOKUP(L$4,tab!$E$4:$P$49,MATCH($C19,$C$4:$C$49,0),0)</f>
        <v>0</v>
      </c>
      <c r="M19" s="46">
        <f>HLOOKUP(M$4,tab!$E$4:$P$49,MATCH($C19,$C$4:$C$49,0),0)</f>
        <v>0</v>
      </c>
      <c r="N19" s="46">
        <f>HLOOKUP(N$4,tab!$E$4:$P$49,MATCH($C19,$C$4:$C$49,0),0)</f>
        <v>0</v>
      </c>
      <c r="O19" s="46">
        <f>HLOOKUP(O$4,tab!$E$4:$P$49,MATCH($C19,$C$4:$C$49,0),0)</f>
        <v>0</v>
      </c>
      <c r="P19" s="46">
        <f>HLOOKUP(P$4,tab!$E$4:$P$49,MATCH($C19,$C$4:$C$49,0),0)</f>
        <v>0</v>
      </c>
    </row>
    <row r="20" spans="1:16" ht="14.25" customHeight="1" x14ac:dyDescent="0.25">
      <c r="B20" s="21" t="str">
        <f>tab!B20</f>
        <v>=</v>
      </c>
      <c r="C20" s="22" t="str">
        <f>tab!C20</f>
        <v>Exclusões</v>
      </c>
      <c r="D20" s="23"/>
      <c r="E20" s="45">
        <f t="shared" ref="E20:P20" si="1">SUM(E21:E33)</f>
        <v>-1000</v>
      </c>
      <c r="F20" s="45">
        <f t="shared" si="1"/>
        <v>-1000</v>
      </c>
      <c r="G20" s="45">
        <f t="shared" si="1"/>
        <v>-1000</v>
      </c>
      <c r="H20" s="45">
        <f t="shared" si="1"/>
        <v>-1000</v>
      </c>
      <c r="I20" s="45">
        <f t="shared" si="1"/>
        <v>-1000</v>
      </c>
      <c r="J20" s="45">
        <f t="shared" si="1"/>
        <v>-1000</v>
      </c>
      <c r="K20" s="45">
        <f t="shared" si="1"/>
        <v>-1000</v>
      </c>
      <c r="L20" s="45">
        <f t="shared" si="1"/>
        <v>-1000</v>
      </c>
      <c r="M20" s="45">
        <f t="shared" si="1"/>
        <v>-1000</v>
      </c>
      <c r="N20" s="45">
        <f t="shared" si="1"/>
        <v>-1000</v>
      </c>
      <c r="O20" s="45">
        <f t="shared" si="1"/>
        <v>-1000</v>
      </c>
      <c r="P20" s="45">
        <f t="shared" si="1"/>
        <v>-1000</v>
      </c>
    </row>
    <row r="21" spans="1:16" ht="14.25" customHeight="1" x14ac:dyDescent="0.25">
      <c r="B21" s="25" t="str">
        <f>tab!B21</f>
        <v>-</v>
      </c>
      <c r="C21" s="26" t="str">
        <f>tab!C21</f>
        <v>Ajustes credores de qualquer natureza</v>
      </c>
      <c r="D21" s="27"/>
      <c r="E21" s="46">
        <f>HLOOKUP(E$4,tab!$E$4:$P$49,MATCH($C21,$C$4:$C$49,0),0)</f>
        <v>0</v>
      </c>
      <c r="F21" s="46">
        <f>HLOOKUP(F$4,tab!$E$4:$P$49,MATCH($C21,$C$4:$C$49,0),0)</f>
        <v>0</v>
      </c>
      <c r="G21" s="46">
        <f>HLOOKUP(G$4,tab!$E$4:$P$49,MATCH($C21,$C$4:$C$49,0),0)</f>
        <v>0</v>
      </c>
      <c r="H21" s="46">
        <f>HLOOKUP(H$4,tab!$E$4:$P$49,MATCH($C21,$C$4:$C$49,0),0)</f>
        <v>0</v>
      </c>
      <c r="I21" s="46">
        <f>HLOOKUP(I$4,tab!$E$4:$P$49,MATCH($C21,$C$4:$C$49,0),0)</f>
        <v>0</v>
      </c>
      <c r="J21" s="46">
        <f>HLOOKUP(J$4,tab!$E$4:$P$49,MATCH($C21,$C$4:$C$49,0),0)</f>
        <v>0</v>
      </c>
      <c r="K21" s="46">
        <f>HLOOKUP(K$4,tab!$E$4:$P$49,MATCH($C21,$C$4:$C$49,0),0)</f>
        <v>0</v>
      </c>
      <c r="L21" s="46">
        <f>HLOOKUP(L$4,tab!$E$4:$P$49,MATCH($C21,$C$4:$C$49,0),0)</f>
        <v>0</v>
      </c>
      <c r="M21" s="46">
        <f>HLOOKUP(M$4,tab!$E$4:$P$49,MATCH($C21,$C$4:$C$49,0),0)</f>
        <v>0</v>
      </c>
      <c r="N21" s="46">
        <f>HLOOKUP(N$4,tab!$E$4:$P$49,MATCH($C21,$C$4:$C$49,0),0)</f>
        <v>0</v>
      </c>
      <c r="O21" s="46">
        <f>HLOOKUP(O$4,tab!$E$4:$P$49,MATCH($C21,$C$4:$C$49,0),0)</f>
        <v>0</v>
      </c>
      <c r="P21" s="46">
        <f>HLOOKUP(P$4,tab!$E$4:$P$49,MATCH($C21,$C$4:$C$49,0),0)</f>
        <v>0</v>
      </c>
    </row>
    <row r="22" spans="1:16" ht="14.25" customHeight="1" x14ac:dyDescent="0.25"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HLOOKUP(E$4,tab!$E$4:$P$49,MATCH($C22,$C$4:$C$49,0),0)</f>
        <v>0</v>
      </c>
      <c r="F22" s="46">
        <f>HLOOKUP(F$4,tab!$E$4:$P$49,MATCH($C22,$C$4:$C$49,0),0)</f>
        <v>0</v>
      </c>
      <c r="G22" s="46">
        <f>HLOOKUP(G$4,tab!$E$4:$P$49,MATCH($C22,$C$4:$C$49,0),0)</f>
        <v>0</v>
      </c>
      <c r="H22" s="46">
        <f>HLOOKUP(H$4,tab!$E$4:$P$49,MATCH($C22,$C$4:$C$49,0),0)</f>
        <v>0</v>
      </c>
      <c r="I22" s="46">
        <f>HLOOKUP(I$4,tab!$E$4:$P$49,MATCH($C22,$C$4:$C$49,0),0)</f>
        <v>0</v>
      </c>
      <c r="J22" s="46">
        <f>HLOOKUP(J$4,tab!$E$4:$P$49,MATCH($C22,$C$4:$C$49,0),0)</f>
        <v>0</v>
      </c>
      <c r="K22" s="46">
        <f>HLOOKUP(K$4,tab!$E$4:$P$49,MATCH($C22,$C$4:$C$49,0),0)</f>
        <v>0</v>
      </c>
      <c r="L22" s="46">
        <f>HLOOKUP(L$4,tab!$E$4:$P$49,MATCH($C22,$C$4:$C$49,0),0)</f>
        <v>0</v>
      </c>
      <c r="M22" s="46">
        <f>HLOOKUP(M$4,tab!$E$4:$P$49,MATCH($C22,$C$4:$C$49,0),0)</f>
        <v>0</v>
      </c>
      <c r="N22" s="46">
        <f>HLOOKUP(N$4,tab!$E$4:$P$49,MATCH($C22,$C$4:$C$49,0),0)</f>
        <v>0</v>
      </c>
      <c r="O22" s="46">
        <f>HLOOKUP(O$4,tab!$E$4:$P$49,MATCH($C22,$C$4:$C$49,0),0)</f>
        <v>0</v>
      </c>
      <c r="P22" s="46">
        <f>HLOOKUP(P$4,tab!$E$4:$P$49,MATCH($C22,$C$4:$C$49,0),0)</f>
        <v>0</v>
      </c>
    </row>
    <row r="23" spans="1:16" ht="14.25" customHeight="1" x14ac:dyDescent="0.25">
      <c r="B23" s="25" t="str">
        <f>tab!B23</f>
        <v>-</v>
      </c>
      <c r="C23" s="26" t="str">
        <f>tab!C23</f>
        <v>Despesas de Ágios</v>
      </c>
      <c r="D23" s="27"/>
      <c r="E23" s="46">
        <f>HLOOKUP(E$4,tab!$E$4:$P$49,MATCH($C23,$C$4:$C$49,0),0)</f>
        <v>0</v>
      </c>
      <c r="F23" s="46">
        <f>HLOOKUP(F$4,tab!$E$4:$P$49,MATCH($C23,$C$4:$C$49,0),0)</f>
        <v>0</v>
      </c>
      <c r="G23" s="46">
        <f>HLOOKUP(G$4,tab!$E$4:$P$49,MATCH($C23,$C$4:$C$49,0),0)</f>
        <v>0</v>
      </c>
      <c r="H23" s="46">
        <f>HLOOKUP(H$4,tab!$E$4:$P$49,MATCH($C23,$C$4:$C$49,0),0)</f>
        <v>0</v>
      </c>
      <c r="I23" s="46">
        <f>HLOOKUP(I$4,tab!$E$4:$P$49,MATCH($C23,$C$4:$C$49,0),0)</f>
        <v>0</v>
      </c>
      <c r="J23" s="46">
        <f>HLOOKUP(J$4,tab!$E$4:$P$49,MATCH($C23,$C$4:$C$49,0),0)</f>
        <v>0</v>
      </c>
      <c r="K23" s="46">
        <f>HLOOKUP(K$4,tab!$E$4:$P$49,MATCH($C23,$C$4:$C$49,0),0)</f>
        <v>0</v>
      </c>
      <c r="L23" s="46">
        <f>HLOOKUP(L$4,tab!$E$4:$P$49,MATCH($C23,$C$4:$C$49,0),0)</f>
        <v>0</v>
      </c>
      <c r="M23" s="46">
        <f>HLOOKUP(M$4,tab!$E$4:$P$49,MATCH($C23,$C$4:$C$49,0),0)</f>
        <v>0</v>
      </c>
      <c r="N23" s="46">
        <f>HLOOKUP(N$4,tab!$E$4:$P$49,MATCH($C23,$C$4:$C$49,0),0)</f>
        <v>0</v>
      </c>
      <c r="O23" s="46">
        <f>HLOOKUP(O$4,tab!$E$4:$P$49,MATCH($C23,$C$4:$C$49,0),0)</f>
        <v>0</v>
      </c>
      <c r="P23" s="46">
        <f>HLOOKUP(P$4,tab!$E$4:$P$49,MATCH($C23,$C$4:$C$49,0),0)</f>
        <v>0</v>
      </c>
    </row>
    <row r="24" spans="1:16" ht="14.25" customHeight="1" x14ac:dyDescent="0.25">
      <c r="B24" s="25" t="str">
        <f>tab!B24</f>
        <v>-</v>
      </c>
      <c r="C24" s="26" t="str">
        <f>tab!C24</f>
        <v>Distribuição de Lucros e Dividendos;</v>
      </c>
      <c r="D24" s="27"/>
      <c r="E24" s="46">
        <f>HLOOKUP(E$4,tab!$E$4:$P$49,MATCH($C24,$C$4:$C$49,0),0)</f>
        <v>0</v>
      </c>
      <c r="F24" s="46">
        <f>HLOOKUP(F$4,tab!$E$4:$P$49,MATCH($C24,$C$4:$C$49,0),0)</f>
        <v>0</v>
      </c>
      <c r="G24" s="46">
        <f>HLOOKUP(G$4,tab!$E$4:$P$49,MATCH($C24,$C$4:$C$49,0),0)</f>
        <v>0</v>
      </c>
      <c r="H24" s="46">
        <f>HLOOKUP(H$4,tab!$E$4:$P$49,MATCH($C24,$C$4:$C$49,0),0)</f>
        <v>0</v>
      </c>
      <c r="I24" s="46">
        <f>HLOOKUP(I$4,tab!$E$4:$P$49,MATCH($C24,$C$4:$C$49,0),0)</f>
        <v>0</v>
      </c>
      <c r="J24" s="46">
        <f>HLOOKUP(J$4,tab!$E$4:$P$49,MATCH($C24,$C$4:$C$49,0),0)</f>
        <v>0</v>
      </c>
      <c r="K24" s="46">
        <f>HLOOKUP(K$4,tab!$E$4:$P$49,MATCH($C24,$C$4:$C$49,0),0)</f>
        <v>0</v>
      </c>
      <c r="L24" s="46">
        <f>HLOOKUP(L$4,tab!$E$4:$P$49,MATCH($C24,$C$4:$C$49,0),0)</f>
        <v>0</v>
      </c>
      <c r="M24" s="46">
        <f>HLOOKUP(M$4,tab!$E$4:$P$49,MATCH($C24,$C$4:$C$49,0),0)</f>
        <v>0</v>
      </c>
      <c r="N24" s="46">
        <f>HLOOKUP(N$4,tab!$E$4:$P$49,MATCH($C24,$C$4:$C$49,0),0)</f>
        <v>0</v>
      </c>
      <c r="O24" s="46">
        <f>HLOOKUP(O$4,tab!$E$4:$P$49,MATCH($C24,$C$4:$C$49,0),0)</f>
        <v>0</v>
      </c>
      <c r="P24" s="46">
        <f>HLOOKUP(P$4,tab!$E$4:$P$49,MATCH($C24,$C$4:$C$49,0),0)</f>
        <v>0</v>
      </c>
    </row>
    <row r="25" spans="1:16" ht="14.25" customHeight="1" x14ac:dyDescent="0.25">
      <c r="B25" s="25" t="str">
        <f>tab!B25</f>
        <v>-</v>
      </c>
      <c r="C25" s="26" t="str">
        <f>tab!C25</f>
        <v>Dividendos Coligadas e Controladas</v>
      </c>
      <c r="D25" s="27"/>
      <c r="E25" s="46">
        <f>HLOOKUP(E$4,tab!$E$4:$P$49,MATCH($C25,$C$4:$C$49,0),0)</f>
        <v>0</v>
      </c>
      <c r="F25" s="46">
        <f>HLOOKUP(F$4,tab!$E$4:$P$49,MATCH($C25,$C$4:$C$49,0),0)</f>
        <v>0</v>
      </c>
      <c r="G25" s="46">
        <f>HLOOKUP(G$4,tab!$E$4:$P$49,MATCH($C25,$C$4:$C$49,0),0)</f>
        <v>0</v>
      </c>
      <c r="H25" s="46">
        <f>HLOOKUP(H$4,tab!$E$4:$P$49,MATCH($C25,$C$4:$C$49,0),0)</f>
        <v>0</v>
      </c>
      <c r="I25" s="46">
        <f>HLOOKUP(I$4,tab!$E$4:$P$49,MATCH($C25,$C$4:$C$49,0),0)</f>
        <v>0</v>
      </c>
      <c r="J25" s="46">
        <f>HLOOKUP(J$4,tab!$E$4:$P$49,MATCH($C25,$C$4:$C$49,0),0)</f>
        <v>0</v>
      </c>
      <c r="K25" s="46">
        <f>HLOOKUP(K$4,tab!$E$4:$P$49,MATCH($C25,$C$4:$C$49,0),0)</f>
        <v>0</v>
      </c>
      <c r="L25" s="46">
        <f>HLOOKUP(L$4,tab!$E$4:$P$49,MATCH($C25,$C$4:$C$49,0),0)</f>
        <v>0</v>
      </c>
      <c r="M25" s="46">
        <f>HLOOKUP(M$4,tab!$E$4:$P$49,MATCH($C25,$C$4:$C$49,0),0)</f>
        <v>0</v>
      </c>
      <c r="N25" s="46">
        <f>HLOOKUP(N$4,tab!$E$4:$P$49,MATCH($C25,$C$4:$C$49,0),0)</f>
        <v>0</v>
      </c>
      <c r="O25" s="46">
        <f>HLOOKUP(O$4,tab!$E$4:$P$49,MATCH($C25,$C$4:$C$49,0),0)</f>
        <v>0</v>
      </c>
      <c r="P25" s="46">
        <f>HLOOKUP(P$4,tab!$E$4:$P$49,MATCH($C25,$C$4:$C$49,0),0)</f>
        <v>0</v>
      </c>
    </row>
    <row r="26" spans="1:16" ht="14.25" customHeight="1" x14ac:dyDescent="0.25"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HLOOKUP(E$4,tab!$E$4:$P$49,MATCH($C26,$C$4:$C$49,0),0)</f>
        <v>-1000</v>
      </c>
      <c r="F26" s="46">
        <f>HLOOKUP(F$4,tab!$E$4:$P$49,MATCH($C26,$C$4:$C$49,0),0)</f>
        <v>-1000</v>
      </c>
      <c r="G26" s="46">
        <f>HLOOKUP(G$4,tab!$E$4:$P$49,MATCH($C26,$C$4:$C$49,0),0)</f>
        <v>-1000</v>
      </c>
      <c r="H26" s="46">
        <f>HLOOKUP(H$4,tab!$E$4:$P$49,MATCH($C26,$C$4:$C$49,0),0)</f>
        <v>-1000</v>
      </c>
      <c r="I26" s="46">
        <f>HLOOKUP(I$4,tab!$E$4:$P$49,MATCH($C26,$C$4:$C$49,0),0)</f>
        <v>-1000</v>
      </c>
      <c r="J26" s="46">
        <f>HLOOKUP(J$4,tab!$E$4:$P$49,MATCH($C26,$C$4:$C$49,0),0)</f>
        <v>-1000</v>
      </c>
      <c r="K26" s="46">
        <f>HLOOKUP(K$4,tab!$E$4:$P$49,MATCH($C26,$C$4:$C$49,0),0)</f>
        <v>-1000</v>
      </c>
      <c r="L26" s="46">
        <f>HLOOKUP(L$4,tab!$E$4:$P$49,MATCH($C26,$C$4:$C$49,0),0)</f>
        <v>-1000</v>
      </c>
      <c r="M26" s="46">
        <f>HLOOKUP(M$4,tab!$E$4:$P$49,MATCH($C26,$C$4:$C$49,0),0)</f>
        <v>-1000</v>
      </c>
      <c r="N26" s="46">
        <f>HLOOKUP(N$4,tab!$E$4:$P$49,MATCH($C26,$C$4:$C$49,0),0)</f>
        <v>-1000</v>
      </c>
      <c r="O26" s="46">
        <f>HLOOKUP(O$4,tab!$E$4:$P$49,MATCH($C26,$C$4:$C$49,0),0)</f>
        <v>-1000</v>
      </c>
      <c r="P26" s="46">
        <f>HLOOKUP(P$4,tab!$E$4:$P$49,MATCH($C26,$C$4:$C$49,0),0)</f>
        <v>-1000</v>
      </c>
    </row>
    <row r="27" spans="1:16" ht="14.25" customHeight="1" x14ac:dyDescent="0.25">
      <c r="B27" s="25" t="str">
        <f>tab!B27</f>
        <v>-</v>
      </c>
      <c r="C27" s="26" t="str">
        <f>tab!C27</f>
        <v>Pagamento de Impostos sobre discussão judicial,</v>
      </c>
      <c r="D27" s="27"/>
      <c r="E27" s="46">
        <f>HLOOKUP(E$4,tab!$E$4:$P$49,MATCH($C27,$C$4:$C$49,0),0)</f>
        <v>0</v>
      </c>
      <c r="F27" s="46">
        <f>HLOOKUP(F$4,tab!$E$4:$P$49,MATCH($C27,$C$4:$C$49,0),0)</f>
        <v>0</v>
      </c>
      <c r="G27" s="46">
        <f>HLOOKUP(G$4,tab!$E$4:$P$49,MATCH($C27,$C$4:$C$49,0),0)</f>
        <v>0</v>
      </c>
      <c r="H27" s="46">
        <f>HLOOKUP(H$4,tab!$E$4:$P$49,MATCH($C27,$C$4:$C$49,0),0)</f>
        <v>0</v>
      </c>
      <c r="I27" s="46">
        <f>HLOOKUP(I$4,tab!$E$4:$P$49,MATCH($C27,$C$4:$C$49,0),0)</f>
        <v>0</v>
      </c>
      <c r="J27" s="46">
        <f>HLOOKUP(J$4,tab!$E$4:$P$49,MATCH($C27,$C$4:$C$49,0),0)</f>
        <v>0</v>
      </c>
      <c r="K27" s="46">
        <f>HLOOKUP(K$4,tab!$E$4:$P$49,MATCH($C27,$C$4:$C$49,0),0)</f>
        <v>0</v>
      </c>
      <c r="L27" s="46">
        <f>HLOOKUP(L$4,tab!$E$4:$P$49,MATCH($C27,$C$4:$C$49,0),0)</f>
        <v>0</v>
      </c>
      <c r="M27" s="46">
        <f>HLOOKUP(M$4,tab!$E$4:$P$49,MATCH($C27,$C$4:$C$49,0),0)</f>
        <v>0</v>
      </c>
      <c r="N27" s="46">
        <f>HLOOKUP(N$4,tab!$E$4:$P$49,MATCH($C27,$C$4:$C$49,0),0)</f>
        <v>0</v>
      </c>
      <c r="O27" s="46">
        <f>HLOOKUP(O$4,tab!$E$4:$P$49,MATCH($C27,$C$4:$C$49,0),0)</f>
        <v>0</v>
      </c>
      <c r="P27" s="46">
        <f>HLOOKUP(P$4,tab!$E$4:$P$49,MATCH($C27,$C$4:$C$49,0),0)</f>
        <v>0</v>
      </c>
    </row>
    <row r="28" spans="1:16" ht="14.25" customHeight="1" x14ac:dyDescent="0.25">
      <c r="B28" s="25" t="str">
        <f>tab!B28</f>
        <v>-</v>
      </c>
      <c r="C28" s="26" t="str">
        <f>tab!C28</f>
        <v>Receita de Variação Cambial</v>
      </c>
      <c r="D28" s="27"/>
      <c r="E28" s="46">
        <f>HLOOKUP(E$4,tab!$E$4:$P$49,MATCH($C28,$C$4:$C$49,0),0)</f>
        <v>0</v>
      </c>
      <c r="F28" s="46">
        <f>HLOOKUP(F$4,tab!$E$4:$P$49,MATCH($C28,$C$4:$C$49,0),0)</f>
        <v>0</v>
      </c>
      <c r="G28" s="46">
        <f>HLOOKUP(G$4,tab!$E$4:$P$49,MATCH($C28,$C$4:$C$49,0),0)</f>
        <v>0</v>
      </c>
      <c r="H28" s="46">
        <f>HLOOKUP(H$4,tab!$E$4:$P$49,MATCH($C28,$C$4:$C$49,0),0)</f>
        <v>0</v>
      </c>
      <c r="I28" s="46">
        <f>HLOOKUP(I$4,tab!$E$4:$P$49,MATCH($C28,$C$4:$C$49,0),0)</f>
        <v>0</v>
      </c>
      <c r="J28" s="46">
        <f>HLOOKUP(J$4,tab!$E$4:$P$49,MATCH($C28,$C$4:$C$49,0),0)</f>
        <v>0</v>
      </c>
      <c r="K28" s="46">
        <f>HLOOKUP(K$4,tab!$E$4:$P$49,MATCH($C28,$C$4:$C$49,0),0)</f>
        <v>0</v>
      </c>
      <c r="L28" s="46">
        <f>HLOOKUP(L$4,tab!$E$4:$P$49,MATCH($C28,$C$4:$C$49,0),0)</f>
        <v>0</v>
      </c>
      <c r="M28" s="46">
        <f>HLOOKUP(M$4,tab!$E$4:$P$49,MATCH($C28,$C$4:$C$49,0),0)</f>
        <v>0</v>
      </c>
      <c r="N28" s="46">
        <f>HLOOKUP(N$4,tab!$E$4:$P$49,MATCH($C28,$C$4:$C$49,0),0)</f>
        <v>0</v>
      </c>
      <c r="O28" s="46">
        <f>HLOOKUP(O$4,tab!$E$4:$P$49,MATCH($C28,$C$4:$C$49,0),0)</f>
        <v>0</v>
      </c>
      <c r="P28" s="46">
        <f>HLOOKUP(P$4,tab!$E$4:$P$49,MATCH($C28,$C$4:$C$49,0),0)</f>
        <v>0</v>
      </c>
    </row>
    <row r="29" spans="1:16" ht="14.25" customHeight="1" x14ac:dyDescent="0.25"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HLOOKUP(E$4,tab!$E$4:$P$49,MATCH($C29,$C$4:$C$49,0),0)</f>
        <v>0</v>
      </c>
      <c r="F29" s="46">
        <f>HLOOKUP(F$4,tab!$E$4:$P$49,MATCH($C29,$C$4:$C$49,0),0)</f>
        <v>0</v>
      </c>
      <c r="G29" s="46">
        <f>HLOOKUP(G$4,tab!$E$4:$P$49,MATCH($C29,$C$4:$C$49,0),0)</f>
        <v>0</v>
      </c>
      <c r="H29" s="46">
        <f>HLOOKUP(H$4,tab!$E$4:$P$49,MATCH($C29,$C$4:$C$49,0),0)</f>
        <v>0</v>
      </c>
      <c r="I29" s="46">
        <f>HLOOKUP(I$4,tab!$E$4:$P$49,MATCH($C29,$C$4:$C$49,0),0)</f>
        <v>0</v>
      </c>
      <c r="J29" s="46">
        <f>HLOOKUP(J$4,tab!$E$4:$P$49,MATCH($C29,$C$4:$C$49,0),0)</f>
        <v>0</v>
      </c>
      <c r="K29" s="46">
        <f>HLOOKUP(K$4,tab!$E$4:$P$49,MATCH($C29,$C$4:$C$49,0),0)</f>
        <v>0</v>
      </c>
      <c r="L29" s="46">
        <f>HLOOKUP(L$4,tab!$E$4:$P$49,MATCH($C29,$C$4:$C$49,0),0)</f>
        <v>0</v>
      </c>
      <c r="M29" s="46">
        <f>HLOOKUP(M$4,tab!$E$4:$P$49,MATCH($C29,$C$4:$C$49,0),0)</f>
        <v>0</v>
      </c>
      <c r="N29" s="46">
        <f>HLOOKUP(N$4,tab!$E$4:$P$49,MATCH($C29,$C$4:$C$49,0),0)</f>
        <v>0</v>
      </c>
      <c r="O29" s="46">
        <f>HLOOKUP(O$4,tab!$E$4:$P$49,MATCH($C29,$C$4:$C$49,0),0)</f>
        <v>0</v>
      </c>
      <c r="P29" s="46">
        <f>HLOOKUP(P$4,tab!$E$4:$P$49,MATCH($C29,$C$4:$C$49,0),0)</f>
        <v>0</v>
      </c>
    </row>
    <row r="30" spans="1:16" ht="14.25" customHeight="1" x14ac:dyDescent="0.25">
      <c r="B30" s="25" t="str">
        <f>tab!B30</f>
        <v>-</v>
      </c>
      <c r="C30" s="26" t="str">
        <f>tab!C30</f>
        <v>Receitas que poderiam ser diferidas;</v>
      </c>
      <c r="D30" s="27"/>
      <c r="E30" s="46">
        <f>HLOOKUP(E$4,tab!$E$4:$P$49,MATCH($C30,$C$4:$C$49,0),0)</f>
        <v>0</v>
      </c>
      <c r="F30" s="46">
        <f>HLOOKUP(F$4,tab!$E$4:$P$49,MATCH($C30,$C$4:$C$49,0),0)</f>
        <v>0</v>
      </c>
      <c r="G30" s="46">
        <f>HLOOKUP(G$4,tab!$E$4:$P$49,MATCH($C30,$C$4:$C$49,0),0)</f>
        <v>0</v>
      </c>
      <c r="H30" s="46">
        <f>HLOOKUP(H$4,tab!$E$4:$P$49,MATCH($C30,$C$4:$C$49,0),0)</f>
        <v>0</v>
      </c>
      <c r="I30" s="46">
        <f>HLOOKUP(I$4,tab!$E$4:$P$49,MATCH($C30,$C$4:$C$49,0),0)</f>
        <v>0</v>
      </c>
      <c r="J30" s="46">
        <f>HLOOKUP(J$4,tab!$E$4:$P$49,MATCH($C30,$C$4:$C$49,0),0)</f>
        <v>0</v>
      </c>
      <c r="K30" s="46">
        <f>HLOOKUP(K$4,tab!$E$4:$P$49,MATCH($C30,$C$4:$C$49,0),0)</f>
        <v>0</v>
      </c>
      <c r="L30" s="46">
        <f>HLOOKUP(L$4,tab!$E$4:$P$49,MATCH($C30,$C$4:$C$49,0),0)</f>
        <v>0</v>
      </c>
      <c r="M30" s="46">
        <f>HLOOKUP(M$4,tab!$E$4:$P$49,MATCH($C30,$C$4:$C$49,0),0)</f>
        <v>0</v>
      </c>
      <c r="N30" s="46">
        <f>HLOOKUP(N$4,tab!$E$4:$P$49,MATCH($C30,$C$4:$C$49,0),0)</f>
        <v>0</v>
      </c>
      <c r="O30" s="46">
        <f>HLOOKUP(O$4,tab!$E$4:$P$49,MATCH($C30,$C$4:$C$49,0),0)</f>
        <v>0</v>
      </c>
      <c r="P30" s="46">
        <f>HLOOKUP(P$4,tab!$E$4:$P$49,MATCH($C30,$C$4:$C$49,0),0)</f>
        <v>0</v>
      </c>
    </row>
    <row r="31" spans="1:16" ht="14.25" customHeight="1" x14ac:dyDescent="0.25">
      <c r="B31" s="25" t="str">
        <f>tab!B31</f>
        <v>-</v>
      </c>
      <c r="C31" s="26" t="str">
        <f>tab!C31</f>
        <v>Resultado Positivo de Equivalência Patrimonial</v>
      </c>
      <c r="D31" s="27"/>
      <c r="E31" s="46">
        <f>HLOOKUP(E$4,tab!$E$4:$P$49,MATCH($C31,$C$4:$C$49,0),0)</f>
        <v>0</v>
      </c>
      <c r="F31" s="46">
        <f>HLOOKUP(F$4,tab!$E$4:$P$49,MATCH($C31,$C$4:$C$49,0),0)</f>
        <v>0</v>
      </c>
      <c r="G31" s="46">
        <f>HLOOKUP(G$4,tab!$E$4:$P$49,MATCH($C31,$C$4:$C$49,0),0)</f>
        <v>0</v>
      </c>
      <c r="H31" s="46">
        <f>HLOOKUP(H$4,tab!$E$4:$P$49,MATCH($C31,$C$4:$C$49,0),0)</f>
        <v>0</v>
      </c>
      <c r="I31" s="46">
        <f>HLOOKUP(I$4,tab!$E$4:$P$49,MATCH($C31,$C$4:$C$49,0),0)</f>
        <v>0</v>
      </c>
      <c r="J31" s="46">
        <f>HLOOKUP(J$4,tab!$E$4:$P$49,MATCH($C31,$C$4:$C$49,0),0)</f>
        <v>0</v>
      </c>
      <c r="K31" s="46">
        <f>HLOOKUP(K$4,tab!$E$4:$P$49,MATCH($C31,$C$4:$C$49,0),0)</f>
        <v>0</v>
      </c>
      <c r="L31" s="46">
        <f>HLOOKUP(L$4,tab!$E$4:$P$49,MATCH($C31,$C$4:$C$49,0),0)</f>
        <v>0</v>
      </c>
      <c r="M31" s="46">
        <f>HLOOKUP(M$4,tab!$E$4:$P$49,MATCH($C31,$C$4:$C$49,0),0)</f>
        <v>0</v>
      </c>
      <c r="N31" s="46">
        <f>HLOOKUP(N$4,tab!$E$4:$P$49,MATCH($C31,$C$4:$C$49,0),0)</f>
        <v>0</v>
      </c>
      <c r="O31" s="46">
        <f>HLOOKUP(O$4,tab!$E$4:$P$49,MATCH($C31,$C$4:$C$49,0),0)</f>
        <v>0</v>
      </c>
      <c r="P31" s="46">
        <f>HLOOKUP(P$4,tab!$E$4:$P$49,MATCH($C31,$C$4:$C$49,0),0)</f>
        <v>0</v>
      </c>
    </row>
    <row r="32" spans="1:16" ht="14.25" customHeight="1" x14ac:dyDescent="0.25">
      <c r="B32" s="25" t="str">
        <f>tab!B32</f>
        <v>-</v>
      </c>
      <c r="C32" s="26" t="str">
        <f>tab!C32</f>
        <v>Reversão de Provisões Indedutíveis</v>
      </c>
      <c r="D32" s="27"/>
      <c r="E32" s="46">
        <f>HLOOKUP(E$4,tab!$E$4:$P$49,MATCH($C32,$C$4:$C$49,0),0)</f>
        <v>0</v>
      </c>
      <c r="F32" s="46">
        <f>HLOOKUP(F$4,tab!$E$4:$P$49,MATCH($C32,$C$4:$C$49,0),0)</f>
        <v>0</v>
      </c>
      <c r="G32" s="46">
        <f>HLOOKUP(G$4,tab!$E$4:$P$49,MATCH($C32,$C$4:$C$49,0),0)</f>
        <v>0</v>
      </c>
      <c r="H32" s="46">
        <f>HLOOKUP(H$4,tab!$E$4:$P$49,MATCH($C32,$C$4:$C$49,0),0)</f>
        <v>0</v>
      </c>
      <c r="I32" s="46">
        <f>HLOOKUP(I$4,tab!$E$4:$P$49,MATCH($C32,$C$4:$C$49,0),0)</f>
        <v>0</v>
      </c>
      <c r="J32" s="46">
        <f>HLOOKUP(J$4,tab!$E$4:$P$49,MATCH($C32,$C$4:$C$49,0),0)</f>
        <v>0</v>
      </c>
      <c r="K32" s="46">
        <f>HLOOKUP(K$4,tab!$E$4:$P$49,MATCH($C32,$C$4:$C$49,0),0)</f>
        <v>0</v>
      </c>
      <c r="L32" s="46">
        <f>HLOOKUP(L$4,tab!$E$4:$P$49,MATCH($C32,$C$4:$C$49,0),0)</f>
        <v>0</v>
      </c>
      <c r="M32" s="46">
        <f>HLOOKUP(M$4,tab!$E$4:$P$49,MATCH($C32,$C$4:$C$49,0),0)</f>
        <v>0</v>
      </c>
      <c r="N32" s="46">
        <f>HLOOKUP(N$4,tab!$E$4:$P$49,MATCH($C32,$C$4:$C$49,0),0)</f>
        <v>0</v>
      </c>
      <c r="O32" s="46">
        <f>HLOOKUP(O$4,tab!$E$4:$P$49,MATCH($C32,$C$4:$C$49,0),0)</f>
        <v>0</v>
      </c>
      <c r="P32" s="46">
        <f>HLOOKUP(P$4,tab!$E$4:$P$49,MATCH($C32,$C$4:$C$49,0),0)</f>
        <v>0</v>
      </c>
    </row>
    <row r="33" spans="1:16" ht="14.25" customHeight="1" x14ac:dyDescent="0.25">
      <c r="B33" s="25" t="str">
        <f>tab!B33</f>
        <v>-</v>
      </c>
      <c r="C33" s="26" t="str">
        <f>tab!C33</f>
        <v>Vendas Não Expedidas do Período</v>
      </c>
      <c r="D33" s="27"/>
      <c r="E33" s="46">
        <f>HLOOKUP(E$4,tab!$E$4:$P$49,MATCH($C33,$C$4:$C$49,0),0)</f>
        <v>0</v>
      </c>
      <c r="F33" s="46">
        <f>HLOOKUP(F$4,tab!$E$4:$P$49,MATCH($C33,$C$4:$C$49,0),0)</f>
        <v>0</v>
      </c>
      <c r="G33" s="46">
        <f>HLOOKUP(G$4,tab!$E$4:$P$49,MATCH($C33,$C$4:$C$49,0),0)</f>
        <v>0</v>
      </c>
      <c r="H33" s="46">
        <f>HLOOKUP(H$4,tab!$E$4:$P$49,MATCH($C33,$C$4:$C$49,0),0)</f>
        <v>0</v>
      </c>
      <c r="I33" s="46">
        <f>HLOOKUP(I$4,tab!$E$4:$P$49,MATCH($C33,$C$4:$C$49,0),0)</f>
        <v>0</v>
      </c>
      <c r="J33" s="46">
        <f>HLOOKUP(J$4,tab!$E$4:$P$49,MATCH($C33,$C$4:$C$49,0),0)</f>
        <v>0</v>
      </c>
      <c r="K33" s="46">
        <f>HLOOKUP(K$4,tab!$E$4:$P$49,MATCH($C33,$C$4:$C$49,0),0)</f>
        <v>0</v>
      </c>
      <c r="L33" s="46">
        <f>HLOOKUP(L$4,tab!$E$4:$P$49,MATCH($C33,$C$4:$C$49,0),0)</f>
        <v>0</v>
      </c>
      <c r="M33" s="46">
        <f>HLOOKUP(M$4,tab!$E$4:$P$49,MATCH($C33,$C$4:$C$49,0),0)</f>
        <v>0</v>
      </c>
      <c r="N33" s="46">
        <f>HLOOKUP(N$4,tab!$E$4:$P$49,MATCH($C33,$C$4:$C$49,0),0)</f>
        <v>0</v>
      </c>
      <c r="O33" s="46">
        <f>HLOOKUP(O$4,tab!$E$4:$P$49,MATCH($C33,$C$4:$C$49,0),0)</f>
        <v>0</v>
      </c>
      <c r="P33" s="46">
        <f>HLOOKUP(P$4,tab!$E$4:$P$49,MATCH($C33,$C$4:$C$49,0),0)</f>
        <v>0</v>
      </c>
    </row>
    <row r="34" spans="1:16" ht="14.25" customHeight="1" x14ac:dyDescent="0.25">
      <c r="B34" s="21" t="str">
        <f>tab!B34</f>
        <v>=</v>
      </c>
      <c r="C34" s="22" t="str">
        <f>tab!C34</f>
        <v>Base de Cálculo</v>
      </c>
      <c r="D34" s="23"/>
      <c r="E34" s="45">
        <f t="shared" ref="E34:P34" si="2">SUM(E5,E6,E20)</f>
        <v>600</v>
      </c>
      <c r="F34" s="45">
        <f t="shared" si="2"/>
        <v>25600</v>
      </c>
      <c r="G34" s="45">
        <f t="shared" si="2"/>
        <v>50600</v>
      </c>
      <c r="H34" s="45">
        <f t="shared" si="2"/>
        <v>75600</v>
      </c>
      <c r="I34" s="45">
        <f t="shared" si="2"/>
        <v>100600</v>
      </c>
      <c r="J34" s="45">
        <f t="shared" si="2"/>
        <v>125600</v>
      </c>
      <c r="K34" s="45">
        <f t="shared" si="2"/>
        <v>150600</v>
      </c>
      <c r="L34" s="45">
        <f t="shared" si="2"/>
        <v>175600</v>
      </c>
      <c r="M34" s="45">
        <f t="shared" si="2"/>
        <v>200600</v>
      </c>
      <c r="N34" s="45">
        <f t="shared" si="2"/>
        <v>225600</v>
      </c>
      <c r="O34" s="45">
        <f t="shared" si="2"/>
        <v>250600</v>
      </c>
      <c r="P34" s="45">
        <f t="shared" si="2"/>
        <v>275600</v>
      </c>
    </row>
    <row r="35" spans="1:16" ht="14.25" customHeight="1" x14ac:dyDescent="0.25">
      <c r="B35" s="21" t="str">
        <f>tab!B35</f>
        <v>=</v>
      </c>
      <c r="C35" s="22" t="str">
        <f>tab!C35</f>
        <v>Saldo Prejuízo Fiscal</v>
      </c>
      <c r="D35" s="34"/>
      <c r="E35" s="45">
        <f>tab!E35</f>
        <v>45000</v>
      </c>
      <c r="F35" s="45">
        <f t="shared" ref="F35:P35" si="3">SUM(E35:E36)</f>
        <v>44820</v>
      </c>
      <c r="G35" s="45">
        <f t="shared" si="3"/>
        <v>37140</v>
      </c>
      <c r="H35" s="45">
        <f t="shared" si="3"/>
        <v>21960</v>
      </c>
      <c r="I35" s="45">
        <f t="shared" si="3"/>
        <v>0</v>
      </c>
      <c r="J35" s="45">
        <f t="shared" si="3"/>
        <v>0</v>
      </c>
      <c r="K35" s="45">
        <f t="shared" si="3"/>
        <v>0</v>
      </c>
      <c r="L35" s="45">
        <f t="shared" si="3"/>
        <v>0</v>
      </c>
      <c r="M35" s="45">
        <f t="shared" si="3"/>
        <v>0</v>
      </c>
      <c r="N35" s="45">
        <f t="shared" si="3"/>
        <v>0</v>
      </c>
      <c r="O35" s="45">
        <f t="shared" si="3"/>
        <v>0</v>
      </c>
      <c r="P35" s="45">
        <f t="shared" si="3"/>
        <v>0</v>
      </c>
    </row>
    <row r="36" spans="1:16" ht="14.25" customHeight="1" x14ac:dyDescent="0.25"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 t="shared" ref="E36:P36" si="4">-IF(AND(E35&gt;0,E34*$D$36&lt;E35),E34*$D$36,E35)</f>
        <v>-180</v>
      </c>
      <c r="F36" s="45">
        <f t="shared" si="4"/>
        <v>-7680</v>
      </c>
      <c r="G36" s="45">
        <f t="shared" si="4"/>
        <v>-15180</v>
      </c>
      <c r="H36" s="45">
        <f t="shared" si="4"/>
        <v>-21960</v>
      </c>
      <c r="I36" s="45">
        <f t="shared" si="4"/>
        <v>0</v>
      </c>
      <c r="J36" s="45">
        <f t="shared" si="4"/>
        <v>0</v>
      </c>
      <c r="K36" s="45">
        <f t="shared" si="4"/>
        <v>0</v>
      </c>
      <c r="L36" s="45">
        <f t="shared" si="4"/>
        <v>0</v>
      </c>
      <c r="M36" s="45">
        <f t="shared" si="4"/>
        <v>0</v>
      </c>
      <c r="N36" s="45">
        <f t="shared" si="4"/>
        <v>0</v>
      </c>
      <c r="O36" s="45">
        <f t="shared" si="4"/>
        <v>0</v>
      </c>
      <c r="P36" s="45">
        <f t="shared" si="4"/>
        <v>0</v>
      </c>
    </row>
    <row r="37" spans="1:16" ht="14.25" customHeight="1" x14ac:dyDescent="0.25"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t="shared" ref="E37" ca="1" si="5">HLOOKUP($E$4,INDIRECT($E$4&amp;"!$E$4:$O$49"),MATCH(C37,INDIRECT($E$4&amp;"!$C$4:$C$49"),0),0)</f>
        <v>0</v>
      </c>
      <c r="F37" s="45">
        <f t="shared" ref="F37:P37" si="6">IF(SUM(F34,F36)&gt;20000*$A$4,(SUM(F34,F36)-20000*$A$4)*$D$37,0)</f>
        <v>0</v>
      </c>
      <c r="G37" s="45">
        <f t="shared" si="6"/>
        <v>0</v>
      </c>
      <c r="H37" s="45">
        <f t="shared" si="6"/>
        <v>0</v>
      </c>
      <c r="I37" s="45">
        <f t="shared" si="6"/>
        <v>0</v>
      </c>
      <c r="J37" s="45">
        <f t="shared" si="6"/>
        <v>0</v>
      </c>
      <c r="K37" s="45">
        <f t="shared" si="6"/>
        <v>0</v>
      </c>
      <c r="L37" s="45">
        <f t="shared" si="6"/>
        <v>0</v>
      </c>
      <c r="M37" s="45">
        <f t="shared" si="6"/>
        <v>0</v>
      </c>
      <c r="N37" s="45">
        <f t="shared" si="6"/>
        <v>0</v>
      </c>
      <c r="O37" s="45">
        <f t="shared" si="6"/>
        <v>1060</v>
      </c>
      <c r="P37" s="45">
        <f t="shared" si="6"/>
        <v>3560</v>
      </c>
    </row>
    <row r="38" spans="1:16" ht="14.25" customHeight="1" x14ac:dyDescent="0.25"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 t="shared" ref="E38:P38" si="7">SUM(E34,E36)*$D$38</f>
        <v>63</v>
      </c>
      <c r="F38" s="45">
        <f t="shared" si="7"/>
        <v>2688</v>
      </c>
      <c r="G38" s="45">
        <f t="shared" si="7"/>
        <v>5313</v>
      </c>
      <c r="H38" s="45">
        <f t="shared" si="7"/>
        <v>8046</v>
      </c>
      <c r="I38" s="45">
        <f t="shared" si="7"/>
        <v>15090</v>
      </c>
      <c r="J38" s="45">
        <f t="shared" si="7"/>
        <v>18840</v>
      </c>
      <c r="K38" s="45">
        <f t="shared" si="7"/>
        <v>22590</v>
      </c>
      <c r="L38" s="45">
        <f t="shared" si="7"/>
        <v>26340</v>
      </c>
      <c r="M38" s="45">
        <f t="shared" si="7"/>
        <v>30090</v>
      </c>
      <c r="N38" s="45">
        <f t="shared" si="7"/>
        <v>33840</v>
      </c>
      <c r="O38" s="45">
        <f t="shared" si="7"/>
        <v>37590</v>
      </c>
      <c r="P38" s="45">
        <f t="shared" si="7"/>
        <v>41340</v>
      </c>
    </row>
    <row r="39" spans="1:16" ht="14.25" customHeight="1" x14ac:dyDescent="0.25"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 t="shared" ref="E39:P39" si="8">SUM(E34,E36)*$D$39</f>
        <v>37.799999999999997</v>
      </c>
      <c r="F39" s="45">
        <f t="shared" si="8"/>
        <v>1612.8</v>
      </c>
      <c r="G39" s="45">
        <f t="shared" si="8"/>
        <v>3187.7999999999997</v>
      </c>
      <c r="H39" s="45">
        <f t="shared" si="8"/>
        <v>4827.5999999999995</v>
      </c>
      <c r="I39" s="45">
        <f t="shared" si="8"/>
        <v>9054</v>
      </c>
      <c r="J39" s="45">
        <f t="shared" si="8"/>
        <v>11304</v>
      </c>
      <c r="K39" s="45">
        <f t="shared" si="8"/>
        <v>13554</v>
      </c>
      <c r="L39" s="45">
        <f t="shared" si="8"/>
        <v>15804</v>
      </c>
      <c r="M39" s="45">
        <f t="shared" si="8"/>
        <v>18054</v>
      </c>
      <c r="N39" s="45">
        <f t="shared" si="8"/>
        <v>20304</v>
      </c>
      <c r="O39" s="45">
        <f t="shared" si="8"/>
        <v>22554</v>
      </c>
      <c r="P39" s="45">
        <f t="shared" si="8"/>
        <v>24804</v>
      </c>
    </row>
    <row r="40" spans="1:16" s="7" customFormat="1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3"/>
      <c r="E40" s="45">
        <f t="shared" ref="E40:P40" si="9">SUM(E42:E47)</f>
        <v>-3600</v>
      </c>
      <c r="F40" s="45">
        <f t="shared" ca="1" si="9"/>
        <v>-3600</v>
      </c>
      <c r="G40" s="45">
        <f t="shared" ca="1" si="9"/>
        <v>-4300.8</v>
      </c>
      <c r="H40" s="45">
        <f t="shared" ca="1" si="9"/>
        <v>-8500.7999999999993</v>
      </c>
      <c r="I40" s="45">
        <f t="shared" ca="1" si="9"/>
        <v>-12873.599999999999</v>
      </c>
      <c r="J40" s="45">
        <f t="shared" ca="1" si="9"/>
        <v>-24144</v>
      </c>
      <c r="K40" s="45">
        <f t="shared" ca="1" si="9"/>
        <v>-30144</v>
      </c>
      <c r="L40" s="45">
        <f t="shared" ca="1" si="9"/>
        <v>-36144</v>
      </c>
      <c r="M40" s="45">
        <f t="shared" ca="1" si="9"/>
        <v>-42144</v>
      </c>
      <c r="N40" s="45">
        <f t="shared" ca="1" si="9"/>
        <v>-48144</v>
      </c>
      <c r="O40" s="45">
        <f t="shared" ca="1" si="9"/>
        <v>-54144</v>
      </c>
      <c r="P40" s="45">
        <f t="shared" ca="1" si="9"/>
        <v>-61204</v>
      </c>
    </row>
    <row r="41" spans="1:16" s="7" customFormat="1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HLOOKUP(E$4,tab!$E$4:$P$49,MATCH($C41,$C$4:$C$49,0),0)</f>
        <v>0</v>
      </c>
      <c r="F41" s="46">
        <f>HLOOKUP(F$4,tab!$E$4:$P$49,MATCH($C41,$C$4:$C$49,0),0)</f>
        <v>0</v>
      </c>
      <c r="G41" s="46">
        <f>HLOOKUP(G$4,tab!$E$4:$P$49,MATCH($C41,$C$4:$C$49,0),0)</f>
        <v>0</v>
      </c>
      <c r="H41" s="46">
        <f>HLOOKUP(H$4,tab!$E$4:$P$49,MATCH($C41,$C$4:$C$49,0),0)</f>
        <v>0</v>
      </c>
      <c r="I41" s="46">
        <f>HLOOKUP(I$4,tab!$E$4:$P$49,MATCH($C41,$C$4:$C$49,0),0)</f>
        <v>0</v>
      </c>
      <c r="J41" s="46">
        <f>HLOOKUP(J$4,tab!$E$4:$P$49,MATCH($C41,$C$4:$C$49,0),0)</f>
        <v>0</v>
      </c>
      <c r="K41" s="46">
        <f>HLOOKUP(K$4,tab!$E$4:$P$49,MATCH($C41,$C$4:$C$49,0),0)</f>
        <v>0</v>
      </c>
      <c r="L41" s="46">
        <f>HLOOKUP(L$4,tab!$E$4:$P$49,MATCH($C41,$C$4:$C$49,0),0)</f>
        <v>0</v>
      </c>
      <c r="M41" s="46">
        <f>HLOOKUP(M$4,tab!$E$4:$P$49,MATCH($C41,$C$4:$C$49,0),0)</f>
        <v>0</v>
      </c>
      <c r="N41" s="46">
        <f>HLOOKUP(N$4,tab!$E$4:$P$49,MATCH($C41,$C$4:$C$49,0),0)</f>
        <v>0</v>
      </c>
      <c r="O41" s="46">
        <f>HLOOKUP(O$4,tab!$E$4:$P$49,MATCH($C41,$C$4:$C$49,0),0)</f>
        <v>0</v>
      </c>
      <c r="P41" s="46">
        <f>HLOOKUP(P$4,tab!$E$4:$P$49,MATCH($C41,$C$4:$C$49,0),0)</f>
        <v>0</v>
      </c>
    </row>
    <row r="42" spans="1:16" s="7" customFormat="1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0">LEFT(C42,2)</f>
        <v>IR</v>
      </c>
      <c r="E42" s="46">
        <f>HLOOKUP(E$4,tab!$E$4:$P$49,MATCH($C42,$C$4:$C$49,0),0)</f>
        <v>-100</v>
      </c>
      <c r="F42" s="46">
        <f>HLOOKUP(F$4,tab!$E$4:$P$49,MATCH($C42,$C$4:$C$49,0),0)</f>
        <v>-100</v>
      </c>
      <c r="G42" s="46">
        <f>HLOOKUP(G$4,tab!$E$4:$P$49,MATCH($C42,$C$4:$C$49,0),0)</f>
        <v>-100</v>
      </c>
      <c r="H42" s="46">
        <f>HLOOKUP(H$4,tab!$E$4:$P$49,MATCH($C42,$C$4:$C$49,0),0)</f>
        <v>-100</v>
      </c>
      <c r="I42" s="46">
        <f>HLOOKUP(I$4,tab!$E$4:$P$49,MATCH($C42,$C$4:$C$49,0),0)</f>
        <v>-100</v>
      </c>
      <c r="J42" s="46">
        <f>HLOOKUP(J$4,tab!$E$4:$P$49,MATCH($C42,$C$4:$C$49,0),0)</f>
        <v>-100</v>
      </c>
      <c r="K42" s="46">
        <f>HLOOKUP(K$4,tab!$E$4:$P$49,MATCH($C42,$C$4:$C$49,0),0)</f>
        <v>-100</v>
      </c>
      <c r="L42" s="46">
        <f>HLOOKUP(L$4,tab!$E$4:$P$49,MATCH($C42,$C$4:$C$49,0),0)</f>
        <v>-100</v>
      </c>
      <c r="M42" s="46">
        <f>HLOOKUP(M$4,tab!$E$4:$P$49,MATCH($C42,$C$4:$C$49,0),0)</f>
        <v>-100</v>
      </c>
      <c r="N42" s="46">
        <f>HLOOKUP(N$4,tab!$E$4:$P$49,MATCH($C42,$C$4:$C$49,0),0)</f>
        <v>-100</v>
      </c>
      <c r="O42" s="46">
        <f>HLOOKUP(O$4,tab!$E$4:$P$49,MATCH($C42,$C$4:$C$49,0),0)</f>
        <v>-100</v>
      </c>
      <c r="P42" s="46">
        <f>HLOOKUP(P$4,tab!$E$4:$P$49,MATCH($C42,$C$4:$C$49,0),0)</f>
        <v>-100</v>
      </c>
    </row>
    <row r="43" spans="1:16" s="7" customFormat="1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0"/>
        <v>IR</v>
      </c>
      <c r="E43" s="46">
        <f>HLOOKUP(E$4,tab!$E$4:$P$49,MATCH($C43,$C$4:$C$49,0),0)</f>
        <v>-2000</v>
      </c>
      <c r="F43" s="46">
        <f>HLOOKUP(F$4,tab!$E$4:$P$49,MATCH($C43,$C$4:$C$49,0),0)</f>
        <v>-2000</v>
      </c>
      <c r="G43" s="46">
        <f>HLOOKUP(G$4,tab!$E$4:$P$49,MATCH($C43,$C$4:$C$49,0),0)</f>
        <v>-2000</v>
      </c>
      <c r="H43" s="46">
        <f>HLOOKUP(H$4,tab!$E$4:$P$49,MATCH($C43,$C$4:$C$49,0),0)</f>
        <v>-2000</v>
      </c>
      <c r="I43" s="46">
        <f>HLOOKUP(I$4,tab!$E$4:$P$49,MATCH($C43,$C$4:$C$49,0),0)</f>
        <v>-2000</v>
      </c>
      <c r="J43" s="46">
        <f>HLOOKUP(J$4,tab!$E$4:$P$49,MATCH($C43,$C$4:$C$49,0),0)</f>
        <v>-2000</v>
      </c>
      <c r="K43" s="46">
        <f>HLOOKUP(K$4,tab!$E$4:$P$49,MATCH($C43,$C$4:$C$49,0),0)</f>
        <v>-2000</v>
      </c>
      <c r="L43" s="46">
        <f>HLOOKUP(L$4,tab!$E$4:$P$49,MATCH($C43,$C$4:$C$49,0),0)</f>
        <v>-2000</v>
      </c>
      <c r="M43" s="46">
        <f>HLOOKUP(M$4,tab!$E$4:$P$49,MATCH($C43,$C$4:$C$49,0),0)</f>
        <v>-2000</v>
      </c>
      <c r="N43" s="46">
        <f>HLOOKUP(N$4,tab!$E$4:$P$49,MATCH($C43,$C$4:$C$49,0),0)</f>
        <v>-2000</v>
      </c>
      <c r="O43" s="46">
        <f>HLOOKUP(O$4,tab!$E$4:$P$49,MATCH($C43,$C$4:$C$49,0),0)</f>
        <v>-2000</v>
      </c>
      <c r="P43" s="46">
        <f>HLOOKUP(P$4,tab!$E$4:$P$49,MATCH($C43,$C$4:$C$49,0),0)</f>
        <v>-2000</v>
      </c>
    </row>
    <row r="44" spans="1:16" s="7" customFormat="1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0"/>
        <v>IR</v>
      </c>
      <c r="E44" s="46">
        <f>HLOOKUP(E$4,tab!$E$4:$P$49,MATCH($C44,$C$4:$C$49,0),0)</f>
        <v>0</v>
      </c>
      <c r="F44" s="46">
        <f ca="1">-E48</f>
        <v>0</v>
      </c>
      <c r="G44" s="46">
        <f ca="1">-SUM($E$48:F48)</f>
        <v>-588</v>
      </c>
      <c r="H44" s="46">
        <f ca="1">-SUM($E$48:G48)</f>
        <v>-3213</v>
      </c>
      <c r="I44" s="46">
        <f ca="1">-SUM($E$48:H48)</f>
        <v>-5946</v>
      </c>
      <c r="J44" s="46">
        <f ca="1">-SUM($E$48:I48)</f>
        <v>-12990</v>
      </c>
      <c r="K44" s="46">
        <f ca="1">-SUM($E$48:J48)</f>
        <v>-16740</v>
      </c>
      <c r="L44" s="46">
        <f ca="1">-SUM($E$48:K48)</f>
        <v>-20490</v>
      </c>
      <c r="M44" s="46">
        <f ca="1">-SUM($E$48:L48)</f>
        <v>-24240</v>
      </c>
      <c r="N44" s="46">
        <f ca="1">-SUM($E$48:M48)</f>
        <v>-27990</v>
      </c>
      <c r="O44" s="46">
        <f ca="1">-SUM($E$48:N48)</f>
        <v>-31740</v>
      </c>
      <c r="P44" s="46">
        <f ca="1">-SUM($E$48:O48)</f>
        <v>-36550</v>
      </c>
    </row>
    <row r="45" spans="1:16" s="7" customFormat="1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0"/>
        <v>CS</v>
      </c>
      <c r="E45" s="46">
        <f>HLOOKUP(E$4,tab!$E$4:$P$49,MATCH($C45,$C$4:$C$49,0),0)</f>
        <v>0</v>
      </c>
      <c r="F45" s="46">
        <f>HLOOKUP(F$4,tab!$E$4:$P$49,MATCH($C45,$C$4:$C$49,0),0)</f>
        <v>0</v>
      </c>
      <c r="G45" s="46">
        <f>HLOOKUP(G$4,tab!$E$4:$P$49,MATCH($C45,$C$4:$C$49,0),0)</f>
        <v>0</v>
      </c>
      <c r="H45" s="46">
        <f>HLOOKUP(H$4,tab!$E$4:$P$49,MATCH($C45,$C$4:$C$49,0),0)</f>
        <v>0</v>
      </c>
      <c r="I45" s="46">
        <f>HLOOKUP(I$4,tab!$E$4:$P$49,MATCH($C45,$C$4:$C$49,0),0)</f>
        <v>0</v>
      </c>
      <c r="J45" s="46">
        <f>HLOOKUP(J$4,tab!$E$4:$P$49,MATCH($C45,$C$4:$C$49,0),0)</f>
        <v>0</v>
      </c>
      <c r="K45" s="46">
        <f>HLOOKUP(K$4,tab!$E$4:$P$49,MATCH($C45,$C$4:$C$49,0),0)</f>
        <v>0</v>
      </c>
      <c r="L45" s="46">
        <f>HLOOKUP(L$4,tab!$E$4:$P$49,MATCH($C45,$C$4:$C$49,0),0)</f>
        <v>0</v>
      </c>
      <c r="M45" s="46">
        <f>HLOOKUP(M$4,tab!$E$4:$P$49,MATCH($C45,$C$4:$C$49,0),0)</f>
        <v>0</v>
      </c>
      <c r="N45" s="46">
        <f>HLOOKUP(N$4,tab!$E$4:$P$49,MATCH($C45,$C$4:$C$49,0),0)</f>
        <v>0</v>
      </c>
      <c r="O45" s="46">
        <f>HLOOKUP(O$4,tab!$E$4:$P$49,MATCH($C45,$C$4:$C$49,0),0)</f>
        <v>0</v>
      </c>
      <c r="P45" s="46">
        <f>HLOOKUP(P$4,tab!$E$4:$P$49,MATCH($C45,$C$4:$C$49,0),0)</f>
        <v>0</v>
      </c>
    </row>
    <row r="46" spans="1:16" s="7" customFormat="1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0"/>
        <v>CS</v>
      </c>
      <c r="E46" s="46">
        <f>HLOOKUP(E$4,tab!$E$4:$P$49,MATCH($C46,$C$4:$C$49,0),0)</f>
        <v>-1500</v>
      </c>
      <c r="F46" s="46">
        <f>HLOOKUP(F$4,tab!$E$4:$P$49,MATCH($C46,$C$4:$C$49,0),0)</f>
        <v>-1500</v>
      </c>
      <c r="G46" s="46">
        <f>HLOOKUP(G$4,tab!$E$4:$P$49,MATCH($C46,$C$4:$C$49,0),0)</f>
        <v>-1500</v>
      </c>
      <c r="H46" s="46">
        <f>HLOOKUP(H$4,tab!$E$4:$P$49,MATCH($C46,$C$4:$C$49,0),0)</f>
        <v>-1500</v>
      </c>
      <c r="I46" s="46">
        <f>HLOOKUP(I$4,tab!$E$4:$P$49,MATCH($C46,$C$4:$C$49,0),0)</f>
        <v>-1500</v>
      </c>
      <c r="J46" s="46">
        <f>HLOOKUP(J$4,tab!$E$4:$P$49,MATCH($C46,$C$4:$C$49,0),0)</f>
        <v>-1500</v>
      </c>
      <c r="K46" s="46">
        <f>HLOOKUP(K$4,tab!$E$4:$P$49,MATCH($C46,$C$4:$C$49,0),0)</f>
        <v>-1500</v>
      </c>
      <c r="L46" s="46">
        <f>HLOOKUP(L$4,tab!$E$4:$P$49,MATCH($C46,$C$4:$C$49,0),0)</f>
        <v>-1500</v>
      </c>
      <c r="M46" s="46">
        <f>HLOOKUP(M$4,tab!$E$4:$P$49,MATCH($C46,$C$4:$C$49,0),0)</f>
        <v>-1500</v>
      </c>
      <c r="N46" s="46">
        <f>HLOOKUP(N$4,tab!$E$4:$P$49,MATCH($C46,$C$4:$C$49,0),0)</f>
        <v>-1500</v>
      </c>
      <c r="O46" s="46">
        <f>HLOOKUP(O$4,tab!$E$4:$P$49,MATCH($C46,$C$4:$C$49,0),0)</f>
        <v>-1500</v>
      </c>
      <c r="P46" s="46">
        <f>HLOOKUP(P$4,tab!$E$4:$P$49,MATCH($C46,$C$4:$C$49,0),0)</f>
        <v>-1500</v>
      </c>
    </row>
    <row r="47" spans="1:16" s="7" customFormat="1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0"/>
        <v>CS</v>
      </c>
      <c r="E47" s="46">
        <f>HLOOKUP(E$4,tab!$E$4:$P$49,MATCH($C47,$C$4:$C$49,0),0)</f>
        <v>0</v>
      </c>
      <c r="F47" s="46">
        <f ca="1">-E49</f>
        <v>0</v>
      </c>
      <c r="G47" s="46">
        <f ca="1">-SUM($E$49:F49)</f>
        <v>-112.79999999999995</v>
      </c>
      <c r="H47" s="46">
        <f ca="1">-SUM($E$49:G49)</f>
        <v>-1687.7999999999997</v>
      </c>
      <c r="I47" s="46">
        <f ca="1">-SUM($E$49:H49)</f>
        <v>-3327.5999999999995</v>
      </c>
      <c r="J47" s="46">
        <f ca="1">-SUM($E$49:I49)</f>
        <v>-7554</v>
      </c>
      <c r="K47" s="46">
        <f ca="1">-SUM($E$49:J49)</f>
        <v>-9804</v>
      </c>
      <c r="L47" s="46">
        <f ca="1">-SUM($E$49:K49)</f>
        <v>-12054</v>
      </c>
      <c r="M47" s="46">
        <f ca="1">-SUM($E$49:L49)</f>
        <v>-14304</v>
      </c>
      <c r="N47" s="46">
        <f ca="1">-SUM($E$49:M49)</f>
        <v>-16554</v>
      </c>
      <c r="O47" s="46">
        <f ca="1">-SUM($E$49:N49)</f>
        <v>-18804</v>
      </c>
      <c r="P47" s="46">
        <f ca="1">-SUM($E$49:O49)</f>
        <v>-21054</v>
      </c>
    </row>
    <row r="48" spans="1:16" ht="14.25" customHeight="1" x14ac:dyDescent="0.25">
      <c r="B48" s="21" t="str">
        <f>tab!B48</f>
        <v>=</v>
      </c>
      <c r="C48" s="22" t="str">
        <f>tab!C48</f>
        <v>Imposto de Renda a Pagar</v>
      </c>
      <c r="D48" s="23"/>
      <c r="E48" s="45">
        <f ca="1">IF(SUM(E37,E38,SUMIF($D$41:E47,"IR",E$41:E$47))&gt;0,SUM(E37,E38,SUMIF($D$41:E47,"IR",E$41:E$47)),0)</f>
        <v>0</v>
      </c>
      <c r="F48" s="45">
        <f ca="1">IF(SUM(F37,F38,SUMIF($D$41:F47,"IR",F$41:F$47))&gt;0,SUM(F37,F38,SUMIF($D$41:F47,"IR",F$41:F$47)),0)</f>
        <v>588</v>
      </c>
      <c r="G48" s="45">
        <f ca="1">IF(SUM(G37,G38,SUMIF($D$41:G47,"IR",G$41:G$47))&gt;0,SUM(G37,G38,SUMIF($D$41:G47,"IR",G$41:G$47)),0)</f>
        <v>2625</v>
      </c>
      <c r="H48" s="45">
        <f ca="1">IF(SUM(H37,H38,SUMIF($D$41:H47,"IR",H$41:H$47))&gt;0,SUM(H37,H38,SUMIF($D$41:H47,"IR",H$41:H$47)),0)</f>
        <v>2733</v>
      </c>
      <c r="I48" s="45">
        <f ca="1">IF(SUM(I37,I38,SUMIF($D$41:I47,"IR",I$41:I$47))&gt;0,SUM(I37,I38,SUMIF($D$41:I47,"IR",I$41:I$47)),0)</f>
        <v>7044</v>
      </c>
      <c r="J48" s="45">
        <f ca="1">IF(SUM(J37,J38,SUMIF($D$41:J47,"IR",J$41:J$47))&gt;0,SUM(J37,J38,SUMIF($D$41:J47,"IR",J$41:J$47)),0)</f>
        <v>3750</v>
      </c>
      <c r="K48" s="45">
        <f ca="1">IF(SUM(K37,K38,SUMIF($D$41:K47,"IR",K$41:K$47))&gt;0,SUM(K37,K38,SUMIF($D$41:K47,"IR",K$41:K$47)),0)</f>
        <v>3750</v>
      </c>
      <c r="L48" s="45">
        <f ca="1">IF(SUM(L37,L38,SUMIF($D$41:L47,"IR",L$41:L$47))&gt;0,SUM(L37,L38,SUMIF($D$41:L47,"IR",L$41:L$47)),0)</f>
        <v>3750</v>
      </c>
      <c r="M48" s="45">
        <f ca="1">IF(SUM(M37,M38,SUMIF($D$41:M47,"IR",M$41:M$47))&gt;0,SUM(M37,M38,SUMIF($D$41:M47,"IR",M$41:M$47)),0)</f>
        <v>3750</v>
      </c>
      <c r="N48" s="45">
        <f ca="1">IF(SUM(N37,N38,SUMIF($D$41:N47,"IR",N$41:N$47))&gt;0,SUM(N37,N38,SUMIF($D$41:N47,"IR",N$41:N$47)),0)</f>
        <v>3750</v>
      </c>
      <c r="O48" s="45">
        <f ca="1">IF(SUM(O37,O38,SUMIF($D$41:O47,"IR",O$41:O$47))&gt;0,SUM(O37,O38,SUMIF($D$41:O47,"IR",O$41:O$47)),0)</f>
        <v>4810</v>
      </c>
      <c r="P48" s="45">
        <f ca="1">IF(SUM(P37,P38,SUMIF($D$41:P47,"IR",P$41:P$47))&gt;0,SUM(P37,P38,SUMIF($D$41:P47,"IR",P$41:P$47)),0)</f>
        <v>6250</v>
      </c>
    </row>
    <row r="49" spans="2:16" ht="14.25" customHeight="1" x14ac:dyDescent="0.25">
      <c r="B49" s="21" t="str">
        <f>tab!B49</f>
        <v>=</v>
      </c>
      <c r="C49" s="22" t="str">
        <f>tab!C49</f>
        <v>Contribuição Social a Pagar</v>
      </c>
      <c r="D49" s="23"/>
      <c r="E49" s="45">
        <f ca="1">IF(SUM(E39,SUMIF($D$41:E47,"CS",E$41:E$47))&gt;0,SUM(E39,SUMIF($D$41:E47,"CS",E$41:E$47)),0)</f>
        <v>0</v>
      </c>
      <c r="F49" s="45">
        <f ca="1">IF(SUM(F39,SUMIF($D$41:F47,"CS",F$41:F$47))&gt;0,SUM(F39,SUMIF($D$41:F47,"CS",F$41:F$47)),0)</f>
        <v>112.79999999999995</v>
      </c>
      <c r="G49" s="45">
        <f ca="1">IF(SUM(G39,SUMIF($D$41:G47,"CS",G$41:G$47))&gt;0,SUM(G39,SUMIF($D$41:G47,"CS",G$41:G$47)),0)</f>
        <v>1574.9999999999998</v>
      </c>
      <c r="H49" s="45">
        <f ca="1">IF(SUM(H39,SUMIF($D$41:H47,"CS",H$41:H$47))&gt;0,SUM(H39,SUMIF($D$41:H47,"CS",H$41:H$47)),0)</f>
        <v>1639.7999999999997</v>
      </c>
      <c r="I49" s="45">
        <f ca="1">IF(SUM(I39,SUMIF($D$41:I47,"CS",I$41:I$47))&gt;0,SUM(I39,SUMIF($D$41:I47,"CS",I$41:I$47)),0)</f>
        <v>4226.4000000000005</v>
      </c>
      <c r="J49" s="45">
        <f ca="1">IF(SUM(J39,SUMIF($D$41:J47,"CS",J$41:J$47))&gt;0,SUM(J39,SUMIF($D$41:J47,"CS",J$41:J$47)),0)</f>
        <v>2250</v>
      </c>
      <c r="K49" s="45">
        <f ca="1">IF(SUM(K39,SUMIF($D$41:K47,"CS",K$41:K$47))&gt;0,SUM(K39,SUMIF($D$41:K47,"CS",K$41:K$47)),0)</f>
        <v>2250</v>
      </c>
      <c r="L49" s="45">
        <f ca="1">IF(SUM(L39,SUMIF($D$41:L47,"CS",L$41:L$47))&gt;0,SUM(L39,SUMIF($D$41:L47,"CS",L$41:L$47)),0)</f>
        <v>2250</v>
      </c>
      <c r="M49" s="45">
        <f ca="1">IF(SUM(M39,SUMIF($D$41:M47,"CS",M$41:M$47))&gt;0,SUM(M39,SUMIF($D$41:M47,"CS",M$41:M$47)),0)</f>
        <v>2250</v>
      </c>
      <c r="N49" s="45">
        <f ca="1">IF(SUM(N39,SUMIF($D$41:N47,"CS",N$41:N$47))&gt;0,SUM(N39,SUMIF($D$41:N47,"CS",N$41:N$47)),0)</f>
        <v>2250</v>
      </c>
      <c r="O49" s="45">
        <f ca="1">IF(SUM(O39,SUMIF($D$41:O47,"CS",O$41:O$47))&gt;0,SUM(O39,SUMIF($D$41:O47,"CS",O$41:O$47)),0)</f>
        <v>2250</v>
      </c>
      <c r="P49" s="45">
        <f ca="1">IF(SUM(P39,SUMIF($D$41:P47,"CS",P$41:P$47))&gt;0,SUM(P39,SUMIF($D$41:P47,"CS",P$41:P$47)),0)</f>
        <v>2250</v>
      </c>
    </row>
  </sheetData>
  <sheetProtection selectLockedCells="1" selectUnlockedCells="1"/>
  <dataValidations count="1">
    <dataValidation type="list" allowBlank="1" showInputMessage="1" showErrorMessage="1" sqref="B3" xr:uid="{1E984941-2CE0-4BD3-9E94-16D1323A0896}">
      <formula1>$A$4:$A$16</formula1>
    </dataValidation>
  </dataValidations>
  <pageMargins left="0.25" right="0.25" top="0.75" bottom="0.75" header="0.3" footer="0.3"/>
  <pageSetup paperSize="9" orientation="landscape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9"/>
  <sheetViews>
    <sheetView showGridLines="0" workbookViewId="0">
      <pane ySplit="4" topLeftCell="A38" activePane="bottomLeft" state="frozen"/>
      <selection pane="bottomLeft" activeCell="A2" sqref="A2:XFD2"/>
    </sheetView>
  </sheetViews>
  <sheetFormatPr defaultRowHeight="14.25" x14ac:dyDescent="0.25"/>
  <cols>
    <col min="1" max="1" width="3.7109375" style="6" customWidth="1"/>
    <col min="2" max="2" width="7.140625" style="7" customWidth="1"/>
    <col min="3" max="3" width="61.5703125" style="7" bestFit="1" customWidth="1"/>
    <col min="4" max="4" width="7.140625" style="7" bestFit="1" customWidth="1"/>
    <col min="5" max="16" width="12.7109375" style="7" customWidth="1"/>
    <col min="17" max="17" width="11.5703125" style="7" bestFit="1" customWidth="1"/>
    <col min="18" max="16384" width="9.140625" style="7"/>
  </cols>
  <sheetData>
    <row r="1" spans="1:17" s="8" customFormat="1" ht="39" customHeight="1" x14ac:dyDescent="0.25"/>
    <row r="2" spans="1:17" s="4" customFormat="1" x14ac:dyDescent="0.25">
      <c r="A2" s="11"/>
    </row>
    <row r="3" spans="1:17" ht="30" customHeight="1" thickBot="1" x14ac:dyDescent="0.3">
      <c r="A3" s="2"/>
      <c r="B3" s="47" t="s">
        <v>70</v>
      </c>
    </row>
    <row r="4" spans="1:17" s="4" customFormat="1" ht="15" thickTop="1" x14ac:dyDescent="0.25">
      <c r="A4" s="10">
        <v>12</v>
      </c>
      <c r="B4" s="20" t="s">
        <v>7</v>
      </c>
      <c r="C4" s="20" t="s">
        <v>8</v>
      </c>
      <c r="D4" s="20" t="s">
        <v>9</v>
      </c>
      <c r="E4" s="20" t="s">
        <v>10</v>
      </c>
      <c r="F4" s="20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16</v>
      </c>
      <c r="L4" s="20" t="s">
        <v>17</v>
      </c>
      <c r="M4" s="20" t="s">
        <v>18</v>
      </c>
      <c r="N4" s="20" t="s">
        <v>19</v>
      </c>
      <c r="O4" s="20" t="s">
        <v>20</v>
      </c>
      <c r="P4" s="20" t="s">
        <v>21</v>
      </c>
      <c r="Q4" s="20" t="s">
        <v>71</v>
      </c>
    </row>
    <row r="5" spans="1:17" s="4" customFormat="1" ht="14.25" customHeight="1" x14ac:dyDescent="0.25">
      <c r="A5" s="10">
        <v>2018</v>
      </c>
      <c r="B5" s="21" t="str">
        <f>tab!B5</f>
        <v>=</v>
      </c>
      <c r="C5" s="22" t="str">
        <f>tab!C5</f>
        <v>Lucro Acumulado</v>
      </c>
      <c r="D5" s="23"/>
      <c r="E5" s="45">
        <f>dez!E5</f>
        <v>1000</v>
      </c>
      <c r="F5" s="45">
        <f>dez!F5</f>
        <v>26000</v>
      </c>
      <c r="G5" s="45">
        <f>dez!G5</f>
        <v>51000</v>
      </c>
      <c r="H5" s="45">
        <f>dez!H5</f>
        <v>76000</v>
      </c>
      <c r="I5" s="45">
        <f>dez!I5</f>
        <v>101000</v>
      </c>
      <c r="J5" s="45">
        <f>dez!J5</f>
        <v>126000</v>
      </c>
      <c r="K5" s="45">
        <f>dez!K5</f>
        <v>151000</v>
      </c>
      <c r="L5" s="45">
        <f>dez!L5</f>
        <v>176000</v>
      </c>
      <c r="M5" s="45">
        <f>dez!M5</f>
        <v>201000</v>
      </c>
      <c r="N5" s="45">
        <f>dez!N5</f>
        <v>226000</v>
      </c>
      <c r="O5" s="45">
        <f>dez!O5</f>
        <v>251000</v>
      </c>
      <c r="P5" s="45">
        <f>dez!P5</f>
        <v>276000</v>
      </c>
      <c r="Q5" s="45">
        <f>AVERAGE(E5:P5)</f>
        <v>138500</v>
      </c>
    </row>
    <row r="6" spans="1:17" s="4" customFormat="1" ht="14.25" customHeight="1" x14ac:dyDescent="0.25">
      <c r="A6" s="30">
        <v>2019</v>
      </c>
      <c r="B6" s="21" t="str">
        <f>tab!B6</f>
        <v>=</v>
      </c>
      <c r="C6" s="22" t="str">
        <f>tab!C6</f>
        <v>Adições</v>
      </c>
      <c r="D6" s="23"/>
      <c r="E6" s="45">
        <f>dez!E6</f>
        <v>600</v>
      </c>
      <c r="F6" s="45">
        <f>dez!F6</f>
        <v>600</v>
      </c>
      <c r="G6" s="45">
        <f>dez!G6</f>
        <v>600</v>
      </c>
      <c r="H6" s="45">
        <f>dez!H6</f>
        <v>600</v>
      </c>
      <c r="I6" s="45">
        <f>dez!I6</f>
        <v>600</v>
      </c>
      <c r="J6" s="45">
        <f>dez!J6</f>
        <v>600</v>
      </c>
      <c r="K6" s="45">
        <f>dez!K6</f>
        <v>600</v>
      </c>
      <c r="L6" s="45">
        <f>dez!L6</f>
        <v>600</v>
      </c>
      <c r="M6" s="45">
        <f>dez!M6</f>
        <v>600</v>
      </c>
      <c r="N6" s="45">
        <f>dez!N6</f>
        <v>600</v>
      </c>
      <c r="O6" s="45">
        <f>dez!O6</f>
        <v>600</v>
      </c>
      <c r="P6" s="45">
        <f>dez!P6</f>
        <v>600</v>
      </c>
      <c r="Q6" s="45">
        <f t="shared" ref="Q6:Q49" si="0">AVERAGE(E6:P6)</f>
        <v>600</v>
      </c>
    </row>
    <row r="7" spans="1:17" ht="14.25" customHeight="1" x14ac:dyDescent="0.25">
      <c r="A7" s="10">
        <v>2020</v>
      </c>
      <c r="B7" s="25" t="str">
        <f>tab!B7</f>
        <v>+</v>
      </c>
      <c r="C7" s="26" t="str">
        <f>tab!C7</f>
        <v>Ajustes Devedores de Qualquer Natureza</v>
      </c>
      <c r="D7" s="27"/>
      <c r="E7" s="46">
        <f>dez!E7</f>
        <v>0</v>
      </c>
      <c r="F7" s="46">
        <f>dez!F7</f>
        <v>0</v>
      </c>
      <c r="G7" s="46">
        <f>dez!G7</f>
        <v>0</v>
      </c>
      <c r="H7" s="46">
        <f>dez!H7</f>
        <v>0</v>
      </c>
      <c r="I7" s="46">
        <f>dez!I7</f>
        <v>0</v>
      </c>
      <c r="J7" s="46">
        <f>dez!J7</f>
        <v>0</v>
      </c>
      <c r="K7" s="46">
        <f>dez!K7</f>
        <v>0</v>
      </c>
      <c r="L7" s="46">
        <f>dez!L7</f>
        <v>0</v>
      </c>
      <c r="M7" s="46">
        <f>dez!M7</f>
        <v>0</v>
      </c>
      <c r="N7" s="46">
        <f>dez!N7</f>
        <v>0</v>
      </c>
      <c r="O7" s="46">
        <f>dez!O7</f>
        <v>0</v>
      </c>
      <c r="P7" s="46">
        <f>dez!P7</f>
        <v>0</v>
      </c>
      <c r="Q7" s="46">
        <f t="shared" si="0"/>
        <v>0</v>
      </c>
    </row>
    <row r="8" spans="1:17" ht="14.25" customHeight="1" x14ac:dyDescent="0.25">
      <c r="A8" s="10">
        <v>2021</v>
      </c>
      <c r="B8" s="25" t="str">
        <f>tab!B8</f>
        <v>+</v>
      </c>
      <c r="C8" s="26" t="str">
        <f>tab!C8</f>
        <v>Despesas de Variação Cambial</v>
      </c>
      <c r="D8" s="27"/>
      <c r="E8" s="46">
        <f>dez!E8</f>
        <v>0</v>
      </c>
      <c r="F8" s="46">
        <f>dez!F8</f>
        <v>0</v>
      </c>
      <c r="G8" s="46">
        <f>dez!G8</f>
        <v>0</v>
      </c>
      <c r="H8" s="46">
        <f>dez!H8</f>
        <v>0</v>
      </c>
      <c r="I8" s="46">
        <f>dez!I8</f>
        <v>0</v>
      </c>
      <c r="J8" s="46">
        <f>dez!J8</f>
        <v>0</v>
      </c>
      <c r="K8" s="46">
        <f>dez!K8</f>
        <v>0</v>
      </c>
      <c r="L8" s="46">
        <f>dez!L8</f>
        <v>0</v>
      </c>
      <c r="M8" s="46">
        <f>dez!M8</f>
        <v>0</v>
      </c>
      <c r="N8" s="46">
        <f>dez!N8</f>
        <v>0</v>
      </c>
      <c r="O8" s="46">
        <f>dez!O8</f>
        <v>0</v>
      </c>
      <c r="P8" s="46">
        <f>dez!P8</f>
        <v>0</v>
      </c>
      <c r="Q8" s="46">
        <f t="shared" si="0"/>
        <v>0</v>
      </c>
    </row>
    <row r="9" spans="1:17" ht="14.25" customHeight="1" x14ac:dyDescent="0.25">
      <c r="A9" s="10">
        <v>2022</v>
      </c>
      <c r="B9" s="25" t="str">
        <f>tab!B9</f>
        <v>+</v>
      </c>
      <c r="C9" s="26" t="str">
        <f>tab!C9</f>
        <v>Despesas Particulares dos Sócios e Dirigentes;</v>
      </c>
      <c r="D9" s="27"/>
      <c r="E9" s="46">
        <f>dez!E9</f>
        <v>0</v>
      </c>
      <c r="F9" s="46">
        <f>dez!F9</f>
        <v>0</v>
      </c>
      <c r="G9" s="46">
        <f>dez!G9</f>
        <v>0</v>
      </c>
      <c r="H9" s="46">
        <f>dez!H9</f>
        <v>0</v>
      </c>
      <c r="I9" s="46">
        <f>dez!I9</f>
        <v>0</v>
      </c>
      <c r="J9" s="46">
        <f>dez!J9</f>
        <v>0</v>
      </c>
      <c r="K9" s="46">
        <f>dez!K9</f>
        <v>0</v>
      </c>
      <c r="L9" s="46">
        <f>dez!L9</f>
        <v>0</v>
      </c>
      <c r="M9" s="46">
        <f>dez!M9</f>
        <v>0</v>
      </c>
      <c r="N9" s="46">
        <f>dez!N9</f>
        <v>0</v>
      </c>
      <c r="O9" s="46">
        <f>dez!O9</f>
        <v>0</v>
      </c>
      <c r="P9" s="46">
        <f>dez!P9</f>
        <v>0</v>
      </c>
      <c r="Q9" s="46">
        <f t="shared" si="0"/>
        <v>0</v>
      </c>
    </row>
    <row r="10" spans="1:17" ht="14.25" customHeight="1" x14ac:dyDescent="0.25">
      <c r="A10" s="10">
        <v>2023</v>
      </c>
      <c r="B10" s="25" t="str">
        <f>tab!B10</f>
        <v>+</v>
      </c>
      <c r="C10" s="26" t="str">
        <f>tab!C10</f>
        <v>Doações e Brindes;</v>
      </c>
      <c r="D10" s="27"/>
      <c r="E10" s="46">
        <f>dez!E10</f>
        <v>100</v>
      </c>
      <c r="F10" s="46">
        <f>dez!F10</f>
        <v>100</v>
      </c>
      <c r="G10" s="46">
        <f>dez!G10</f>
        <v>100</v>
      </c>
      <c r="H10" s="46">
        <f>dez!H10</f>
        <v>100</v>
      </c>
      <c r="I10" s="46">
        <f>dez!I10</f>
        <v>100</v>
      </c>
      <c r="J10" s="46">
        <f>dez!J10</f>
        <v>100</v>
      </c>
      <c r="K10" s="46">
        <f>dez!K10</f>
        <v>100</v>
      </c>
      <c r="L10" s="46">
        <f>dez!L10</f>
        <v>100</v>
      </c>
      <c r="M10" s="46">
        <f>dez!M10</f>
        <v>100</v>
      </c>
      <c r="N10" s="46">
        <f>dez!N10</f>
        <v>100</v>
      </c>
      <c r="O10" s="46">
        <f>dez!O10</f>
        <v>100</v>
      </c>
      <c r="P10" s="46">
        <f>dez!P10</f>
        <v>100</v>
      </c>
      <c r="Q10" s="46">
        <f t="shared" si="0"/>
        <v>100</v>
      </c>
    </row>
    <row r="11" spans="1:17" ht="14.25" customHeight="1" x14ac:dyDescent="0.25">
      <c r="A11" s="10">
        <v>2024</v>
      </c>
      <c r="B11" s="25" t="str">
        <f>tab!B11</f>
        <v>+</v>
      </c>
      <c r="C11" s="26" t="str">
        <f>tab!C11</f>
        <v>Impostos Não Pagos em Discussão Judicial;</v>
      </c>
      <c r="D11" s="27"/>
      <c r="E11" s="46">
        <f>dez!E11</f>
        <v>0</v>
      </c>
      <c r="F11" s="46">
        <f>dez!F11</f>
        <v>0</v>
      </c>
      <c r="G11" s="46">
        <f>dez!G11</f>
        <v>0</v>
      </c>
      <c r="H11" s="46">
        <f>dez!H11</f>
        <v>0</v>
      </c>
      <c r="I11" s="46">
        <f>dez!I11</f>
        <v>0</v>
      </c>
      <c r="J11" s="46">
        <f>dez!J11</f>
        <v>0</v>
      </c>
      <c r="K11" s="46">
        <f>dez!K11</f>
        <v>0</v>
      </c>
      <c r="L11" s="46">
        <f>dez!L11</f>
        <v>0</v>
      </c>
      <c r="M11" s="46">
        <f>dez!M11</f>
        <v>0</v>
      </c>
      <c r="N11" s="46">
        <f>dez!N11</f>
        <v>0</v>
      </c>
      <c r="O11" s="46">
        <f>dez!O11</f>
        <v>0</v>
      </c>
      <c r="P11" s="46">
        <f>dez!P11</f>
        <v>0</v>
      </c>
      <c r="Q11" s="46">
        <f t="shared" si="0"/>
        <v>0</v>
      </c>
    </row>
    <row r="12" spans="1:17" ht="14.25" customHeight="1" x14ac:dyDescent="0.25">
      <c r="A12" s="10">
        <v>2025</v>
      </c>
      <c r="B12" s="25" t="str">
        <f>tab!B12</f>
        <v>+</v>
      </c>
      <c r="C12" s="26" t="str">
        <f>tab!C12</f>
        <v>Impostos Não Pagos por Iniciativa da Empresa;</v>
      </c>
      <c r="D12" s="27"/>
      <c r="E12" s="46">
        <f>dez!E12</f>
        <v>0</v>
      </c>
      <c r="F12" s="46">
        <f>dez!F12</f>
        <v>0</v>
      </c>
      <c r="G12" s="46">
        <f>dez!G12</f>
        <v>0</v>
      </c>
      <c r="H12" s="46">
        <f>dez!H12</f>
        <v>0</v>
      </c>
      <c r="I12" s="46">
        <f>dez!I12</f>
        <v>0</v>
      </c>
      <c r="J12" s="46">
        <f>dez!J12</f>
        <v>0</v>
      </c>
      <c r="K12" s="46">
        <f>dez!K12</f>
        <v>0</v>
      </c>
      <c r="L12" s="46">
        <f>dez!L12</f>
        <v>0</v>
      </c>
      <c r="M12" s="46">
        <f>dez!M12</f>
        <v>0</v>
      </c>
      <c r="N12" s="46">
        <f>dez!N12</f>
        <v>0</v>
      </c>
      <c r="O12" s="46">
        <f>dez!O12</f>
        <v>0</v>
      </c>
      <c r="P12" s="46">
        <f>dez!P12</f>
        <v>0</v>
      </c>
      <c r="Q12" s="46">
        <f t="shared" si="0"/>
        <v>0</v>
      </c>
    </row>
    <row r="13" spans="1:17" ht="14.25" customHeight="1" x14ac:dyDescent="0.25">
      <c r="A13" s="10">
        <v>2026</v>
      </c>
      <c r="B13" s="25" t="str">
        <f>tab!B13</f>
        <v>+</v>
      </c>
      <c r="C13" s="26" t="str">
        <f>tab!C13</f>
        <v>Lucro Inflacionário apurado até 31/12/1995;</v>
      </c>
      <c r="D13" s="27"/>
      <c r="E13" s="46">
        <f>dez!E13</f>
        <v>0</v>
      </c>
      <c r="F13" s="46">
        <f>dez!F13</f>
        <v>0</v>
      </c>
      <c r="G13" s="46">
        <f>dez!G13</f>
        <v>0</v>
      </c>
      <c r="H13" s="46">
        <f>dez!H13</f>
        <v>0</v>
      </c>
      <c r="I13" s="46">
        <f>dez!I13</f>
        <v>0</v>
      </c>
      <c r="J13" s="46">
        <f>dez!J13</f>
        <v>0</v>
      </c>
      <c r="K13" s="46">
        <f>dez!K13</f>
        <v>0</v>
      </c>
      <c r="L13" s="46">
        <f>dez!L13</f>
        <v>0</v>
      </c>
      <c r="M13" s="46">
        <f>dez!M13</f>
        <v>0</v>
      </c>
      <c r="N13" s="46">
        <f>dez!N13</f>
        <v>0</v>
      </c>
      <c r="O13" s="46">
        <f>dez!O13</f>
        <v>0</v>
      </c>
      <c r="P13" s="46">
        <f>dez!P13</f>
        <v>0</v>
      </c>
      <c r="Q13" s="46">
        <f t="shared" si="0"/>
        <v>0</v>
      </c>
    </row>
    <row r="14" spans="1:17" ht="14.25" customHeight="1" x14ac:dyDescent="0.25">
      <c r="A14" s="10">
        <v>2027</v>
      </c>
      <c r="B14" s="25" t="str">
        <f>tab!B14</f>
        <v>+</v>
      </c>
      <c r="C14" s="26" t="str">
        <f>tab!C14</f>
        <v>Multas Contratuais</v>
      </c>
      <c r="D14" s="27"/>
      <c r="E14" s="46">
        <f>dez!E14</f>
        <v>0</v>
      </c>
      <c r="F14" s="46">
        <f>dez!F14</f>
        <v>0</v>
      </c>
      <c r="G14" s="46">
        <f>dez!G14</f>
        <v>0</v>
      </c>
      <c r="H14" s="46">
        <f>dez!H14</f>
        <v>0</v>
      </c>
      <c r="I14" s="46">
        <f>dez!I14</f>
        <v>0</v>
      </c>
      <c r="J14" s="46">
        <f>dez!J14</f>
        <v>0</v>
      </c>
      <c r="K14" s="46">
        <f>dez!K14</f>
        <v>0</v>
      </c>
      <c r="L14" s="46">
        <f>dez!L14</f>
        <v>0</v>
      </c>
      <c r="M14" s="46">
        <f>dez!M14</f>
        <v>0</v>
      </c>
      <c r="N14" s="46">
        <f>dez!N14</f>
        <v>0</v>
      </c>
      <c r="O14" s="46">
        <f>dez!O14</f>
        <v>0</v>
      </c>
      <c r="P14" s="46">
        <f>dez!P14</f>
        <v>0</v>
      </c>
      <c r="Q14" s="46">
        <f t="shared" si="0"/>
        <v>0</v>
      </c>
    </row>
    <row r="15" spans="1:17" ht="14.25" customHeight="1" x14ac:dyDescent="0.25">
      <c r="A15" s="10">
        <v>2028</v>
      </c>
      <c r="B15" s="25" t="str">
        <f>tab!B15</f>
        <v>+</v>
      </c>
      <c r="C15" s="26" t="str">
        <f>tab!C15</f>
        <v>Multas Punitivas (Transito, Imetro, Ibama, Multas sobre ação fiscal)</v>
      </c>
      <c r="D15" s="27"/>
      <c r="E15" s="46">
        <f>dez!E15</f>
        <v>500</v>
      </c>
      <c r="F15" s="46">
        <f>dez!F15</f>
        <v>500</v>
      </c>
      <c r="G15" s="46">
        <f>dez!G15</f>
        <v>500</v>
      </c>
      <c r="H15" s="46">
        <f>dez!H15</f>
        <v>500</v>
      </c>
      <c r="I15" s="46">
        <f>dez!I15</f>
        <v>500</v>
      </c>
      <c r="J15" s="46">
        <f>dez!J15</f>
        <v>500</v>
      </c>
      <c r="K15" s="46">
        <f>dez!K15</f>
        <v>500</v>
      </c>
      <c r="L15" s="46">
        <f>dez!L15</f>
        <v>500</v>
      </c>
      <c r="M15" s="46">
        <f>dez!M15</f>
        <v>500</v>
      </c>
      <c r="N15" s="46">
        <f>dez!N15</f>
        <v>500</v>
      </c>
      <c r="O15" s="46">
        <f>dez!O15</f>
        <v>500</v>
      </c>
      <c r="P15" s="46">
        <f>dez!P15</f>
        <v>500</v>
      </c>
      <c r="Q15" s="46">
        <f t="shared" si="0"/>
        <v>500</v>
      </c>
    </row>
    <row r="16" spans="1:17" ht="14.25" customHeight="1" x14ac:dyDescent="0.25">
      <c r="A16" s="10">
        <v>2029</v>
      </c>
      <c r="B16" s="25" t="str">
        <f>tab!B16</f>
        <v>+</v>
      </c>
      <c r="C16" s="26" t="str">
        <f>tab!C16</f>
        <v>Orçamentos, Pedidos e qualquer documento não idôneo;</v>
      </c>
      <c r="D16" s="27"/>
      <c r="E16" s="46">
        <f>dez!E16</f>
        <v>0</v>
      </c>
      <c r="F16" s="46">
        <f>dez!F16</f>
        <v>0</v>
      </c>
      <c r="G16" s="46">
        <f>dez!G16</f>
        <v>0</v>
      </c>
      <c r="H16" s="46">
        <f>dez!H16</f>
        <v>0</v>
      </c>
      <c r="I16" s="46">
        <f>dez!I16</f>
        <v>0</v>
      </c>
      <c r="J16" s="46">
        <f>dez!J16</f>
        <v>0</v>
      </c>
      <c r="K16" s="46">
        <f>dez!K16</f>
        <v>0</v>
      </c>
      <c r="L16" s="46">
        <f>dez!L16</f>
        <v>0</v>
      </c>
      <c r="M16" s="46">
        <f>dez!M16</f>
        <v>0</v>
      </c>
      <c r="N16" s="46">
        <f>dez!N16</f>
        <v>0</v>
      </c>
      <c r="O16" s="46">
        <f>dez!O16</f>
        <v>0</v>
      </c>
      <c r="P16" s="46">
        <f>dez!P16</f>
        <v>0</v>
      </c>
      <c r="Q16" s="46">
        <f t="shared" si="0"/>
        <v>0</v>
      </c>
    </row>
    <row r="17" spans="1:17" ht="14.25" customHeight="1" x14ac:dyDescent="0.25">
      <c r="A17" s="10">
        <v>2030</v>
      </c>
      <c r="B17" s="25" t="str">
        <f>tab!B17</f>
        <v>+</v>
      </c>
      <c r="C17" s="26" t="str">
        <f>tab!C17</f>
        <v>Provisões Indedutíveis (perdas, frete, propaganda)</v>
      </c>
      <c r="D17" s="27"/>
      <c r="E17" s="46">
        <f>dez!E17</f>
        <v>0</v>
      </c>
      <c r="F17" s="46">
        <f>dez!F17</f>
        <v>0</v>
      </c>
      <c r="G17" s="46">
        <f>dez!G17</f>
        <v>0</v>
      </c>
      <c r="H17" s="46">
        <f>dez!H17</f>
        <v>0</v>
      </c>
      <c r="I17" s="46">
        <f>dez!I17</f>
        <v>0</v>
      </c>
      <c r="J17" s="46">
        <f>dez!J17</f>
        <v>0</v>
      </c>
      <c r="K17" s="46">
        <f>dez!K17</f>
        <v>0</v>
      </c>
      <c r="L17" s="46">
        <f>dez!L17</f>
        <v>0</v>
      </c>
      <c r="M17" s="46">
        <f>dez!M17</f>
        <v>0</v>
      </c>
      <c r="N17" s="46">
        <f>dez!N17</f>
        <v>0</v>
      </c>
      <c r="O17" s="46">
        <f>dez!O17</f>
        <v>0</v>
      </c>
      <c r="P17" s="46">
        <f>dez!P17</f>
        <v>0</v>
      </c>
      <c r="Q17" s="46">
        <f t="shared" si="0"/>
        <v>0</v>
      </c>
    </row>
    <row r="18" spans="1:17" ht="14.25" customHeight="1" x14ac:dyDescent="0.25">
      <c r="A18" s="10"/>
      <c r="B18" s="25" t="str">
        <f>tab!B18</f>
        <v>+</v>
      </c>
      <c r="C18" s="26" t="str">
        <f>tab!C18</f>
        <v>Recibos sem especificação da fonte recebedora;</v>
      </c>
      <c r="D18" s="27"/>
      <c r="E18" s="46">
        <f>dez!E18</f>
        <v>0</v>
      </c>
      <c r="F18" s="46">
        <f>dez!F18</f>
        <v>0</v>
      </c>
      <c r="G18" s="46">
        <f>dez!G18</f>
        <v>0</v>
      </c>
      <c r="H18" s="46">
        <f>dez!H18</f>
        <v>0</v>
      </c>
      <c r="I18" s="46">
        <f>dez!I18</f>
        <v>0</v>
      </c>
      <c r="J18" s="46">
        <f>dez!J18</f>
        <v>0</v>
      </c>
      <c r="K18" s="46">
        <f>dez!K18</f>
        <v>0</v>
      </c>
      <c r="L18" s="46">
        <f>dez!L18</f>
        <v>0</v>
      </c>
      <c r="M18" s="46">
        <f>dez!M18</f>
        <v>0</v>
      </c>
      <c r="N18" s="46">
        <f>dez!N18</f>
        <v>0</v>
      </c>
      <c r="O18" s="46">
        <f>dez!O18</f>
        <v>0</v>
      </c>
      <c r="P18" s="46">
        <f>dez!P18</f>
        <v>0</v>
      </c>
      <c r="Q18" s="46">
        <f t="shared" si="0"/>
        <v>0</v>
      </c>
    </row>
    <row r="19" spans="1:17" ht="14.25" customHeight="1" x14ac:dyDescent="0.25">
      <c r="A19" s="10"/>
      <c r="B19" s="25" t="str">
        <f>tab!B19</f>
        <v>+</v>
      </c>
      <c r="C19" s="26" t="str">
        <f>tab!C19</f>
        <v>Verbas Rescisórias em desacordo com a legislação trabalhista vigente</v>
      </c>
      <c r="D19" s="27"/>
      <c r="E19" s="46">
        <f>dez!E19</f>
        <v>0</v>
      </c>
      <c r="F19" s="46">
        <f>dez!F19</f>
        <v>0</v>
      </c>
      <c r="G19" s="46">
        <f>dez!G19</f>
        <v>0</v>
      </c>
      <c r="H19" s="46">
        <f>dez!H19</f>
        <v>0</v>
      </c>
      <c r="I19" s="46">
        <f>dez!I19</f>
        <v>0</v>
      </c>
      <c r="J19" s="46">
        <f>dez!J19</f>
        <v>0</v>
      </c>
      <c r="K19" s="46">
        <f>dez!K19</f>
        <v>0</v>
      </c>
      <c r="L19" s="46">
        <f>dez!L19</f>
        <v>0</v>
      </c>
      <c r="M19" s="46">
        <f>dez!M19</f>
        <v>0</v>
      </c>
      <c r="N19" s="46">
        <f>dez!N19</f>
        <v>0</v>
      </c>
      <c r="O19" s="46">
        <f>dez!O19</f>
        <v>0</v>
      </c>
      <c r="P19" s="46">
        <f>dez!P19</f>
        <v>0</v>
      </c>
      <c r="Q19" s="46">
        <f t="shared" si="0"/>
        <v>0</v>
      </c>
    </row>
    <row r="20" spans="1:17" s="4" customFormat="1" ht="14.25" customHeight="1" x14ac:dyDescent="0.25">
      <c r="A20" s="10"/>
      <c r="B20" s="21" t="str">
        <f>tab!B20</f>
        <v>=</v>
      </c>
      <c r="C20" s="22" t="str">
        <f>tab!C20</f>
        <v>Exclusões</v>
      </c>
      <c r="D20" s="23"/>
      <c r="E20" s="45">
        <f>dez!E20</f>
        <v>-1000</v>
      </c>
      <c r="F20" s="45">
        <f>dez!F20</f>
        <v>-1000</v>
      </c>
      <c r="G20" s="45">
        <f>dez!G20</f>
        <v>-1000</v>
      </c>
      <c r="H20" s="45">
        <f>dez!H20</f>
        <v>-1000</v>
      </c>
      <c r="I20" s="45">
        <f>dez!I20</f>
        <v>-1000</v>
      </c>
      <c r="J20" s="45">
        <f>dez!J20</f>
        <v>-1000</v>
      </c>
      <c r="K20" s="45">
        <f>dez!K20</f>
        <v>-1000</v>
      </c>
      <c r="L20" s="45">
        <f>dez!L20</f>
        <v>-1000</v>
      </c>
      <c r="M20" s="45">
        <f>dez!M20</f>
        <v>-1000</v>
      </c>
      <c r="N20" s="45">
        <f>dez!N20</f>
        <v>-1000</v>
      </c>
      <c r="O20" s="45">
        <f>dez!O20</f>
        <v>-1000</v>
      </c>
      <c r="P20" s="45">
        <f>dez!P20</f>
        <v>-1000</v>
      </c>
      <c r="Q20" s="45">
        <f t="shared" si="0"/>
        <v>-1000</v>
      </c>
    </row>
    <row r="21" spans="1:17" ht="14.25" customHeight="1" x14ac:dyDescent="0.25">
      <c r="A21" s="10"/>
      <c r="B21" s="25" t="str">
        <f>tab!B21</f>
        <v>-</v>
      </c>
      <c r="C21" s="26" t="str">
        <f>tab!C21</f>
        <v>Ajustes credores de qualquer natureza</v>
      </c>
      <c r="D21" s="27"/>
      <c r="E21" s="46">
        <f>dez!E21</f>
        <v>0</v>
      </c>
      <c r="F21" s="46">
        <f>dez!F21</f>
        <v>0</v>
      </c>
      <c r="G21" s="46">
        <f>dez!G21</f>
        <v>0</v>
      </c>
      <c r="H21" s="46">
        <f>dez!H21</f>
        <v>0</v>
      </c>
      <c r="I21" s="46">
        <f>dez!I21</f>
        <v>0</v>
      </c>
      <c r="J21" s="46">
        <f>dez!J21</f>
        <v>0</v>
      </c>
      <c r="K21" s="46">
        <f>dez!K21</f>
        <v>0</v>
      </c>
      <c r="L21" s="46">
        <f>dez!L21</f>
        <v>0</v>
      </c>
      <c r="M21" s="46">
        <f>dez!M21</f>
        <v>0</v>
      </c>
      <c r="N21" s="46">
        <f>dez!N21</f>
        <v>0</v>
      </c>
      <c r="O21" s="46">
        <f>dez!O21</f>
        <v>0</v>
      </c>
      <c r="P21" s="46">
        <f>dez!P21</f>
        <v>0</v>
      </c>
      <c r="Q21" s="46">
        <f t="shared" si="0"/>
        <v>0</v>
      </c>
    </row>
    <row r="22" spans="1:17" ht="14.25" customHeight="1" x14ac:dyDescent="0.25">
      <c r="A22" s="10"/>
      <c r="B22" s="25" t="str">
        <f>tab!B22</f>
        <v>-</v>
      </c>
      <c r="C22" s="26" t="str">
        <f>tab!C22</f>
        <v>Decisão Favorável - Processos Judiciais Tributários</v>
      </c>
      <c r="D22" s="27"/>
      <c r="E22" s="46">
        <f>dez!E22</f>
        <v>0</v>
      </c>
      <c r="F22" s="46">
        <f>dez!F22</f>
        <v>0</v>
      </c>
      <c r="G22" s="46">
        <f>dez!G22</f>
        <v>0</v>
      </c>
      <c r="H22" s="46">
        <f>dez!H22</f>
        <v>0</v>
      </c>
      <c r="I22" s="46">
        <f>dez!I22</f>
        <v>0</v>
      </c>
      <c r="J22" s="46">
        <f>dez!J22</f>
        <v>0</v>
      </c>
      <c r="K22" s="46">
        <f>dez!K22</f>
        <v>0</v>
      </c>
      <c r="L22" s="46">
        <f>dez!L22</f>
        <v>0</v>
      </c>
      <c r="M22" s="46">
        <f>dez!M22</f>
        <v>0</v>
      </c>
      <c r="N22" s="46">
        <f>dez!N22</f>
        <v>0</v>
      </c>
      <c r="O22" s="46">
        <f>dez!O22</f>
        <v>0</v>
      </c>
      <c r="P22" s="46">
        <f>dez!P22</f>
        <v>0</v>
      </c>
      <c r="Q22" s="46">
        <f t="shared" si="0"/>
        <v>0</v>
      </c>
    </row>
    <row r="23" spans="1:17" ht="14.25" customHeight="1" x14ac:dyDescent="0.25">
      <c r="A23" s="10"/>
      <c r="B23" s="25" t="str">
        <f>tab!B23</f>
        <v>-</v>
      </c>
      <c r="C23" s="26" t="str">
        <f>tab!C23</f>
        <v>Despesas de Ágios</v>
      </c>
      <c r="D23" s="27"/>
      <c r="E23" s="46">
        <f>dez!E23</f>
        <v>0</v>
      </c>
      <c r="F23" s="46">
        <f>dez!F23</f>
        <v>0</v>
      </c>
      <c r="G23" s="46">
        <f>dez!G23</f>
        <v>0</v>
      </c>
      <c r="H23" s="46">
        <f>dez!H23</f>
        <v>0</v>
      </c>
      <c r="I23" s="46">
        <f>dez!I23</f>
        <v>0</v>
      </c>
      <c r="J23" s="46">
        <f>dez!J23</f>
        <v>0</v>
      </c>
      <c r="K23" s="46">
        <f>dez!K23</f>
        <v>0</v>
      </c>
      <c r="L23" s="46">
        <f>dez!L23</f>
        <v>0</v>
      </c>
      <c r="M23" s="46">
        <f>dez!M23</f>
        <v>0</v>
      </c>
      <c r="N23" s="46">
        <f>dez!N23</f>
        <v>0</v>
      </c>
      <c r="O23" s="46">
        <f>dez!O23</f>
        <v>0</v>
      </c>
      <c r="P23" s="46">
        <f>dez!P23</f>
        <v>0</v>
      </c>
      <c r="Q23" s="46">
        <f t="shared" si="0"/>
        <v>0</v>
      </c>
    </row>
    <row r="24" spans="1:17" ht="14.25" customHeight="1" x14ac:dyDescent="0.25">
      <c r="A24" s="10"/>
      <c r="B24" s="25" t="str">
        <f>tab!B24</f>
        <v>-</v>
      </c>
      <c r="C24" s="26" t="str">
        <f>tab!C24</f>
        <v>Distribuição de Lucros e Dividendos;</v>
      </c>
      <c r="D24" s="27"/>
      <c r="E24" s="46">
        <f>dez!E24</f>
        <v>0</v>
      </c>
      <c r="F24" s="46">
        <f>dez!F24</f>
        <v>0</v>
      </c>
      <c r="G24" s="46">
        <f>dez!G24</f>
        <v>0</v>
      </c>
      <c r="H24" s="46">
        <f>dez!H24</f>
        <v>0</v>
      </c>
      <c r="I24" s="46">
        <f>dez!I24</f>
        <v>0</v>
      </c>
      <c r="J24" s="46">
        <f>dez!J24</f>
        <v>0</v>
      </c>
      <c r="K24" s="46">
        <f>dez!K24</f>
        <v>0</v>
      </c>
      <c r="L24" s="46">
        <f>dez!L24</f>
        <v>0</v>
      </c>
      <c r="M24" s="46">
        <f>dez!M24</f>
        <v>0</v>
      </c>
      <c r="N24" s="46">
        <f>dez!N24</f>
        <v>0</v>
      </c>
      <c r="O24" s="46">
        <f>dez!O24</f>
        <v>0</v>
      </c>
      <c r="P24" s="46">
        <f>dez!P24</f>
        <v>0</v>
      </c>
      <c r="Q24" s="46">
        <f t="shared" si="0"/>
        <v>0</v>
      </c>
    </row>
    <row r="25" spans="1:17" ht="14.25" customHeight="1" x14ac:dyDescent="0.25">
      <c r="A25" s="10"/>
      <c r="B25" s="25" t="str">
        <f>tab!B25</f>
        <v>-</v>
      </c>
      <c r="C25" s="26" t="str">
        <f>tab!C25</f>
        <v>Dividendos Coligadas e Controladas</v>
      </c>
      <c r="D25" s="27"/>
      <c r="E25" s="46">
        <f>dez!E25</f>
        <v>0</v>
      </c>
      <c r="F25" s="46">
        <f>dez!F25</f>
        <v>0</v>
      </c>
      <c r="G25" s="46">
        <f>dez!G25</f>
        <v>0</v>
      </c>
      <c r="H25" s="46">
        <f>dez!H25</f>
        <v>0</v>
      </c>
      <c r="I25" s="46">
        <f>dez!I25</f>
        <v>0</v>
      </c>
      <c r="J25" s="46">
        <f>dez!J25</f>
        <v>0</v>
      </c>
      <c r="K25" s="46">
        <f>dez!K25</f>
        <v>0</v>
      </c>
      <c r="L25" s="46">
        <f>dez!L25</f>
        <v>0</v>
      </c>
      <c r="M25" s="46">
        <f>dez!M25</f>
        <v>0</v>
      </c>
      <c r="N25" s="46">
        <f>dez!N25</f>
        <v>0</v>
      </c>
      <c r="O25" s="46">
        <f>dez!O25</f>
        <v>0</v>
      </c>
      <c r="P25" s="46">
        <f>dez!P25</f>
        <v>0</v>
      </c>
      <c r="Q25" s="46">
        <f t="shared" si="0"/>
        <v>0</v>
      </c>
    </row>
    <row r="26" spans="1:17" ht="14.25" customHeight="1" x14ac:dyDescent="0.25">
      <c r="A26" s="10"/>
      <c r="B26" s="25" t="str">
        <f>tab!B26</f>
        <v>-</v>
      </c>
      <c r="C26" s="26" t="str">
        <f>tab!C26</f>
        <v>Pagamento de Impostos em Atraso por iniciativa da Empresa</v>
      </c>
      <c r="D26" s="27"/>
      <c r="E26" s="46">
        <f>dez!E26</f>
        <v>-1000</v>
      </c>
      <c r="F26" s="46">
        <f>dez!F26</f>
        <v>-1000</v>
      </c>
      <c r="G26" s="46">
        <f>dez!G26</f>
        <v>-1000</v>
      </c>
      <c r="H26" s="46">
        <f>dez!H26</f>
        <v>-1000</v>
      </c>
      <c r="I26" s="46">
        <f>dez!I26</f>
        <v>-1000</v>
      </c>
      <c r="J26" s="46">
        <f>dez!J26</f>
        <v>-1000</v>
      </c>
      <c r="K26" s="46">
        <f>dez!K26</f>
        <v>-1000</v>
      </c>
      <c r="L26" s="46">
        <f>dez!L26</f>
        <v>-1000</v>
      </c>
      <c r="M26" s="46">
        <f>dez!M26</f>
        <v>-1000</v>
      </c>
      <c r="N26" s="46">
        <f>dez!N26</f>
        <v>-1000</v>
      </c>
      <c r="O26" s="46">
        <f>dez!O26</f>
        <v>-1000</v>
      </c>
      <c r="P26" s="46">
        <f>dez!P26</f>
        <v>-1000</v>
      </c>
      <c r="Q26" s="46">
        <f t="shared" si="0"/>
        <v>-1000</v>
      </c>
    </row>
    <row r="27" spans="1:17" ht="14.25" customHeight="1" x14ac:dyDescent="0.25">
      <c r="A27" s="10"/>
      <c r="B27" s="25" t="str">
        <f>tab!B27</f>
        <v>-</v>
      </c>
      <c r="C27" s="26" t="str">
        <f>tab!C27</f>
        <v>Pagamento de Impostos sobre discussão judicial,</v>
      </c>
      <c r="D27" s="27"/>
      <c r="E27" s="46">
        <f>dez!E27</f>
        <v>0</v>
      </c>
      <c r="F27" s="46">
        <f>dez!F27</f>
        <v>0</v>
      </c>
      <c r="G27" s="46">
        <f>dez!G27</f>
        <v>0</v>
      </c>
      <c r="H27" s="46">
        <f>dez!H27</f>
        <v>0</v>
      </c>
      <c r="I27" s="46">
        <f>dez!I27</f>
        <v>0</v>
      </c>
      <c r="J27" s="46">
        <f>dez!J27</f>
        <v>0</v>
      </c>
      <c r="K27" s="46">
        <f>dez!K27</f>
        <v>0</v>
      </c>
      <c r="L27" s="46">
        <f>dez!L27</f>
        <v>0</v>
      </c>
      <c r="M27" s="46">
        <f>dez!M27</f>
        <v>0</v>
      </c>
      <c r="N27" s="46">
        <f>dez!N27</f>
        <v>0</v>
      </c>
      <c r="O27" s="46">
        <f>dez!O27</f>
        <v>0</v>
      </c>
      <c r="P27" s="46">
        <f>dez!P27</f>
        <v>0</v>
      </c>
      <c r="Q27" s="46">
        <f t="shared" si="0"/>
        <v>0</v>
      </c>
    </row>
    <row r="28" spans="1:17" ht="14.25" customHeight="1" x14ac:dyDescent="0.25">
      <c r="A28" s="10"/>
      <c r="B28" s="25" t="str">
        <f>tab!B28</f>
        <v>-</v>
      </c>
      <c r="C28" s="26" t="str">
        <f>tab!C28</f>
        <v>Receita de Variação Cambial</v>
      </c>
      <c r="D28" s="27"/>
      <c r="E28" s="46">
        <f>dez!E28</f>
        <v>0</v>
      </c>
      <c r="F28" s="46">
        <f>dez!F28</f>
        <v>0</v>
      </c>
      <c r="G28" s="46">
        <f>dez!G28</f>
        <v>0</v>
      </c>
      <c r="H28" s="46">
        <f>dez!H28</f>
        <v>0</v>
      </c>
      <c r="I28" s="46">
        <f>dez!I28</f>
        <v>0</v>
      </c>
      <c r="J28" s="46">
        <f>dez!J28</f>
        <v>0</v>
      </c>
      <c r="K28" s="46">
        <f>dez!K28</f>
        <v>0</v>
      </c>
      <c r="L28" s="46">
        <f>dez!L28</f>
        <v>0</v>
      </c>
      <c r="M28" s="46">
        <f>dez!M28</f>
        <v>0</v>
      </c>
      <c r="N28" s="46">
        <f>dez!N28</f>
        <v>0</v>
      </c>
      <c r="O28" s="46">
        <f>dez!O28</f>
        <v>0</v>
      </c>
      <c r="P28" s="46">
        <f>dez!P28</f>
        <v>0</v>
      </c>
      <c r="Q28" s="46">
        <f t="shared" si="0"/>
        <v>0</v>
      </c>
    </row>
    <row r="29" spans="1:17" ht="14.25" customHeight="1" x14ac:dyDescent="0.25">
      <c r="A29" s="10"/>
      <c r="B29" s="25" t="str">
        <f>tab!B29</f>
        <v>-</v>
      </c>
      <c r="C29" s="26" t="str">
        <f>tab!C29</f>
        <v>Receitas Obtidas com Tributação Exclusiva ou Isenta de IR</v>
      </c>
      <c r="D29" s="27"/>
      <c r="E29" s="46">
        <f>dez!E29</f>
        <v>0</v>
      </c>
      <c r="F29" s="46">
        <f>dez!F29</f>
        <v>0</v>
      </c>
      <c r="G29" s="46">
        <f>dez!G29</f>
        <v>0</v>
      </c>
      <c r="H29" s="46">
        <f>dez!H29</f>
        <v>0</v>
      </c>
      <c r="I29" s="46">
        <f>dez!I29</f>
        <v>0</v>
      </c>
      <c r="J29" s="46">
        <f>dez!J29</f>
        <v>0</v>
      </c>
      <c r="K29" s="46">
        <f>dez!K29</f>
        <v>0</v>
      </c>
      <c r="L29" s="46">
        <f>dez!L29</f>
        <v>0</v>
      </c>
      <c r="M29" s="46">
        <f>dez!M29</f>
        <v>0</v>
      </c>
      <c r="N29" s="46">
        <f>dez!N29</f>
        <v>0</v>
      </c>
      <c r="O29" s="46">
        <f>dez!O29</f>
        <v>0</v>
      </c>
      <c r="P29" s="46">
        <f>dez!P29</f>
        <v>0</v>
      </c>
      <c r="Q29" s="46">
        <f t="shared" si="0"/>
        <v>0</v>
      </c>
    </row>
    <row r="30" spans="1:17" ht="14.25" customHeight="1" x14ac:dyDescent="0.25">
      <c r="A30" s="10"/>
      <c r="B30" s="25" t="str">
        <f>tab!B30</f>
        <v>-</v>
      </c>
      <c r="C30" s="26" t="str">
        <f>tab!C30</f>
        <v>Receitas que poderiam ser diferidas;</v>
      </c>
      <c r="D30" s="27"/>
      <c r="E30" s="46">
        <f>dez!E30</f>
        <v>0</v>
      </c>
      <c r="F30" s="46">
        <f>dez!F30</f>
        <v>0</v>
      </c>
      <c r="G30" s="46">
        <f>dez!G30</f>
        <v>0</v>
      </c>
      <c r="H30" s="46">
        <f>dez!H30</f>
        <v>0</v>
      </c>
      <c r="I30" s="46">
        <f>dez!I30</f>
        <v>0</v>
      </c>
      <c r="J30" s="46">
        <f>dez!J30</f>
        <v>0</v>
      </c>
      <c r="K30" s="46">
        <f>dez!K30</f>
        <v>0</v>
      </c>
      <c r="L30" s="46">
        <f>dez!L30</f>
        <v>0</v>
      </c>
      <c r="M30" s="46">
        <f>dez!M30</f>
        <v>0</v>
      </c>
      <c r="N30" s="46">
        <f>dez!N30</f>
        <v>0</v>
      </c>
      <c r="O30" s="46">
        <f>dez!O30</f>
        <v>0</v>
      </c>
      <c r="P30" s="46">
        <f>dez!P30</f>
        <v>0</v>
      </c>
      <c r="Q30" s="46">
        <f t="shared" si="0"/>
        <v>0</v>
      </c>
    </row>
    <row r="31" spans="1:17" ht="14.25" customHeight="1" x14ac:dyDescent="0.25">
      <c r="A31" s="10"/>
      <c r="B31" s="25" t="str">
        <f>tab!B31</f>
        <v>-</v>
      </c>
      <c r="C31" s="26" t="str">
        <f>tab!C31</f>
        <v>Resultado Positivo de Equivalência Patrimonial</v>
      </c>
      <c r="D31" s="27"/>
      <c r="E31" s="46">
        <f>dez!E31</f>
        <v>0</v>
      </c>
      <c r="F31" s="46">
        <f>dez!F31</f>
        <v>0</v>
      </c>
      <c r="G31" s="46">
        <f>dez!G31</f>
        <v>0</v>
      </c>
      <c r="H31" s="46">
        <f>dez!H31</f>
        <v>0</v>
      </c>
      <c r="I31" s="46">
        <f>dez!I31</f>
        <v>0</v>
      </c>
      <c r="J31" s="46">
        <f>dez!J31</f>
        <v>0</v>
      </c>
      <c r="K31" s="46">
        <f>dez!K31</f>
        <v>0</v>
      </c>
      <c r="L31" s="46">
        <f>dez!L31</f>
        <v>0</v>
      </c>
      <c r="M31" s="46">
        <f>dez!M31</f>
        <v>0</v>
      </c>
      <c r="N31" s="46">
        <f>dez!N31</f>
        <v>0</v>
      </c>
      <c r="O31" s="46">
        <f>dez!O31</f>
        <v>0</v>
      </c>
      <c r="P31" s="46">
        <f>dez!P31</f>
        <v>0</v>
      </c>
      <c r="Q31" s="46">
        <f t="shared" si="0"/>
        <v>0</v>
      </c>
    </row>
    <row r="32" spans="1:17" ht="14.25" customHeight="1" x14ac:dyDescent="0.25">
      <c r="A32" s="10"/>
      <c r="B32" s="25" t="str">
        <f>tab!B32</f>
        <v>-</v>
      </c>
      <c r="C32" s="26" t="str">
        <f>tab!C32</f>
        <v>Reversão de Provisões Indedutíveis</v>
      </c>
      <c r="D32" s="27"/>
      <c r="E32" s="46">
        <f>dez!E32</f>
        <v>0</v>
      </c>
      <c r="F32" s="46">
        <f>dez!F32</f>
        <v>0</v>
      </c>
      <c r="G32" s="46">
        <f>dez!G32</f>
        <v>0</v>
      </c>
      <c r="H32" s="46">
        <f>dez!H32</f>
        <v>0</v>
      </c>
      <c r="I32" s="46">
        <f>dez!I32</f>
        <v>0</v>
      </c>
      <c r="J32" s="46">
        <f>dez!J32</f>
        <v>0</v>
      </c>
      <c r="K32" s="46">
        <f>dez!K32</f>
        <v>0</v>
      </c>
      <c r="L32" s="46">
        <f>dez!L32</f>
        <v>0</v>
      </c>
      <c r="M32" s="46">
        <f>dez!M32</f>
        <v>0</v>
      </c>
      <c r="N32" s="46">
        <f>dez!N32</f>
        <v>0</v>
      </c>
      <c r="O32" s="46">
        <f>dez!O32</f>
        <v>0</v>
      </c>
      <c r="P32" s="46">
        <f>dez!P32</f>
        <v>0</v>
      </c>
      <c r="Q32" s="46">
        <f t="shared" si="0"/>
        <v>0</v>
      </c>
    </row>
    <row r="33" spans="1:17" ht="14.25" customHeight="1" x14ac:dyDescent="0.25">
      <c r="A33" s="10"/>
      <c r="B33" s="25" t="str">
        <f>tab!B33</f>
        <v>-</v>
      </c>
      <c r="C33" s="26" t="str">
        <f>tab!C33</f>
        <v>Vendas Não Expedidas do Período</v>
      </c>
      <c r="D33" s="27"/>
      <c r="E33" s="46">
        <f>dez!E33</f>
        <v>0</v>
      </c>
      <c r="F33" s="46">
        <f>dez!F33</f>
        <v>0</v>
      </c>
      <c r="G33" s="46">
        <f>dez!G33</f>
        <v>0</v>
      </c>
      <c r="H33" s="46">
        <f>dez!H33</f>
        <v>0</v>
      </c>
      <c r="I33" s="46">
        <f>dez!I33</f>
        <v>0</v>
      </c>
      <c r="J33" s="46">
        <f>dez!J33</f>
        <v>0</v>
      </c>
      <c r="K33" s="46">
        <f>dez!K33</f>
        <v>0</v>
      </c>
      <c r="L33" s="46">
        <f>dez!L33</f>
        <v>0</v>
      </c>
      <c r="M33" s="46">
        <f>dez!M33</f>
        <v>0</v>
      </c>
      <c r="N33" s="46">
        <f>dez!N33</f>
        <v>0</v>
      </c>
      <c r="O33" s="46">
        <f>dez!O33</f>
        <v>0</v>
      </c>
      <c r="P33" s="46">
        <f>dez!P33</f>
        <v>0</v>
      </c>
      <c r="Q33" s="46">
        <f t="shared" si="0"/>
        <v>0</v>
      </c>
    </row>
    <row r="34" spans="1:17" s="4" customFormat="1" ht="14.25" customHeight="1" x14ac:dyDescent="0.25">
      <c r="A34" s="10"/>
      <c r="B34" s="21" t="str">
        <f>tab!B34</f>
        <v>=</v>
      </c>
      <c r="C34" s="22" t="str">
        <f>tab!C34</f>
        <v>Base de Cálculo</v>
      </c>
      <c r="D34" s="23"/>
      <c r="E34" s="45">
        <f>dez!E34</f>
        <v>600</v>
      </c>
      <c r="F34" s="45">
        <f>dez!F34</f>
        <v>25600</v>
      </c>
      <c r="G34" s="45">
        <f>dez!G34</f>
        <v>50600</v>
      </c>
      <c r="H34" s="45">
        <f>dez!H34</f>
        <v>75600</v>
      </c>
      <c r="I34" s="45">
        <f>dez!I34</f>
        <v>100600</v>
      </c>
      <c r="J34" s="45">
        <f>dez!J34</f>
        <v>125600</v>
      </c>
      <c r="K34" s="45">
        <f>dez!K34</f>
        <v>150600</v>
      </c>
      <c r="L34" s="45">
        <f>dez!L34</f>
        <v>175600</v>
      </c>
      <c r="M34" s="45">
        <f>dez!M34</f>
        <v>200600</v>
      </c>
      <c r="N34" s="45">
        <f>dez!N34</f>
        <v>225600</v>
      </c>
      <c r="O34" s="45">
        <f>dez!O34</f>
        <v>250600</v>
      </c>
      <c r="P34" s="45">
        <f>dez!P34</f>
        <v>275600</v>
      </c>
      <c r="Q34" s="45">
        <f t="shared" si="0"/>
        <v>138100</v>
      </c>
    </row>
    <row r="35" spans="1:17" s="4" customFormat="1" ht="14.25" customHeight="1" x14ac:dyDescent="0.25">
      <c r="A35" s="10"/>
      <c r="B35" s="21" t="str">
        <f>tab!B35</f>
        <v>=</v>
      </c>
      <c r="C35" s="22" t="str">
        <f>tab!C35</f>
        <v>Saldo Prejuízo Fiscal</v>
      </c>
      <c r="D35" s="34"/>
      <c r="E35" s="45">
        <f>dez!E35</f>
        <v>45000</v>
      </c>
      <c r="F35" s="45">
        <f>dez!F35</f>
        <v>44820</v>
      </c>
      <c r="G35" s="45">
        <f>dez!G35</f>
        <v>37140</v>
      </c>
      <c r="H35" s="45">
        <f>dez!H35</f>
        <v>21960</v>
      </c>
      <c r="I35" s="45">
        <f>dez!I35</f>
        <v>0</v>
      </c>
      <c r="J35" s="45">
        <f>dez!J35</f>
        <v>0</v>
      </c>
      <c r="K35" s="45">
        <f>dez!K35</f>
        <v>0</v>
      </c>
      <c r="L35" s="45">
        <f>dez!L35</f>
        <v>0</v>
      </c>
      <c r="M35" s="45">
        <f>dez!M35</f>
        <v>0</v>
      </c>
      <c r="N35" s="45">
        <f>dez!N35</f>
        <v>0</v>
      </c>
      <c r="O35" s="45">
        <f>dez!O35</f>
        <v>0</v>
      </c>
      <c r="P35" s="45">
        <f>dez!P35</f>
        <v>0</v>
      </c>
      <c r="Q35" s="45">
        <f t="shared" si="0"/>
        <v>12410</v>
      </c>
    </row>
    <row r="36" spans="1:17" s="4" customFormat="1" ht="14.25" customHeight="1" x14ac:dyDescent="0.25">
      <c r="A36" s="10"/>
      <c r="B36" s="21" t="str">
        <f>tab!B36</f>
        <v>%</v>
      </c>
      <c r="C36" s="22" t="str">
        <f>tab!C36</f>
        <v>Compensação de Prejuízo Fiscal</v>
      </c>
      <c r="D36" s="23">
        <f>tab!D36</f>
        <v>0.3</v>
      </c>
      <c r="E36" s="45">
        <f>dez!E36</f>
        <v>-180</v>
      </c>
      <c r="F36" s="45">
        <f>dez!F36</f>
        <v>-7680</v>
      </c>
      <c r="G36" s="45">
        <f>dez!G36</f>
        <v>-15180</v>
      </c>
      <c r="H36" s="45">
        <f>dez!H36</f>
        <v>-21960</v>
      </c>
      <c r="I36" s="45">
        <f>dez!I36</f>
        <v>0</v>
      </c>
      <c r="J36" s="45">
        <f>dez!J36</f>
        <v>0</v>
      </c>
      <c r="K36" s="45">
        <f>dez!K36</f>
        <v>0</v>
      </c>
      <c r="L36" s="45">
        <f>dez!L36</f>
        <v>0</v>
      </c>
      <c r="M36" s="45">
        <f>dez!M36</f>
        <v>0</v>
      </c>
      <c r="N36" s="45">
        <f>dez!N36</f>
        <v>0</v>
      </c>
      <c r="O36" s="45">
        <f>dez!O36</f>
        <v>0</v>
      </c>
      <c r="P36" s="45">
        <f>dez!P36</f>
        <v>0</v>
      </c>
      <c r="Q36" s="45">
        <f t="shared" si="0"/>
        <v>-3750</v>
      </c>
    </row>
    <row r="37" spans="1:17" s="4" customFormat="1" ht="14.25" customHeight="1" x14ac:dyDescent="0.25">
      <c r="A37" s="10"/>
      <c r="B37" s="21" t="str">
        <f>tab!B37</f>
        <v>%</v>
      </c>
      <c r="C37" s="22" t="str">
        <f>tab!C37</f>
        <v>Adicional de Imposto de Renda</v>
      </c>
      <c r="D37" s="23">
        <f>tab!D37</f>
        <v>0.1</v>
      </c>
      <c r="E37" s="45">
        <f ca="1">dez!E37</f>
        <v>0</v>
      </c>
      <c r="F37" s="45">
        <f>dez!F37</f>
        <v>0</v>
      </c>
      <c r="G37" s="45">
        <f>dez!G37</f>
        <v>0</v>
      </c>
      <c r="H37" s="45">
        <f>dez!H37</f>
        <v>0</v>
      </c>
      <c r="I37" s="45">
        <f>dez!I37</f>
        <v>0</v>
      </c>
      <c r="J37" s="45">
        <f>dez!J37</f>
        <v>0</v>
      </c>
      <c r="K37" s="45">
        <f>dez!K37</f>
        <v>0</v>
      </c>
      <c r="L37" s="45">
        <f>dez!L37</f>
        <v>0</v>
      </c>
      <c r="M37" s="45">
        <f>dez!M37</f>
        <v>0</v>
      </c>
      <c r="N37" s="45">
        <f>dez!N37</f>
        <v>0</v>
      </c>
      <c r="O37" s="45">
        <f>dez!O37</f>
        <v>1060</v>
      </c>
      <c r="P37" s="45">
        <f>dez!P37</f>
        <v>3560</v>
      </c>
      <c r="Q37" s="45">
        <f t="shared" ca="1" si="0"/>
        <v>385</v>
      </c>
    </row>
    <row r="38" spans="1:17" s="4" customFormat="1" ht="14.25" customHeight="1" x14ac:dyDescent="0.25">
      <c r="A38" s="10"/>
      <c r="B38" s="21" t="str">
        <f>tab!B38</f>
        <v>%</v>
      </c>
      <c r="C38" s="22" t="str">
        <f>tab!C38</f>
        <v>Imposto de Renda</v>
      </c>
      <c r="D38" s="23">
        <f>tab!D38</f>
        <v>0.15</v>
      </c>
      <c r="E38" s="45">
        <f>dez!E38</f>
        <v>63</v>
      </c>
      <c r="F38" s="45">
        <f>dez!F38</f>
        <v>2688</v>
      </c>
      <c r="G38" s="45">
        <f>dez!G38</f>
        <v>5313</v>
      </c>
      <c r="H38" s="45">
        <f>dez!H38</f>
        <v>8046</v>
      </c>
      <c r="I38" s="45">
        <f>dez!I38</f>
        <v>15090</v>
      </c>
      <c r="J38" s="45">
        <f>dez!J38</f>
        <v>18840</v>
      </c>
      <c r="K38" s="45">
        <f>dez!K38</f>
        <v>22590</v>
      </c>
      <c r="L38" s="45">
        <f>dez!L38</f>
        <v>26340</v>
      </c>
      <c r="M38" s="45">
        <f>dez!M38</f>
        <v>30090</v>
      </c>
      <c r="N38" s="45">
        <f>dez!N38</f>
        <v>33840</v>
      </c>
      <c r="O38" s="45">
        <f>dez!O38</f>
        <v>37590</v>
      </c>
      <c r="P38" s="45">
        <f>dez!P38</f>
        <v>41340</v>
      </c>
      <c r="Q38" s="45">
        <f t="shared" si="0"/>
        <v>20152.5</v>
      </c>
    </row>
    <row r="39" spans="1:17" s="4" customFormat="1" ht="14.25" customHeight="1" x14ac:dyDescent="0.25">
      <c r="A39" s="10"/>
      <c r="B39" s="21" t="str">
        <f>tab!B39</f>
        <v>%</v>
      </c>
      <c r="C39" s="22" t="str">
        <f>tab!C39</f>
        <v>Contribuição Social</v>
      </c>
      <c r="D39" s="23">
        <f>tab!D39</f>
        <v>0.09</v>
      </c>
      <c r="E39" s="45">
        <f>dez!E39</f>
        <v>37.799999999999997</v>
      </c>
      <c r="F39" s="45">
        <f>dez!F39</f>
        <v>1612.8</v>
      </c>
      <c r="G39" s="45">
        <f>dez!G39</f>
        <v>3187.7999999999997</v>
      </c>
      <c r="H39" s="45">
        <f>dez!H39</f>
        <v>4827.5999999999995</v>
      </c>
      <c r="I39" s="45">
        <f>dez!I39</f>
        <v>9054</v>
      </c>
      <c r="J39" s="45">
        <f>dez!J39</f>
        <v>11304</v>
      </c>
      <c r="K39" s="45">
        <f>dez!K39</f>
        <v>13554</v>
      </c>
      <c r="L39" s="45">
        <f>dez!L39</f>
        <v>15804</v>
      </c>
      <c r="M39" s="45">
        <f>dez!M39</f>
        <v>18054</v>
      </c>
      <c r="N39" s="45">
        <f>dez!N39</f>
        <v>20304</v>
      </c>
      <c r="O39" s="45">
        <f>dez!O39</f>
        <v>22554</v>
      </c>
      <c r="P39" s="45">
        <f>dez!P39</f>
        <v>24804</v>
      </c>
      <c r="Q39" s="45">
        <f t="shared" si="0"/>
        <v>12091.5</v>
      </c>
    </row>
    <row r="40" spans="1:17" ht="14.25" customHeight="1" x14ac:dyDescent="0.25">
      <c r="A40" s="10"/>
      <c r="B40" s="25" t="str">
        <f>tab!B40</f>
        <v>=</v>
      </c>
      <c r="C40" s="26" t="str">
        <f>tab!C40</f>
        <v>Compensações</v>
      </c>
      <c r="D40" s="27"/>
      <c r="E40" s="46">
        <f>dez!E40</f>
        <v>-3600</v>
      </c>
      <c r="F40" s="46">
        <f ca="1">dez!F40</f>
        <v>-3600</v>
      </c>
      <c r="G40" s="46">
        <f ca="1">dez!G40</f>
        <v>-4300.8</v>
      </c>
      <c r="H40" s="46">
        <f ca="1">dez!H40</f>
        <v>-8500.7999999999993</v>
      </c>
      <c r="I40" s="46">
        <f ca="1">dez!I40</f>
        <v>-12873.599999999999</v>
      </c>
      <c r="J40" s="46">
        <f ca="1">dez!J40</f>
        <v>-24144</v>
      </c>
      <c r="K40" s="46">
        <f ca="1">dez!K40</f>
        <v>-30144</v>
      </c>
      <c r="L40" s="46">
        <f ca="1">dez!L40</f>
        <v>-36144</v>
      </c>
      <c r="M40" s="46">
        <f ca="1">dez!M40</f>
        <v>-42144</v>
      </c>
      <c r="N40" s="46">
        <f ca="1">dez!N40</f>
        <v>-48144</v>
      </c>
      <c r="O40" s="46">
        <f ca="1">dez!O40</f>
        <v>-54144</v>
      </c>
      <c r="P40" s="46">
        <f ca="1">dez!P40</f>
        <v>-61204</v>
      </c>
      <c r="Q40" s="46">
        <f t="shared" ca="1" si="0"/>
        <v>-27411.933333333334</v>
      </c>
    </row>
    <row r="41" spans="1:17" ht="14.25" customHeight="1" x14ac:dyDescent="0.25">
      <c r="A41" s="10"/>
      <c r="B41" s="25" t="str">
        <f>tab!B41</f>
        <v>-</v>
      </c>
      <c r="C41" s="26" t="str">
        <f>tab!C41</f>
        <v>IR Base Negativa Exercícios Anteriores</v>
      </c>
      <c r="D41" s="33" t="str">
        <f>LEFT(C41,2)</f>
        <v>IR</v>
      </c>
      <c r="E41" s="46">
        <f>dez!E41</f>
        <v>0</v>
      </c>
      <c r="F41" s="46">
        <f>dez!F41</f>
        <v>0</v>
      </c>
      <c r="G41" s="46">
        <f>dez!G41</f>
        <v>0</v>
      </c>
      <c r="H41" s="46">
        <f>dez!H41</f>
        <v>0</v>
      </c>
      <c r="I41" s="46">
        <f>dez!I41</f>
        <v>0</v>
      </c>
      <c r="J41" s="46">
        <f>dez!J41</f>
        <v>0</v>
      </c>
      <c r="K41" s="46">
        <f>dez!K41</f>
        <v>0</v>
      </c>
      <c r="L41" s="46">
        <f>dez!L41</f>
        <v>0</v>
      </c>
      <c r="M41" s="46">
        <f>dez!M41</f>
        <v>0</v>
      </c>
      <c r="N41" s="46">
        <f>dez!N41</f>
        <v>0</v>
      </c>
      <c r="O41" s="46">
        <f>dez!O41</f>
        <v>0</v>
      </c>
      <c r="P41" s="46">
        <f>dez!P41</f>
        <v>0</v>
      </c>
      <c r="Q41" s="46">
        <f t="shared" si="0"/>
        <v>0</v>
      </c>
    </row>
    <row r="42" spans="1:17" ht="14.25" customHeight="1" x14ac:dyDescent="0.25">
      <c r="A42" s="10"/>
      <c r="B42" s="25" t="str">
        <f>tab!B42</f>
        <v>-</v>
      </c>
      <c r="C42" s="26" t="str">
        <f>tab!C42</f>
        <v>IR s/ Aplicações Financeiras</v>
      </c>
      <c r="D42" s="33" t="str">
        <f t="shared" ref="D42:D47" si="1">LEFT(C42,2)</f>
        <v>IR</v>
      </c>
      <c r="E42" s="46">
        <f>dez!E42</f>
        <v>-100</v>
      </c>
      <c r="F42" s="46">
        <f>dez!F42</f>
        <v>-100</v>
      </c>
      <c r="G42" s="46">
        <f>dez!G42</f>
        <v>-100</v>
      </c>
      <c r="H42" s="46">
        <f>dez!H42</f>
        <v>-100</v>
      </c>
      <c r="I42" s="46">
        <f>dez!I42</f>
        <v>-100</v>
      </c>
      <c r="J42" s="46">
        <f>dez!J42</f>
        <v>-100</v>
      </c>
      <c r="K42" s="46">
        <f>dez!K42</f>
        <v>-100</v>
      </c>
      <c r="L42" s="46">
        <f>dez!L42</f>
        <v>-100</v>
      </c>
      <c r="M42" s="46">
        <f>dez!M42</f>
        <v>-100</v>
      </c>
      <c r="N42" s="46">
        <f>dez!N42</f>
        <v>-100</v>
      </c>
      <c r="O42" s="46">
        <f>dez!O42</f>
        <v>-100</v>
      </c>
      <c r="P42" s="46">
        <f>dez!P42</f>
        <v>-100</v>
      </c>
      <c r="Q42" s="46">
        <f t="shared" si="0"/>
        <v>-100</v>
      </c>
    </row>
    <row r="43" spans="1:17" ht="14.25" customHeight="1" x14ac:dyDescent="0.25">
      <c r="A43" s="10"/>
      <c r="B43" s="25" t="str">
        <f>tab!B43</f>
        <v>-</v>
      </c>
      <c r="C43" s="26" t="str">
        <f>tab!C43</f>
        <v xml:space="preserve">IR Retida s/ Notas Fiscais </v>
      </c>
      <c r="D43" s="33" t="str">
        <f t="shared" si="1"/>
        <v>IR</v>
      </c>
      <c r="E43" s="46">
        <f>dez!E43</f>
        <v>-2000</v>
      </c>
      <c r="F43" s="46">
        <f>dez!F43</f>
        <v>-2000</v>
      </c>
      <c r="G43" s="46">
        <f>dez!G43</f>
        <v>-2000</v>
      </c>
      <c r="H43" s="46">
        <f>dez!H43</f>
        <v>-2000</v>
      </c>
      <c r="I43" s="46">
        <f>dez!I43</f>
        <v>-2000</v>
      </c>
      <c r="J43" s="46">
        <f>dez!J43</f>
        <v>-2000</v>
      </c>
      <c r="K43" s="46">
        <f>dez!K43</f>
        <v>-2000</v>
      </c>
      <c r="L43" s="46">
        <f>dez!L43</f>
        <v>-2000</v>
      </c>
      <c r="M43" s="46">
        <f>dez!M43</f>
        <v>-2000</v>
      </c>
      <c r="N43" s="46">
        <f>dez!N43</f>
        <v>-2000</v>
      </c>
      <c r="O43" s="46">
        <f>dez!O43</f>
        <v>-2000</v>
      </c>
      <c r="P43" s="46">
        <f>dez!P43</f>
        <v>-2000</v>
      </c>
      <c r="Q43" s="46">
        <f t="shared" si="0"/>
        <v>-2000</v>
      </c>
    </row>
    <row r="44" spans="1:17" ht="14.25" customHeight="1" x14ac:dyDescent="0.25">
      <c r="A44" s="10"/>
      <c r="B44" s="25" t="str">
        <f>tab!B44</f>
        <v>-</v>
      </c>
      <c r="C44" s="26" t="str">
        <f>tab!C44</f>
        <v>IR Pago no Exercício</v>
      </c>
      <c r="D44" s="33" t="str">
        <f t="shared" si="1"/>
        <v>IR</v>
      </c>
      <c r="E44" s="46">
        <f>dez!E44</f>
        <v>0</v>
      </c>
      <c r="F44" s="46">
        <f ca="1">dez!F44</f>
        <v>0</v>
      </c>
      <c r="G44" s="46">
        <f ca="1">dez!G44</f>
        <v>-588</v>
      </c>
      <c r="H44" s="46">
        <f ca="1">dez!H44</f>
        <v>-3213</v>
      </c>
      <c r="I44" s="46">
        <f ca="1">dez!I44</f>
        <v>-5946</v>
      </c>
      <c r="J44" s="46">
        <f ca="1">dez!J44</f>
        <v>-12990</v>
      </c>
      <c r="K44" s="46">
        <f ca="1">dez!K44</f>
        <v>-16740</v>
      </c>
      <c r="L44" s="46">
        <f ca="1">dez!L44</f>
        <v>-20490</v>
      </c>
      <c r="M44" s="46">
        <f ca="1">dez!M44</f>
        <v>-24240</v>
      </c>
      <c r="N44" s="46">
        <f ca="1">dez!N44</f>
        <v>-27990</v>
      </c>
      <c r="O44" s="46">
        <f ca="1">dez!O44</f>
        <v>-31740</v>
      </c>
      <c r="P44" s="46">
        <f ca="1">dez!P44</f>
        <v>-36550</v>
      </c>
      <c r="Q44" s="46">
        <f t="shared" ca="1" si="0"/>
        <v>-15040.583333333334</v>
      </c>
    </row>
    <row r="45" spans="1:17" ht="14.25" customHeight="1" x14ac:dyDescent="0.25">
      <c r="A45" s="10"/>
      <c r="B45" s="25" t="str">
        <f>tab!B45</f>
        <v>-</v>
      </c>
      <c r="C45" s="26" t="str">
        <f>tab!C45</f>
        <v>CS Base Negativa Exercícios Anteriores</v>
      </c>
      <c r="D45" s="33" t="str">
        <f t="shared" si="1"/>
        <v>CS</v>
      </c>
      <c r="E45" s="46">
        <f>dez!E45</f>
        <v>0</v>
      </c>
      <c r="F45" s="46">
        <f>dez!F45</f>
        <v>0</v>
      </c>
      <c r="G45" s="46">
        <f>dez!G45</f>
        <v>0</v>
      </c>
      <c r="H45" s="46">
        <f>dez!H45</f>
        <v>0</v>
      </c>
      <c r="I45" s="46">
        <f>dez!I45</f>
        <v>0</v>
      </c>
      <c r="J45" s="46">
        <f>dez!J45</f>
        <v>0</v>
      </c>
      <c r="K45" s="46">
        <f>dez!K45</f>
        <v>0</v>
      </c>
      <c r="L45" s="46">
        <f>dez!L45</f>
        <v>0</v>
      </c>
      <c r="M45" s="46">
        <f>dez!M45</f>
        <v>0</v>
      </c>
      <c r="N45" s="46">
        <f>dez!N45</f>
        <v>0</v>
      </c>
      <c r="O45" s="46">
        <f>dez!O45</f>
        <v>0</v>
      </c>
      <c r="P45" s="46">
        <f>dez!P45</f>
        <v>0</v>
      </c>
      <c r="Q45" s="46">
        <f t="shared" si="0"/>
        <v>0</v>
      </c>
    </row>
    <row r="46" spans="1:17" ht="14.25" customHeight="1" x14ac:dyDescent="0.25">
      <c r="A46" s="10"/>
      <c r="B46" s="25" t="str">
        <f>tab!B46</f>
        <v>-</v>
      </c>
      <c r="C46" s="26" t="str">
        <f>tab!C46</f>
        <v>CS Retida s/ Notas Fiscais</v>
      </c>
      <c r="D46" s="33" t="str">
        <f t="shared" si="1"/>
        <v>CS</v>
      </c>
      <c r="E46" s="46">
        <f>dez!E46</f>
        <v>-1500</v>
      </c>
      <c r="F46" s="46">
        <f>dez!F46</f>
        <v>-1500</v>
      </c>
      <c r="G46" s="46">
        <f>dez!G46</f>
        <v>-1500</v>
      </c>
      <c r="H46" s="46">
        <f>dez!H46</f>
        <v>-1500</v>
      </c>
      <c r="I46" s="46">
        <f>dez!I46</f>
        <v>-1500</v>
      </c>
      <c r="J46" s="46">
        <f>dez!J46</f>
        <v>-1500</v>
      </c>
      <c r="K46" s="46">
        <f>dez!K46</f>
        <v>-1500</v>
      </c>
      <c r="L46" s="46">
        <f>dez!L46</f>
        <v>-1500</v>
      </c>
      <c r="M46" s="46">
        <f>dez!M46</f>
        <v>-1500</v>
      </c>
      <c r="N46" s="46">
        <f>dez!N46</f>
        <v>-1500</v>
      </c>
      <c r="O46" s="46">
        <f>dez!O46</f>
        <v>-1500</v>
      </c>
      <c r="P46" s="46">
        <f>dez!P46</f>
        <v>-1500</v>
      </c>
      <c r="Q46" s="46">
        <f t="shared" si="0"/>
        <v>-1500</v>
      </c>
    </row>
    <row r="47" spans="1:17" ht="14.25" customHeight="1" x14ac:dyDescent="0.25">
      <c r="A47" s="10"/>
      <c r="B47" s="25" t="str">
        <f>tab!B47</f>
        <v>-</v>
      </c>
      <c r="C47" s="26" t="str">
        <f>tab!C47</f>
        <v>CS Pago no Exercício</v>
      </c>
      <c r="D47" s="33" t="str">
        <f t="shared" si="1"/>
        <v>CS</v>
      </c>
      <c r="E47" s="46">
        <f>dez!E47</f>
        <v>0</v>
      </c>
      <c r="F47" s="46">
        <f ca="1">dez!F47</f>
        <v>0</v>
      </c>
      <c r="G47" s="46">
        <f ca="1">dez!G47</f>
        <v>-112.79999999999995</v>
      </c>
      <c r="H47" s="46">
        <f ca="1">dez!H47</f>
        <v>-1687.7999999999997</v>
      </c>
      <c r="I47" s="46">
        <f ca="1">dez!I47</f>
        <v>-3327.5999999999995</v>
      </c>
      <c r="J47" s="46">
        <f ca="1">dez!J47</f>
        <v>-7554</v>
      </c>
      <c r="K47" s="46">
        <f ca="1">dez!K47</f>
        <v>-9804</v>
      </c>
      <c r="L47" s="46">
        <f ca="1">dez!L47</f>
        <v>-12054</v>
      </c>
      <c r="M47" s="46">
        <f ca="1">dez!M47</f>
        <v>-14304</v>
      </c>
      <c r="N47" s="46">
        <f ca="1">dez!N47</f>
        <v>-16554</v>
      </c>
      <c r="O47" s="46">
        <f ca="1">dez!O47</f>
        <v>-18804</v>
      </c>
      <c r="P47" s="46">
        <f ca="1">dez!P47</f>
        <v>-21054</v>
      </c>
      <c r="Q47" s="46">
        <f t="shared" ca="1" si="0"/>
        <v>-8771.35</v>
      </c>
    </row>
    <row r="48" spans="1:17" s="4" customFormat="1" ht="14.25" customHeight="1" x14ac:dyDescent="0.25">
      <c r="A48" s="10"/>
      <c r="B48" s="21" t="str">
        <f>tab!B48</f>
        <v>=</v>
      </c>
      <c r="C48" s="22" t="str">
        <f>tab!C48</f>
        <v>Imposto de Renda a Pagar</v>
      </c>
      <c r="D48" s="23"/>
      <c r="E48" s="45">
        <f ca="1">dez!E48</f>
        <v>0</v>
      </c>
      <c r="F48" s="45">
        <f ca="1">dez!F48</f>
        <v>588</v>
      </c>
      <c r="G48" s="45">
        <f ca="1">dez!G48</f>
        <v>2625</v>
      </c>
      <c r="H48" s="45">
        <f ca="1">dez!H48</f>
        <v>2733</v>
      </c>
      <c r="I48" s="45">
        <f ca="1">dez!I48</f>
        <v>7044</v>
      </c>
      <c r="J48" s="45">
        <f ca="1">dez!J48</f>
        <v>3750</v>
      </c>
      <c r="K48" s="45">
        <f ca="1">dez!K48</f>
        <v>3750</v>
      </c>
      <c r="L48" s="45">
        <f ca="1">dez!L48</f>
        <v>3750</v>
      </c>
      <c r="M48" s="45">
        <f ca="1">dez!M48</f>
        <v>3750</v>
      </c>
      <c r="N48" s="45">
        <f ca="1">dez!N48</f>
        <v>3750</v>
      </c>
      <c r="O48" s="45">
        <f ca="1">dez!O48</f>
        <v>4810</v>
      </c>
      <c r="P48" s="45">
        <f ca="1">dez!P48</f>
        <v>6250</v>
      </c>
      <c r="Q48" s="45">
        <f t="shared" ca="1" si="0"/>
        <v>3566.6666666666665</v>
      </c>
    </row>
    <row r="49" spans="1:17" s="4" customFormat="1" ht="14.25" customHeight="1" x14ac:dyDescent="0.25">
      <c r="A49" s="10"/>
      <c r="B49" s="21" t="str">
        <f>tab!B49</f>
        <v>=</v>
      </c>
      <c r="C49" s="22" t="str">
        <f>tab!C49</f>
        <v>Contribuição Social a Pagar</v>
      </c>
      <c r="D49" s="23"/>
      <c r="E49" s="45">
        <f ca="1">dez!E49</f>
        <v>0</v>
      </c>
      <c r="F49" s="45">
        <f ca="1">dez!F49</f>
        <v>112.79999999999995</v>
      </c>
      <c r="G49" s="45">
        <f ca="1">dez!G49</f>
        <v>1574.9999999999998</v>
      </c>
      <c r="H49" s="45">
        <f ca="1">dez!H49</f>
        <v>1639.7999999999997</v>
      </c>
      <c r="I49" s="45">
        <f ca="1">dez!I49</f>
        <v>4226.4000000000005</v>
      </c>
      <c r="J49" s="45">
        <f ca="1">dez!J49</f>
        <v>2250</v>
      </c>
      <c r="K49" s="45">
        <f ca="1">dez!K49</f>
        <v>2250</v>
      </c>
      <c r="L49" s="45">
        <f ca="1">dez!L49</f>
        <v>2250</v>
      </c>
      <c r="M49" s="45">
        <f ca="1">dez!M49</f>
        <v>2250</v>
      </c>
      <c r="N49" s="45">
        <f ca="1">dez!N49</f>
        <v>2250</v>
      </c>
      <c r="O49" s="45">
        <f ca="1">dez!O49</f>
        <v>2250</v>
      </c>
      <c r="P49" s="45">
        <f ca="1">dez!P49</f>
        <v>2250</v>
      </c>
      <c r="Q49" s="45">
        <f t="shared" ca="1" si="0"/>
        <v>1942</v>
      </c>
    </row>
  </sheetData>
  <sheetProtection selectLockedCells="1" selectUnlockedCells="1"/>
  <pageMargins left="0.25" right="0.25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"/>
  <dimension ref="A1:O10"/>
  <sheetViews>
    <sheetView showGridLines="0" workbookViewId="0">
      <selection activeCell="A2" sqref="A2:XFD2"/>
    </sheetView>
  </sheetViews>
  <sheetFormatPr defaultRowHeight="14.25" x14ac:dyDescent="0.25"/>
  <cols>
    <col min="1" max="1" width="3.7109375" style="10" customWidth="1"/>
    <col min="2" max="2" width="1.85546875" style="10" hidden="1" customWidth="1"/>
    <col min="3" max="15" width="9.140625" style="7" customWidth="1"/>
    <col min="16" max="16384" width="9.140625" style="7"/>
  </cols>
  <sheetData>
    <row r="1" spans="1:15" s="8" customFormat="1" ht="39" customHeight="1" x14ac:dyDescent="0.25">
      <c r="A1" s="16"/>
      <c r="B1" s="16"/>
    </row>
    <row r="2" spans="1:15" s="4" customFormat="1" x14ac:dyDescent="0.25">
      <c r="A2" s="11"/>
    </row>
    <row r="3" spans="1:15" ht="30" customHeight="1" x14ac:dyDescent="0.25">
      <c r="C3" s="14" t="s">
        <v>72</v>
      </c>
    </row>
    <row r="4" spans="1:15" x14ac:dyDescent="0.25">
      <c r="C4" s="14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x14ac:dyDescent="0.25">
      <c r="B5" s="37">
        <v>1</v>
      </c>
      <c r="C5" s="38" t="str">
        <f>tab!C5</f>
        <v>Lucro Acumulado</v>
      </c>
      <c r="D5" s="39">
        <f>result!E5</f>
        <v>1000</v>
      </c>
      <c r="E5" s="39">
        <f>result!F5</f>
        <v>26000</v>
      </c>
      <c r="F5" s="39">
        <f>result!G5</f>
        <v>51000</v>
      </c>
      <c r="G5" s="39">
        <f>result!H5</f>
        <v>76000</v>
      </c>
      <c r="H5" s="39">
        <f>result!I5</f>
        <v>101000</v>
      </c>
      <c r="I5" s="39">
        <f>result!J5</f>
        <v>126000</v>
      </c>
      <c r="J5" s="39">
        <f>result!K5</f>
        <v>151000</v>
      </c>
      <c r="K5" s="39">
        <f>result!L5</f>
        <v>176000</v>
      </c>
      <c r="L5" s="39">
        <f>result!M5</f>
        <v>201000</v>
      </c>
      <c r="M5" s="39">
        <f>result!N5</f>
        <v>226000</v>
      </c>
      <c r="N5" s="39">
        <f>result!O5</f>
        <v>251000</v>
      </c>
      <c r="O5" s="39">
        <f>result!P5</f>
        <v>276000</v>
      </c>
    </row>
    <row r="6" spans="1:15" x14ac:dyDescent="0.25">
      <c r="B6" s="35"/>
      <c r="C6" s="38" t="str">
        <f>tab!C48</f>
        <v>Imposto de Renda a Pagar</v>
      </c>
      <c r="D6" s="40">
        <f ca="1">result!E48</f>
        <v>0</v>
      </c>
      <c r="E6" s="40">
        <f ca="1">result!F48</f>
        <v>588</v>
      </c>
      <c r="F6" s="40">
        <f ca="1">result!G48</f>
        <v>2625</v>
      </c>
      <c r="G6" s="40">
        <f ca="1">result!H48</f>
        <v>2733</v>
      </c>
      <c r="H6" s="40">
        <f ca="1">result!I48</f>
        <v>7044</v>
      </c>
      <c r="I6" s="40">
        <f ca="1">result!J48</f>
        <v>3750</v>
      </c>
      <c r="J6" s="40">
        <f ca="1">result!K48</f>
        <v>3750</v>
      </c>
      <c r="K6" s="40">
        <f ca="1">result!L48</f>
        <v>3750</v>
      </c>
      <c r="L6" s="40">
        <f ca="1">result!M48</f>
        <v>3750</v>
      </c>
      <c r="M6" s="40">
        <f ca="1">result!N48</f>
        <v>3750</v>
      </c>
      <c r="N6" s="40">
        <f ca="1">result!O48</f>
        <v>4810</v>
      </c>
      <c r="O6" s="40">
        <f ca="1">result!P48</f>
        <v>6250</v>
      </c>
    </row>
    <row r="7" spans="1:15" x14ac:dyDescent="0.25">
      <c r="B7" s="35"/>
      <c r="C7" s="38" t="str">
        <f>tab!C49</f>
        <v>Contribuição Social a Pagar</v>
      </c>
      <c r="D7" s="40">
        <f ca="1">result!E49</f>
        <v>0</v>
      </c>
      <c r="E7" s="40">
        <f ca="1">result!F49</f>
        <v>112.79999999999995</v>
      </c>
      <c r="F7" s="40">
        <f ca="1">result!G49</f>
        <v>1574.9999999999998</v>
      </c>
      <c r="G7" s="40">
        <f ca="1">result!H49</f>
        <v>1639.7999999999997</v>
      </c>
      <c r="H7" s="40">
        <f ca="1">result!I49</f>
        <v>4226.4000000000005</v>
      </c>
      <c r="I7" s="40">
        <f ca="1">result!J49</f>
        <v>2250</v>
      </c>
      <c r="J7" s="40">
        <f ca="1">result!K49</f>
        <v>2250</v>
      </c>
      <c r="K7" s="40">
        <f ca="1">result!L49</f>
        <v>2250</v>
      </c>
      <c r="L7" s="40">
        <f ca="1">result!M49</f>
        <v>2250</v>
      </c>
      <c r="M7" s="40">
        <f ca="1">result!N49</f>
        <v>2250</v>
      </c>
      <c r="N7" s="40">
        <f ca="1">result!O49</f>
        <v>2250</v>
      </c>
      <c r="O7" s="40">
        <f ca="1">result!P49</f>
        <v>2250</v>
      </c>
    </row>
    <row r="8" spans="1:15" x14ac:dyDescent="0.25">
      <c r="B8" s="35"/>
      <c r="C8" s="10"/>
      <c r="D8" s="41" t="s">
        <v>10</v>
      </c>
      <c r="E8" s="41" t="s">
        <v>11</v>
      </c>
      <c r="F8" s="41" t="s">
        <v>12</v>
      </c>
      <c r="G8" s="41" t="s">
        <v>13</v>
      </c>
      <c r="H8" s="41" t="s">
        <v>14</v>
      </c>
      <c r="I8" s="41" t="s">
        <v>15</v>
      </c>
      <c r="J8" s="41" t="s">
        <v>16</v>
      </c>
      <c r="K8" s="41" t="s">
        <v>17</v>
      </c>
      <c r="L8" s="41" t="s">
        <v>18</v>
      </c>
      <c r="M8" s="41" t="s">
        <v>19</v>
      </c>
      <c r="N8" s="41" t="s">
        <v>20</v>
      </c>
      <c r="O8" s="41" t="s">
        <v>21</v>
      </c>
    </row>
    <row r="9" spans="1:15" x14ac:dyDescent="0.25">
      <c r="C9" s="10" t="str">
        <f>INDEX(C5:C7,B5,0)</f>
        <v>Lucro Acumulado</v>
      </c>
      <c r="D9" s="40">
        <f t="shared" ref="D9:N9" si="0">VLOOKUP($C$9,$C$5:$O$7,MATCH(D8,$C$8:$O$8,0),0)</f>
        <v>1000</v>
      </c>
      <c r="E9" s="40">
        <f t="shared" si="0"/>
        <v>26000</v>
      </c>
      <c r="F9" s="40">
        <f t="shared" si="0"/>
        <v>51000</v>
      </c>
      <c r="G9" s="40">
        <f t="shared" si="0"/>
        <v>76000</v>
      </c>
      <c r="H9" s="40">
        <f t="shared" si="0"/>
        <v>101000</v>
      </c>
      <c r="I9" s="40">
        <f t="shared" si="0"/>
        <v>126000</v>
      </c>
      <c r="J9" s="40">
        <f t="shared" si="0"/>
        <v>151000</v>
      </c>
      <c r="K9" s="40">
        <f t="shared" si="0"/>
        <v>176000</v>
      </c>
      <c r="L9" s="40">
        <f t="shared" si="0"/>
        <v>201000</v>
      </c>
      <c r="M9" s="40">
        <f t="shared" si="0"/>
        <v>226000</v>
      </c>
      <c r="N9" s="40">
        <f t="shared" si="0"/>
        <v>251000</v>
      </c>
      <c r="O9" s="40">
        <f>VLOOKUP($C$9,$C$5:$O$7,MATCH(O8,$C$8:$O$8,0),0)</f>
        <v>276000</v>
      </c>
    </row>
    <row r="10" spans="1:15" x14ac:dyDescent="0.25">
      <c r="C10" s="42" t="s">
        <v>71</v>
      </c>
      <c r="D10" s="43">
        <f>AVERAGE($D$9:$O$9)</f>
        <v>138500</v>
      </c>
      <c r="E10" s="43">
        <f t="shared" ref="E10:O10" si="1">AVERAGE($D$9:$O$9)</f>
        <v>138500</v>
      </c>
      <c r="F10" s="43">
        <f t="shared" si="1"/>
        <v>138500</v>
      </c>
      <c r="G10" s="43">
        <f t="shared" si="1"/>
        <v>138500</v>
      </c>
      <c r="H10" s="43">
        <f t="shared" si="1"/>
        <v>138500</v>
      </c>
      <c r="I10" s="43">
        <f t="shared" si="1"/>
        <v>138500</v>
      </c>
      <c r="J10" s="43">
        <f t="shared" si="1"/>
        <v>138500</v>
      </c>
      <c r="K10" s="43">
        <f t="shared" si="1"/>
        <v>138500</v>
      </c>
      <c r="L10" s="43">
        <f t="shared" si="1"/>
        <v>138500</v>
      </c>
      <c r="M10" s="43">
        <f t="shared" si="1"/>
        <v>138500</v>
      </c>
      <c r="N10" s="43">
        <f t="shared" si="1"/>
        <v>138500</v>
      </c>
      <c r="O10" s="43">
        <f t="shared" si="1"/>
        <v>138500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0</xdr:col>
                    <xdr:colOff>247650</xdr:colOff>
                    <xdr:row>4</xdr:row>
                    <xdr:rowOff>19050</xdr:rowOff>
                  </from>
                  <to>
                    <xdr:col>4</xdr:col>
                    <xdr:colOff>409575</xdr:colOff>
                    <xdr:row>5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"/>
  <sheetViews>
    <sheetView showGridLines="0" workbookViewId="0">
      <selection activeCell="P13" sqref="P13"/>
    </sheetView>
  </sheetViews>
  <sheetFormatPr defaultRowHeight="14.25" x14ac:dyDescent="0.25"/>
  <cols>
    <col min="1" max="1" width="3.7109375" style="7" customWidth="1"/>
    <col min="2" max="2" width="2.5703125" style="7" bestFit="1" customWidth="1"/>
    <col min="3" max="3" width="13" style="7" customWidth="1"/>
    <col min="4" max="4" width="2.7109375" style="7" customWidth="1"/>
    <col min="5" max="5" width="14.140625" style="7" customWidth="1"/>
    <col min="6" max="15" width="11.28515625" style="7" bestFit="1" customWidth="1"/>
    <col min="16" max="16384" width="9.140625" style="7"/>
  </cols>
  <sheetData>
    <row r="1" spans="1:11" s="8" customFormat="1" ht="39" customHeight="1" x14ac:dyDescent="0.25"/>
    <row r="2" spans="1:11" s="4" customFormat="1" x14ac:dyDescent="0.25">
      <c r="A2" s="11"/>
    </row>
    <row r="3" spans="1:11" ht="30" customHeight="1" x14ac:dyDescent="0.25">
      <c r="A3" s="10"/>
      <c r="C3" s="14" t="s">
        <v>73</v>
      </c>
    </row>
    <row r="5" spans="1:11" ht="15" thickBot="1" x14ac:dyDescent="0.3">
      <c r="B5" s="31" t="s">
        <v>74</v>
      </c>
      <c r="C5" s="7" t="s">
        <v>75</v>
      </c>
    </row>
    <row r="6" spans="1:11" ht="15.75" thickTop="1" thickBot="1" x14ac:dyDescent="0.3">
      <c r="E6" s="50" t="str">
        <f>graf!$C$9</f>
        <v>Lucro Acumulado</v>
      </c>
      <c r="F6" s="44" t="s">
        <v>10</v>
      </c>
      <c r="G6" s="20" t="s">
        <v>11</v>
      </c>
      <c r="H6" s="20" t="s">
        <v>12</v>
      </c>
      <c r="I6" s="20" t="s">
        <v>13</v>
      </c>
      <c r="J6" s="20" t="s">
        <v>14</v>
      </c>
      <c r="K6" s="20" t="s">
        <v>15</v>
      </c>
    </row>
    <row r="7" spans="1:11" ht="15.75" thickTop="1" thickBot="1" x14ac:dyDescent="0.3">
      <c r="C7" s="20" t="s">
        <v>76</v>
      </c>
      <c r="D7" s="48"/>
      <c r="E7" s="51"/>
      <c r="F7" s="46">
        <f>graf!D9</f>
        <v>1000</v>
      </c>
      <c r="G7" s="46">
        <f>graf!E9</f>
        <v>26000</v>
      </c>
      <c r="H7" s="46">
        <f>graf!F9</f>
        <v>51000</v>
      </c>
      <c r="I7" s="46">
        <f>graf!G9</f>
        <v>76000</v>
      </c>
      <c r="J7" s="46">
        <f>graf!H9</f>
        <v>101000</v>
      </c>
      <c r="K7" s="46">
        <f>graf!I9</f>
        <v>126000</v>
      </c>
    </row>
    <row r="8" spans="1:11" ht="15" thickTop="1" x14ac:dyDescent="0.25">
      <c r="C8" s="25">
        <f>graf!$D$10</f>
        <v>138500</v>
      </c>
      <c r="E8" s="51"/>
      <c r="F8" s="44" t="s">
        <v>16</v>
      </c>
      <c r="G8" s="20" t="s">
        <v>17</v>
      </c>
      <c r="H8" s="20" t="s">
        <v>18</v>
      </c>
      <c r="I8" s="20" t="s">
        <v>19</v>
      </c>
      <c r="J8" s="20" t="s">
        <v>20</v>
      </c>
      <c r="K8" s="20" t="s">
        <v>21</v>
      </c>
    </row>
    <row r="9" spans="1:11" ht="15" x14ac:dyDescent="0.25">
      <c r="B9"/>
      <c r="E9" s="51"/>
      <c r="F9" s="46">
        <f>graf!J9</f>
        <v>151000</v>
      </c>
      <c r="G9" s="46">
        <f>graf!K9</f>
        <v>176000</v>
      </c>
      <c r="H9" s="46">
        <f>graf!L9</f>
        <v>201000</v>
      </c>
      <c r="I9" s="46">
        <f>graf!M9</f>
        <v>226000</v>
      </c>
      <c r="J9" s="46">
        <f>graf!N9</f>
        <v>251000</v>
      </c>
      <c r="K9" s="46">
        <f>graf!O9</f>
        <v>276000</v>
      </c>
    </row>
    <row r="11" spans="1:11" x14ac:dyDescent="0.25">
      <c r="B11" s="31" t="s">
        <v>77</v>
      </c>
      <c r="C11" s="7" t="s">
        <v>78</v>
      </c>
    </row>
  </sheetData>
  <sheetProtection selectLockedCells="1" selectUnlockedCells="1"/>
  <mergeCells count="1">
    <mergeCell ref="E6:E9"/>
  </mergeCells>
  <pageMargins left="0.511811024" right="0.511811024" top="0.78740157499999996" bottom="0.78740157499999996" header="0.31496062000000002" footer="0.31496062000000002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inicio</vt:lpstr>
      <vt:lpstr>tab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result</vt:lpstr>
      <vt:lpstr>graf</vt:lpstr>
      <vt:lpstr>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Lucro Real</dc:title>
  <dc:subject>Impostos de Renda e Contribuição Social</dc:subject>
  <dc:creator>www.funcacontabil.net</dc:creator>
  <cp:keywords>Função Contábil</cp:keywords>
  <cp:lastModifiedBy>Adriano</cp:lastModifiedBy>
  <cp:lastPrinted>2018-12-19T16:54:14Z</cp:lastPrinted>
  <dcterms:created xsi:type="dcterms:W3CDTF">2017-05-15T16:32:49Z</dcterms:created>
  <dcterms:modified xsi:type="dcterms:W3CDTF">2020-01-31T10:10:20Z</dcterms:modified>
  <cp:category>Mestre</cp:category>
</cp:coreProperties>
</file>