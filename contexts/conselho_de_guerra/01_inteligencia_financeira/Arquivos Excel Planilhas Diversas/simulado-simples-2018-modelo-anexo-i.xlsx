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55" windowWidth="18195" windowHeight="11640" activeTab="1"/>
  </bookViews>
  <sheets>
    <sheet name="Simples Nacional 2017" sheetId="2" r:id="rId1"/>
    <sheet name="SIMULAÇÃO" sheetId="1" r:id="rId2"/>
  </sheets>
  <calcPr calcId="145621"/>
</workbook>
</file>

<file path=xl/calcChain.xml><?xml version="1.0" encoding="utf-8"?>
<calcChain xmlns="http://schemas.openxmlformats.org/spreadsheetml/2006/main">
  <c r="C32" i="1" l="1"/>
  <c r="B24" i="2" l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5" i="2"/>
  <c r="G17" i="1" l="1"/>
  <c r="G16" i="1"/>
  <c r="G15" i="1"/>
  <c r="G14" i="1"/>
  <c r="G13" i="1"/>
  <c r="D26" i="1" l="1"/>
  <c r="B48" i="1" l="1"/>
  <c r="B49" i="1"/>
  <c r="B50" i="1"/>
  <c r="B51" i="1"/>
  <c r="B52" i="1"/>
  <c r="B53" i="1"/>
  <c r="B54" i="1"/>
  <c r="B55" i="1"/>
  <c r="B56" i="1"/>
  <c r="B57" i="1"/>
  <c r="B47" i="1"/>
  <c r="B46" i="1"/>
  <c r="F46" i="1" l="1"/>
  <c r="C46" i="1"/>
  <c r="H46" i="1"/>
  <c r="F55" i="1"/>
  <c r="C55" i="1"/>
  <c r="H55" i="1"/>
  <c r="F51" i="1"/>
  <c r="C51" i="1"/>
  <c r="H51" i="1"/>
  <c r="F49" i="1"/>
  <c r="C49" i="1"/>
  <c r="H49" i="1"/>
  <c r="F57" i="1"/>
  <c r="C57" i="1"/>
  <c r="H57" i="1"/>
  <c r="F53" i="1"/>
  <c r="C53" i="1"/>
  <c r="H53" i="1"/>
  <c r="F47" i="1"/>
  <c r="C47" i="1"/>
  <c r="H47" i="1"/>
  <c r="F56" i="1"/>
  <c r="C56" i="1"/>
  <c r="H56" i="1"/>
  <c r="F54" i="1"/>
  <c r="C54" i="1"/>
  <c r="H54" i="1"/>
  <c r="F52" i="1"/>
  <c r="C52" i="1"/>
  <c r="H52" i="1"/>
  <c r="F50" i="1"/>
  <c r="C50" i="1"/>
  <c r="H50" i="1"/>
  <c r="F48" i="1"/>
  <c r="C48" i="1"/>
  <c r="H48" i="1"/>
  <c r="C30" i="1"/>
  <c r="H30" i="1" s="1"/>
  <c r="J30" i="1" s="1"/>
  <c r="E49" i="1"/>
  <c r="E50" i="1"/>
  <c r="E51" i="1"/>
  <c r="E52" i="1"/>
  <c r="E53" i="1"/>
  <c r="E54" i="1"/>
  <c r="E55" i="1"/>
  <c r="E56" i="1"/>
  <c r="E57" i="1"/>
  <c r="E47" i="1"/>
  <c r="E48" i="1"/>
  <c r="E46" i="1"/>
  <c r="D47" i="1"/>
  <c r="D48" i="1"/>
  <c r="D49" i="1"/>
  <c r="D50" i="1"/>
  <c r="D51" i="1"/>
  <c r="D52" i="1"/>
  <c r="D53" i="1"/>
  <c r="D54" i="1"/>
  <c r="D55" i="1"/>
  <c r="D56" i="1"/>
  <c r="D57" i="1"/>
  <c r="D46" i="1"/>
  <c r="I46" i="1" l="1"/>
  <c r="I56" i="1"/>
  <c r="I54" i="1"/>
  <c r="I52" i="1"/>
  <c r="I50" i="1"/>
  <c r="I48" i="1"/>
  <c r="I57" i="1"/>
  <c r="I55" i="1"/>
  <c r="I53" i="1"/>
  <c r="I51" i="1"/>
  <c r="I49" i="1"/>
  <c r="I47" i="1"/>
  <c r="C41" i="1"/>
  <c r="H41" i="1" s="1"/>
  <c r="J41" i="1" s="1"/>
  <c r="C40" i="1"/>
  <c r="H40" i="1" s="1"/>
  <c r="J40" i="1" s="1"/>
  <c r="C39" i="1"/>
  <c r="H39" i="1" s="1"/>
  <c r="J39" i="1" s="1"/>
  <c r="C38" i="1"/>
  <c r="H38" i="1" s="1"/>
  <c r="J38" i="1" s="1"/>
  <c r="C37" i="1"/>
  <c r="H37" i="1" s="1"/>
  <c r="J37" i="1" s="1"/>
  <c r="C36" i="1"/>
  <c r="H36" i="1" s="1"/>
  <c r="J36" i="1" s="1"/>
  <c r="C35" i="1"/>
  <c r="H35" i="1" s="1"/>
  <c r="J35" i="1" s="1"/>
  <c r="C34" i="1"/>
  <c r="H34" i="1" s="1"/>
  <c r="J34" i="1" s="1"/>
  <c r="C33" i="1"/>
  <c r="H33" i="1" s="1"/>
  <c r="J33" i="1" s="1"/>
  <c r="H32" i="1"/>
  <c r="J32" i="1" s="1"/>
  <c r="C31" i="1"/>
  <c r="H31" i="1" s="1"/>
  <c r="J31" i="1" s="1"/>
  <c r="J42" i="1" l="1"/>
  <c r="I58" i="1"/>
  <c r="D30" i="1"/>
  <c r="D40" i="1"/>
  <c r="E40" i="1" s="1"/>
  <c r="D38" i="1"/>
  <c r="E38" i="1" s="1"/>
  <c r="D36" i="1"/>
  <c r="E36" i="1" s="1"/>
  <c r="D34" i="1"/>
  <c r="E34" i="1" s="1"/>
  <c r="D32" i="1"/>
  <c r="E32" i="1" s="1"/>
  <c r="D41" i="1"/>
  <c r="E41" i="1" s="1"/>
  <c r="F41" i="1" s="1"/>
  <c r="D39" i="1"/>
  <c r="E39" i="1" s="1"/>
  <c r="D37" i="1"/>
  <c r="E37" i="1" s="1"/>
  <c r="D35" i="1"/>
  <c r="E35" i="1" s="1"/>
  <c r="D33" i="1"/>
  <c r="E33" i="1" s="1"/>
  <c r="D31" i="1"/>
  <c r="E31" i="1" s="1"/>
  <c r="I41" i="1" l="1"/>
  <c r="K41" i="1" s="1"/>
  <c r="G41" i="1"/>
  <c r="E30" i="1"/>
  <c r="F37" i="1"/>
  <c r="F33" i="1"/>
  <c r="F38" i="1"/>
  <c r="F34" i="1"/>
  <c r="F39" i="1"/>
  <c r="F35" i="1"/>
  <c r="F31" i="1"/>
  <c r="F40" i="1"/>
  <c r="F36" i="1"/>
  <c r="F32" i="1"/>
  <c r="F30" i="1" l="1"/>
  <c r="G30" i="1" s="1"/>
  <c r="I36" i="1"/>
  <c r="K36" i="1" s="1"/>
  <c r="G36" i="1"/>
  <c r="I31" i="1"/>
  <c r="K31" i="1" s="1"/>
  <c r="G31" i="1"/>
  <c r="I39" i="1"/>
  <c r="K39" i="1" s="1"/>
  <c r="G39" i="1"/>
  <c r="I38" i="1"/>
  <c r="K38" i="1" s="1"/>
  <c r="G38" i="1"/>
  <c r="I37" i="1"/>
  <c r="K37" i="1" s="1"/>
  <c r="G37" i="1"/>
  <c r="I32" i="1"/>
  <c r="K32" i="1" s="1"/>
  <c r="G32" i="1"/>
  <c r="I40" i="1"/>
  <c r="K40" i="1" s="1"/>
  <c r="G40" i="1"/>
  <c r="I35" i="1"/>
  <c r="K35" i="1" s="1"/>
  <c r="G35" i="1"/>
  <c r="I34" i="1"/>
  <c r="K34" i="1" s="1"/>
  <c r="G34" i="1"/>
  <c r="I33" i="1"/>
  <c r="K33" i="1" s="1"/>
  <c r="G33" i="1"/>
  <c r="I30" i="1" l="1"/>
  <c r="K30" i="1" s="1"/>
  <c r="K42" i="1" s="1"/>
  <c r="I42" i="1" l="1"/>
</calcChain>
</file>

<file path=xl/sharedStrings.xml><?xml version="1.0" encoding="utf-8"?>
<sst xmlns="http://schemas.openxmlformats.org/spreadsheetml/2006/main" count="102" uniqueCount="84">
  <si>
    <t>Empresa:</t>
  </si>
  <si>
    <t>CNPJ:</t>
  </si>
  <si>
    <t>SIMPLES NACIONAL 2018</t>
  </si>
  <si>
    <t>Receita Bruta em 12 Meses (em R$)</t>
  </si>
  <si>
    <t>Alíquota</t>
  </si>
  <si>
    <t>Valor a Deduzir (em R$)</t>
  </si>
  <si>
    <t>1ª Faixa</t>
  </si>
  <si>
    <t>Até 180.000,00</t>
  </si>
  <si>
    <t>-</t>
  </si>
  <si>
    <t>2ª Faixa</t>
  </si>
  <si>
    <t>De 180.000,01 a 360.000,00</t>
  </si>
  <si>
    <t>3ª Faixa</t>
  </si>
  <si>
    <t>De 360.000,01 a 720.000,00</t>
  </si>
  <si>
    <t>4ª Faixa</t>
  </si>
  <si>
    <t>De 720.000,01 a 1.800.000,00</t>
  </si>
  <si>
    <t>5ª Faixa</t>
  </si>
  <si>
    <t>De 1.800.000,01 a 3.600.000,00</t>
  </si>
  <si>
    <t>6ª Faixa</t>
  </si>
  <si>
    <t>De 3.600.000,01 a 4.800.000,00</t>
  </si>
  <si>
    <t>Janeiro</t>
  </si>
  <si>
    <t>Dedução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</si>
  <si>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</si>
  <si>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</si>
  <si>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</si>
  <si>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</si>
  <si>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</si>
  <si>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</si>
  <si>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</si>
  <si>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</si>
  <si>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</si>
  <si>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</si>
  <si>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</si>
  <si>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MÊS</t>
  </si>
  <si>
    <t>RECEITA MENSAL</t>
  </si>
  <si>
    <t>SIMULAÇÃO SIMPLES NACIONAL 2018</t>
  </si>
  <si>
    <t>Vl DAS 2018</t>
  </si>
  <si>
    <t>Legislação 2018 - 2017</t>
  </si>
  <si>
    <t xml:space="preserve">FATURAMENTO </t>
  </si>
  <si>
    <t>PIS</t>
  </si>
  <si>
    <t>COFINS</t>
  </si>
  <si>
    <t>IRPJ</t>
  </si>
  <si>
    <t>CSLL</t>
  </si>
  <si>
    <t>TOTAL</t>
  </si>
  <si>
    <t>ADIC. DE IRPJ</t>
  </si>
  <si>
    <t>VL DAS LEGISLAÇÃO 2017</t>
  </si>
  <si>
    <t>VALORES FATURAMENTO 2017</t>
  </si>
  <si>
    <t>RECEITA BRUTA ACUMULADA 12 MESES - 2017</t>
  </si>
  <si>
    <t>Empresa prestadora de serviços</t>
  </si>
  <si>
    <t>SIMULAÇÃO  LUCRO PRESUMIDO 2018</t>
  </si>
  <si>
    <t>TOTAL IMPOSTOS</t>
  </si>
  <si>
    <t xml:space="preserve">% a Deduzir ICMS </t>
  </si>
  <si>
    <t xml:space="preserve">% ICMS NA ALIQUOTA </t>
  </si>
  <si>
    <t>% REDUÇÃO ICMS NO IMPOSTO</t>
  </si>
  <si>
    <t>ICMS</t>
  </si>
  <si>
    <t>Anexo I</t>
  </si>
  <si>
    <t>SIMPLES NACIONAL 2017</t>
  </si>
  <si>
    <t>De 360.000,01 a 540.000,00</t>
  </si>
  <si>
    <t>De 540.000,01 a 720.000,00</t>
  </si>
  <si>
    <t>De 720.000,01 a 900.000,00</t>
  </si>
  <si>
    <t>De 900.000,01 a 1.080.000,00</t>
  </si>
  <si>
    <t>De 1.080.000,01 a 1.260.000,00</t>
  </si>
  <si>
    <t>De 1.260.000,01 a 1.440.000,00</t>
  </si>
  <si>
    <t>De 1.440.000,01 a 1.620.000,00</t>
  </si>
  <si>
    <t>De 1.620.000,01 a 1.800.000,00</t>
  </si>
  <si>
    <t>De 1.800.000,01 a 1.980.000,00</t>
  </si>
  <si>
    <t>De 1.980.000,01 a 2.160.000,00</t>
  </si>
  <si>
    <t>De 2.160.000,01 a 2.340.000,00</t>
  </si>
  <si>
    <t>De 2.340.000,01 a 2.520.000,00</t>
  </si>
  <si>
    <t>De 2.520.000,01 a 2.700.000,00</t>
  </si>
  <si>
    <t>De 2.700.000,01 a 2.880.000,00</t>
  </si>
  <si>
    <t>De 2.880.000,01 a 3.060.000,00</t>
  </si>
  <si>
    <t>De 3.060.000,01 a 3.240.000,00</t>
  </si>
  <si>
    <t>De 3.240.000,01 a 3.420.000,00</t>
  </si>
  <si>
    <t>De 3.420.000,01 a 3.600.000,00</t>
  </si>
  <si>
    <t>Receita Bruta em 12 meses (em R$)</t>
  </si>
  <si>
    <t>Anexo  I</t>
  </si>
  <si>
    <t>RBT ÚLTIMOS 12 MESES</t>
  </si>
  <si>
    <t xml:space="preserve">Alíquota nominal </t>
  </si>
  <si>
    <t>Alíquota Efetiva c/ICMS</t>
  </si>
  <si>
    <t xml:space="preserve">Alíquota Efetiva c/redução de ICMS </t>
  </si>
  <si>
    <t>Alíquota DAS 2017</t>
  </si>
  <si>
    <t>Atividade: 4781-4/00 Comércio Varejista de Artigos do Vestuário e Acessórios</t>
  </si>
  <si>
    <t>*** PESSOAL PREENCHER COM OS VALORES DE 2017, PARA ENCONTRAR A FAIXA PARA 2018</t>
  </si>
  <si>
    <t>*** PESSOAL PREENCHER A RECEITA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</si>
</sst>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4" fontId="0" fillId="0" borderId="0" xfId="0" applyNumberFormat="1"/>
    <xf numFmtId="17" fontId="2" fillId="0" borderId="0" xfId="0" applyNumberFormat="1" applyFont="1" applyFill="1" applyBorder="1" applyAlignment="1">
      <alignment vertical="center" wrapText="1"/>
    </xf>
    <xf numFmtId="17" fontId="2" fillId="3" borderId="5" xfId="0" applyNumberFormat="1" applyFont="1" applyFill="1" applyBorder="1" applyAlignment="1">
      <alignment vertical="center" wrapText="1"/>
    </xf>
    <xf numFmtId="4" fontId="0" fillId="0" borderId="5" xfId="0" applyNumberFormat="1" applyBorder="1"/>
    <xf numFmtId="4" fontId="0" fillId="0" borderId="0" xfId="0" applyNumberFormat="1" applyAlignment="1">
      <alignment horizontal="center" vertical="center" wrapText="1"/>
    </xf>
    <xf numFmtId="4" fontId="0" fillId="3" borderId="7" xfId="0" applyNumberFormat="1" applyFill="1" applyBorder="1" applyAlignment="1">
      <alignment horizontal="center" vertical="center" wrapText="1"/>
    </xf>
    <xf numFmtId="4" fontId="0" fillId="0" borderId="0" xfId="0" applyNumberFormat="1" applyBorder="1"/>
    <xf numFmtId="10" fontId="0" fillId="0" borderId="0" xfId="1" applyNumberFormat="1" applyFont="1" applyBorder="1"/>
    <xf numFmtId="0" fontId="0" fillId="0" borderId="8" xfId="0" applyBorder="1"/>
    <xf numFmtId="4" fontId="0" fillId="0" borderId="9" xfId="0" applyNumberFormat="1" applyBorder="1"/>
    <xf numFmtId="10" fontId="0" fillId="0" borderId="9" xfId="1" applyNumberFormat="1" applyFont="1" applyBorder="1"/>
    <xf numFmtId="4" fontId="0" fillId="0" borderId="10" xfId="0" applyNumberFormat="1" applyBorder="1"/>
    <xf numFmtId="0" fontId="0" fillId="0" borderId="11" xfId="0" applyBorder="1"/>
    <xf numFmtId="4" fontId="0" fillId="0" borderId="12" xfId="0" applyNumberFormat="1" applyBorder="1"/>
    <xf numFmtId="0" fontId="0" fillId="0" borderId="13" xfId="0" applyBorder="1"/>
    <xf numFmtId="4" fontId="0" fillId="0" borderId="14" xfId="0" applyNumberFormat="1" applyBorder="1"/>
    <xf numFmtId="4" fontId="0" fillId="0" borderId="15" xfId="0" applyNumberFormat="1" applyBorder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3" borderId="16" xfId="0" applyNumberFormat="1" applyFill="1" applyBorder="1"/>
    <xf numFmtId="4" fontId="0" fillId="3" borderId="17" xfId="0" applyNumberFormat="1" applyFill="1" applyBorder="1"/>
    <xf numFmtId="4" fontId="0" fillId="3" borderId="18" xfId="0" applyNumberFormat="1" applyFill="1" applyBorder="1"/>
    <xf numFmtId="0" fontId="4" fillId="3" borderId="6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" fontId="0" fillId="3" borderId="5" xfId="0" applyNumberForma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4" fontId="2" fillId="0" borderId="25" xfId="0" applyNumberFormat="1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10" fontId="2" fillId="0" borderId="3" xfId="1" applyNumberFormat="1" applyFont="1" applyBorder="1" applyAlignment="1">
      <alignment horizontal="center" vertical="center" wrapText="1"/>
    </xf>
    <xf numFmtId="0" fontId="0" fillId="0" borderId="0" xfId="0" applyFill="1"/>
    <xf numFmtId="0" fontId="6" fillId="4" borderId="20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10" fontId="7" fillId="4" borderId="4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  <xf numFmtId="4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44" fontId="4" fillId="3" borderId="1" xfId="2" applyFont="1" applyFill="1" applyBorder="1" applyAlignment="1">
      <alignment horizontal="center"/>
    </xf>
    <xf numFmtId="44" fontId="4" fillId="3" borderId="6" xfId="2" applyFont="1" applyFill="1" applyBorder="1" applyAlignment="1">
      <alignment horizontal="center"/>
    </xf>
    <xf numFmtId="44" fontId="4" fillId="3" borderId="19" xfId="2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" fontId="0" fillId="0" borderId="20" xfId="0" applyNumberFormat="1" applyBorder="1" applyAlignment="1">
      <alignment horizontal="center" vertical="center"/>
    </xf>
    <xf numFmtId="17" fontId="2" fillId="0" borderId="26" xfId="0" applyNumberFormat="1" applyFont="1" applyFill="1" applyBorder="1" applyAlignment="1">
      <alignment horizontal="center" vertical="center" wrapText="1"/>
    </xf>
    <xf numFmtId="17" fontId="2" fillId="0" borderId="27" xfId="0" applyNumberFormat="1" applyFont="1" applyFill="1" applyBorder="1" applyAlignment="1">
      <alignment horizontal="center" vertical="center" wrapText="1"/>
    </xf>
    <xf numFmtId="17" fontId="2" fillId="0" borderId="28" xfId="0" applyNumberFormat="1" applyFont="1" applyFill="1" applyBorder="1" applyAlignment="1">
      <alignment horizontal="center" vertical="center" wrapText="1"/>
    </xf>
    <xf numFmtId="17" fontId="2" fillId="0" borderId="29" xfId="0" applyNumberFormat="1" applyFont="1" applyFill="1" applyBorder="1" applyAlignment="1">
      <alignment horizontal="center" vertical="center" wrapText="1"/>
    </xf>
    <xf numFmtId="17" fontId="2" fillId="0" borderId="0" xfId="0" applyNumberFormat="1" applyFont="1" applyFill="1" applyBorder="1" applyAlignment="1">
      <alignment horizontal="center" vertical="center" wrapText="1"/>
    </xf>
    <xf numFmtId="17" fontId="2" fillId="0" borderId="30" xfId="0" applyNumberFormat="1" applyFont="1" applyFill="1" applyBorder="1" applyAlignment="1">
      <alignment horizontal="center" vertical="center" wrapText="1"/>
    </xf>
    <xf numFmtId="17" fontId="2" fillId="0" borderId="31" xfId="0" applyNumberFormat="1" applyFont="1" applyFill="1" applyBorder="1" applyAlignment="1">
      <alignment horizontal="center" vertical="center" wrapText="1"/>
    </xf>
    <xf numFmtId="17" fontId="2" fillId="0" borderId="25" xfId="0" applyNumberFormat="1" applyFont="1" applyFill="1" applyBorder="1" applyAlignment="1">
      <alignment horizontal="center" vertical="center" wrapText="1"/>
    </xf>
    <xf numFmtId="17" fontId="2" fillId="0" borderId="4" xfId="0" applyNumberFormat="1" applyFont="1" applyFill="1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19439</xdr:colOff>
      <xdr:row>23</xdr:row>
      <xdr:rowOff>48597</xdr:rowOff>
    </xdr:from>
    <xdr:to>
      <xdr:col>6</xdr:col>
      <xdr:colOff>758112</xdr:colOff>
      <xdr:row>23</xdr:row>
      <xdr:rowOff>68035</xdr:rowOff>
    </xdr:to>
    <xdr:cxnSp macro="">
      <xdr:nvCxnSpPr>
        <xdr:cNvPr id="2" name="Conector de seta reta 1"/>
        <xdr:cNvCxnSpPr/>
      </xdr:nvCxnSpPr>
      <xdr:spPr>
        <a:xfrm>
          <a:off x="5648714" y="4811097"/>
          <a:ext cx="738673" cy="1943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35</xdr:row>
      <xdr:rowOff>0</xdr:rowOff>
    </xdr:from>
    <xdr:to>
      <xdr:col>12</xdr:col>
      <xdr:colOff>126351</xdr:colOff>
      <xdr:row>35</xdr:row>
      <xdr:rowOff>19438</xdr:rowOff>
    </xdr:to>
    <xdr:cxnSp macro="">
      <xdr:nvCxnSpPr>
        <xdr:cNvPr id="3" name="Conector de seta reta 2"/>
        <xdr:cNvCxnSpPr/>
      </xdr:nvCxnSpPr>
      <xdr:spPr>
        <a:xfrm>
          <a:off x="8848725" y="7762875"/>
          <a:ext cx="735951" cy="19438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/>
  </sheetViews>
  <sheetFormatPr defaultRowHeight="15" x14ac:dyDescent="0.25"/>
  <cols>
    <col min="1" max="1" width="34.7109375" customWidth="1"/>
    <col min="2" max="2" width="10.42578125" bestFit="1" customWidth="1"/>
  </cols>
  <sheetData>
    <row r="1" spans="1:13" x14ac:dyDescent="0.25">
      <c r="A1" t="s">
        <v>55</v>
      </c>
    </row>
    <row r="2" spans="1:13" x14ac:dyDescent="0.25">
      <c r="A2" t="s">
        <v>75</v>
      </c>
    </row>
    <row r="3" spans="1:13" ht="15.75" thickBot="1" x14ac:dyDescent="0.3"/>
    <row r="4" spans="1:13" ht="32.25" thickBot="1" x14ac:dyDescent="0.3">
      <c r="A4" s="39" t="s">
        <v>74</v>
      </c>
      <c r="B4" s="40" t="s">
        <v>4</v>
      </c>
    </row>
    <row r="5" spans="1:13" ht="16.5" thickBot="1" x14ac:dyDescent="0.3">
      <c r="A5" s="41" t="s">
        <v>7</v>
      </c>
      <c r="B5" s="42">
        <f>4%-1.25%</f>
        <v>2.75E-2</v>
      </c>
      <c r="I5" s="43"/>
      <c r="J5" s="43"/>
      <c r="K5" s="44"/>
      <c r="L5" s="44"/>
    </row>
    <row r="6" spans="1:13" ht="16.5" thickBot="1" x14ac:dyDescent="0.3">
      <c r="A6" s="41" t="s">
        <v>10</v>
      </c>
      <c r="B6" s="42">
        <v>3.61E-2</v>
      </c>
      <c r="I6" s="43"/>
      <c r="J6" s="43"/>
      <c r="K6" s="43"/>
      <c r="L6" s="43"/>
    </row>
    <row r="7" spans="1:13" ht="16.5" thickBot="1" x14ac:dyDescent="0.3">
      <c r="A7" s="41" t="s">
        <v>56</v>
      </c>
      <c r="B7" s="42">
        <f>6.84%-2.33%+0.67%</f>
        <v>5.1799999999999999E-2</v>
      </c>
      <c r="I7" s="43"/>
      <c r="J7" s="43"/>
      <c r="K7" s="43"/>
      <c r="L7" s="43"/>
    </row>
    <row r="8" spans="1:13" ht="16.5" thickBot="1" x14ac:dyDescent="0.3">
      <c r="A8" s="41" t="s">
        <v>57</v>
      </c>
      <c r="B8" s="42">
        <f>7.54%-2.56%+1.07%</f>
        <v>6.0499999999999998E-2</v>
      </c>
      <c r="I8" s="43"/>
      <c r="J8" s="43"/>
      <c r="K8" s="43"/>
      <c r="L8" s="43"/>
    </row>
    <row r="9" spans="1:13" ht="16.5" thickBot="1" x14ac:dyDescent="0.3">
      <c r="A9" s="41" t="s">
        <v>58</v>
      </c>
      <c r="B9" s="42">
        <f>7.6%-2.58%+1.33%</f>
        <v>6.3500000000000001E-2</v>
      </c>
      <c r="I9" s="43"/>
      <c r="J9" s="43"/>
      <c r="K9" s="43"/>
      <c r="L9" s="43"/>
    </row>
    <row r="10" spans="1:13" ht="16.5" thickBot="1" x14ac:dyDescent="0.3">
      <c r="A10" s="41" t="s">
        <v>59</v>
      </c>
      <c r="B10" s="42">
        <f>8.28%-2.82%+1.52%</f>
        <v>6.9800000000000001E-2</v>
      </c>
      <c r="I10" s="43"/>
      <c r="J10" s="43"/>
      <c r="K10" s="43"/>
      <c r="L10" s="43"/>
    </row>
    <row r="11" spans="1:13" ht="16.5" thickBot="1" x14ac:dyDescent="0.3">
      <c r="A11" s="41" t="s">
        <v>60</v>
      </c>
      <c r="B11" s="42">
        <f>8.36%-2.84%+1.83%</f>
        <v>7.3499999999999996E-2</v>
      </c>
      <c r="I11" s="43"/>
      <c r="J11" s="43"/>
      <c r="K11" s="43"/>
      <c r="L11" s="43"/>
    </row>
    <row r="12" spans="1:13" ht="16.5" thickBot="1" x14ac:dyDescent="0.3">
      <c r="A12" s="41" t="s">
        <v>61</v>
      </c>
      <c r="B12" s="42">
        <f>8.45%-2.87%+2.07%</f>
        <v>7.6499999999999985E-2</v>
      </c>
      <c r="I12" s="43"/>
      <c r="J12" s="43"/>
      <c r="K12" s="43"/>
      <c r="L12" s="43"/>
    </row>
    <row r="13" spans="1:13" ht="16.5" thickBot="1" x14ac:dyDescent="0.3">
      <c r="A13" s="41" t="s">
        <v>62</v>
      </c>
      <c r="B13" s="42">
        <f>9.03%-3.07%+2.27%</f>
        <v>8.2299999999999998E-2</v>
      </c>
      <c r="I13" s="43"/>
      <c r="J13" s="43"/>
      <c r="K13" s="43"/>
      <c r="L13" s="43"/>
    </row>
    <row r="14" spans="1:13" ht="16.5" thickBot="1" x14ac:dyDescent="0.3">
      <c r="A14" s="41" t="s">
        <v>63</v>
      </c>
      <c r="B14" s="42">
        <f>9.12%-3.1%+2.42%</f>
        <v>8.4399999999999989E-2</v>
      </c>
      <c r="I14" s="43"/>
      <c r="J14" s="43"/>
      <c r="K14" s="43"/>
      <c r="L14" s="43"/>
    </row>
    <row r="15" spans="1:13" ht="16.5" thickBot="1" x14ac:dyDescent="0.3">
      <c r="A15" s="41" t="s">
        <v>64</v>
      </c>
      <c r="B15" s="42">
        <f>9.95%-3.38%+2.56%</f>
        <v>9.1299999999999992E-2</v>
      </c>
      <c r="I15" s="43"/>
      <c r="J15" s="43"/>
      <c r="K15" s="43"/>
      <c r="L15" s="43"/>
      <c r="M15" s="44"/>
    </row>
    <row r="16" spans="1:13" ht="16.5" thickBot="1" x14ac:dyDescent="0.3">
      <c r="A16" s="41" t="s">
        <v>65</v>
      </c>
      <c r="B16" s="42">
        <f>10.04%-3.41%+2.67%</f>
        <v>9.2999999999999999E-2</v>
      </c>
      <c r="I16" s="43"/>
      <c r="J16" s="43"/>
      <c r="K16" s="43"/>
      <c r="L16" s="43"/>
      <c r="M16" s="44"/>
    </row>
    <row r="17" spans="1:13" ht="16.5" thickBot="1" x14ac:dyDescent="0.3">
      <c r="A17" s="41" t="s">
        <v>66</v>
      </c>
      <c r="B17" s="42">
        <f>10.23%-3.48%+2.76%</f>
        <v>9.5100000000000004E-2</v>
      </c>
      <c r="I17" s="43"/>
      <c r="J17" s="43"/>
      <c r="K17" s="43"/>
      <c r="L17" s="43"/>
      <c r="M17" s="44"/>
    </row>
    <row r="18" spans="1:13" ht="16.5" thickBot="1" x14ac:dyDescent="0.3">
      <c r="A18" s="41" t="s">
        <v>67</v>
      </c>
      <c r="B18" s="42">
        <f>10.23%-3.48%-2.84%</f>
        <v>3.910000000000001E-2</v>
      </c>
      <c r="I18" s="43"/>
      <c r="J18" s="43"/>
      <c r="K18" s="43"/>
      <c r="L18" s="43"/>
      <c r="M18" s="44"/>
    </row>
    <row r="19" spans="1:13" ht="16.5" thickBot="1" x14ac:dyDescent="0.3">
      <c r="A19" s="41" t="s">
        <v>68</v>
      </c>
      <c r="B19" s="42">
        <f>10.32%-3.51%+2.92%</f>
        <v>9.7299999999999998E-2</v>
      </c>
      <c r="I19" s="43"/>
      <c r="J19" s="43"/>
      <c r="K19" s="43"/>
      <c r="L19" s="43"/>
      <c r="M19" s="44"/>
    </row>
    <row r="20" spans="1:13" ht="16.5" thickBot="1" x14ac:dyDescent="0.3">
      <c r="A20" s="41" t="s">
        <v>69</v>
      </c>
      <c r="B20" s="42">
        <f>11.23%-3.82%+3.06%</f>
        <v>0.10470000000000002</v>
      </c>
      <c r="I20" s="43"/>
      <c r="J20" s="43"/>
      <c r="K20" s="43"/>
      <c r="L20" s="43"/>
      <c r="M20" s="44"/>
    </row>
    <row r="21" spans="1:13" ht="16.5" thickBot="1" x14ac:dyDescent="0.3">
      <c r="A21" s="41" t="s">
        <v>70</v>
      </c>
      <c r="B21" s="42">
        <f>11.32%-3.85%+3.19%</f>
        <v>0.10660000000000001</v>
      </c>
      <c r="I21" s="43"/>
      <c r="J21" s="43"/>
      <c r="K21" s="43"/>
      <c r="L21" s="43"/>
      <c r="M21" s="44"/>
    </row>
    <row r="22" spans="1:13" ht="16.5" thickBot="1" x14ac:dyDescent="0.3">
      <c r="A22" s="41" t="s">
        <v>71</v>
      </c>
      <c r="B22" s="42">
        <f>11.42%-3.88%+3.3%</f>
        <v>0.1084</v>
      </c>
      <c r="I22" s="43"/>
      <c r="J22" s="43"/>
      <c r="K22" s="43"/>
      <c r="L22" s="43"/>
      <c r="M22" s="44"/>
    </row>
    <row r="23" spans="1:13" ht="16.5" thickBot="1" x14ac:dyDescent="0.3">
      <c r="A23" s="41" t="s">
        <v>72</v>
      </c>
      <c r="B23" s="42">
        <f>11.51%-3.91%+3.4%</f>
        <v>0.10999999999999999</v>
      </c>
      <c r="I23" s="43"/>
      <c r="J23" s="43"/>
      <c r="K23" s="43"/>
      <c r="L23" s="43"/>
      <c r="M23" s="44"/>
    </row>
    <row r="24" spans="1:13" ht="16.5" thickBot="1" x14ac:dyDescent="0.3">
      <c r="A24" s="41" t="s">
        <v>73</v>
      </c>
      <c r="B24" s="42">
        <f>11.61%-3.95%+3.5%</f>
        <v>0.1116</v>
      </c>
      <c r="I24" s="43"/>
      <c r="J24" s="43"/>
      <c r="K24" s="43"/>
      <c r="L24" s="44"/>
      <c r="M24" s="44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showGridLines="0" tabSelected="1" topLeftCell="A18" zoomScale="98" zoomScaleNormal="98" workbookViewId="0">
      <selection activeCell="N25" sqref="N25"/>
    </sheetView>
  </sheetViews>
  <sheetFormatPr defaultRowHeight="15" x14ac:dyDescent="0.25"/>
  <cols>
    <col min="1" max="1" width="10.85546875" customWidth="1"/>
    <col min="2" max="2" width="12.85546875" customWidth="1"/>
    <col min="3" max="3" width="15.140625" customWidth="1"/>
    <col min="4" max="4" width="13" customWidth="1"/>
    <col min="5" max="5" width="11" customWidth="1"/>
    <col min="6" max="6" width="11.85546875" customWidth="1"/>
    <col min="7" max="7" width="14.5703125" customWidth="1"/>
    <col min="8" max="8" width="11.85546875" customWidth="1"/>
    <col min="9" max="9" width="12.7109375" customWidth="1"/>
    <col min="10" max="10" width="11" customWidth="1"/>
    <col min="11" max="11" width="10.14062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47</v>
      </c>
    </row>
    <row r="5" spans="1:7" x14ac:dyDescent="0.25">
      <c r="A5" t="s">
        <v>81</v>
      </c>
    </row>
    <row r="9" spans="1:7" x14ac:dyDescent="0.25">
      <c r="A9" t="s">
        <v>2</v>
      </c>
    </row>
    <row r="10" spans="1:7" x14ac:dyDescent="0.25">
      <c r="A10" t="s">
        <v>54</v>
      </c>
    </row>
    <row r="11" spans="1:7" ht="15.75" thickBot="1" x14ac:dyDescent="0.3"/>
    <row r="12" spans="1:7" ht="24" customHeight="1" thickBot="1" x14ac:dyDescent="0.3">
      <c r="A12" s="51" t="s">
        <v>3</v>
      </c>
      <c r="B12" s="52"/>
      <c r="C12" s="1" t="s">
        <v>4</v>
      </c>
      <c r="D12" s="32" t="s">
        <v>5</v>
      </c>
      <c r="E12" s="35" t="s">
        <v>51</v>
      </c>
      <c r="F12" s="35" t="s">
        <v>50</v>
      </c>
      <c r="G12" s="35" t="s">
        <v>52</v>
      </c>
    </row>
    <row r="13" spans="1:7" ht="23.25" customHeight="1" thickBot="1" x14ac:dyDescent="0.3">
      <c r="A13" s="26" t="s">
        <v>6</v>
      </c>
      <c r="B13" s="27" t="s">
        <v>7</v>
      </c>
      <c r="C13" s="2">
        <v>0.04</v>
      </c>
      <c r="D13" s="33">
        <v>0</v>
      </c>
      <c r="E13" s="37">
        <v>0.34</v>
      </c>
      <c r="F13" s="36">
        <v>1</v>
      </c>
      <c r="G13" s="36">
        <f>E13*F13</f>
        <v>0.34</v>
      </c>
    </row>
    <row r="14" spans="1:7" ht="27.75" customHeight="1" thickBot="1" x14ac:dyDescent="0.3">
      <c r="A14" s="26" t="s">
        <v>9</v>
      </c>
      <c r="B14" s="27" t="s">
        <v>10</v>
      </c>
      <c r="C14" s="2">
        <v>7.2999999999999995E-2</v>
      </c>
      <c r="D14" s="34">
        <v>5940</v>
      </c>
      <c r="E14" s="37">
        <v>0.34</v>
      </c>
      <c r="F14" s="36">
        <v>1</v>
      </c>
      <c r="G14" s="36">
        <f>E14*F14</f>
        <v>0.34</v>
      </c>
    </row>
    <row r="15" spans="1:7" ht="24.75" thickBot="1" x14ac:dyDescent="0.3">
      <c r="A15" s="26" t="s">
        <v>11</v>
      </c>
      <c r="B15" s="27" t="s">
        <v>12</v>
      </c>
      <c r="C15" s="2">
        <v>9.5000000000000001E-2</v>
      </c>
      <c r="D15" s="34">
        <v>13860</v>
      </c>
      <c r="E15" s="37">
        <v>0.33500000000000002</v>
      </c>
      <c r="F15" s="36">
        <v>0.71240000000000003</v>
      </c>
      <c r="G15" s="36">
        <f>E15*F15</f>
        <v>0.23865400000000003</v>
      </c>
    </row>
    <row r="16" spans="1:7" ht="24.75" thickBot="1" x14ac:dyDescent="0.3">
      <c r="A16" s="26" t="s">
        <v>13</v>
      </c>
      <c r="B16" s="27" t="s">
        <v>14</v>
      </c>
      <c r="C16" s="2">
        <v>0.107</v>
      </c>
      <c r="D16" s="34">
        <v>22500</v>
      </c>
      <c r="E16" s="37">
        <v>0.33500000000000002</v>
      </c>
      <c r="F16" s="36">
        <v>0.48449999999999999</v>
      </c>
      <c r="G16" s="36">
        <f>E16*F16</f>
        <v>0.16230749999999999</v>
      </c>
    </row>
    <row r="17" spans="1:13" ht="36.75" thickBot="1" x14ac:dyDescent="0.3">
      <c r="A17" s="26" t="s">
        <v>15</v>
      </c>
      <c r="B17" s="27" t="s">
        <v>16</v>
      </c>
      <c r="C17" s="2">
        <v>0.14299999999999999</v>
      </c>
      <c r="D17" s="34">
        <v>87300</v>
      </c>
      <c r="E17" s="37">
        <v>0.33500000000000002</v>
      </c>
      <c r="F17" s="36">
        <v>0.24959999999999999</v>
      </c>
      <c r="G17" s="36">
        <f>E17*F17</f>
        <v>8.3615999999999996E-2</v>
      </c>
    </row>
    <row r="18" spans="1:13" ht="36.75" thickBot="1" x14ac:dyDescent="0.3">
      <c r="A18" s="28" t="s">
        <v>17</v>
      </c>
      <c r="B18" s="29" t="s">
        <v>18</v>
      </c>
      <c r="C18" s="2">
        <v>0.19</v>
      </c>
      <c r="D18" s="34">
        <v>378000</v>
      </c>
      <c r="E18" s="37" t="s">
        <v>8</v>
      </c>
      <c r="F18" s="36" t="s">
        <v>8</v>
      </c>
      <c r="G18" s="36"/>
    </row>
    <row r="19" spans="1:13" ht="18.75" x14ac:dyDescent="0.25">
      <c r="A19" s="30"/>
      <c r="G19" s="38"/>
    </row>
    <row r="20" spans="1:13" ht="21.75" customHeight="1" x14ac:dyDescent="0.25">
      <c r="A20" s="53" t="s">
        <v>45</v>
      </c>
      <c r="B20" s="53"/>
      <c r="C20" s="3"/>
      <c r="G20" s="38"/>
    </row>
    <row r="21" spans="1:13" ht="15" customHeight="1" thickBot="1" x14ac:dyDescent="0.3">
      <c r="A21" s="5">
        <v>42736</v>
      </c>
      <c r="B21" s="5">
        <v>42767</v>
      </c>
      <c r="C21" s="5">
        <v>42795</v>
      </c>
      <c r="D21" s="5">
        <v>42826</v>
      </c>
      <c r="E21" s="5">
        <v>42856</v>
      </c>
      <c r="F21" s="5">
        <v>42887</v>
      </c>
      <c r="G21" s="4"/>
      <c r="H21" s="4"/>
      <c r="I21" s="4"/>
      <c r="J21" s="4"/>
      <c r="K21" s="4"/>
      <c r="L21" s="4"/>
      <c r="M21" s="4"/>
    </row>
    <row r="22" spans="1:13" x14ac:dyDescent="0.25">
      <c r="A22" s="6"/>
      <c r="B22" s="6"/>
      <c r="C22" s="6"/>
      <c r="D22" s="6"/>
      <c r="E22" s="6"/>
      <c r="F22" s="6"/>
      <c r="G22" s="4"/>
      <c r="H22" s="61" t="s">
        <v>82</v>
      </c>
      <c r="I22" s="62"/>
      <c r="J22" s="62"/>
      <c r="K22" s="62"/>
      <c r="L22" s="63"/>
    </row>
    <row r="23" spans="1:13" x14ac:dyDescent="0.25">
      <c r="A23" s="5">
        <v>42917</v>
      </c>
      <c r="B23" s="5">
        <v>42948</v>
      </c>
      <c r="C23" s="5">
        <v>42979</v>
      </c>
      <c r="D23" s="5">
        <v>43009</v>
      </c>
      <c r="E23" s="5">
        <v>43040</v>
      </c>
      <c r="F23" s="5">
        <v>43070</v>
      </c>
      <c r="H23" s="64"/>
      <c r="I23" s="65"/>
      <c r="J23" s="65"/>
      <c r="K23" s="65"/>
      <c r="L23" s="66"/>
    </row>
    <row r="24" spans="1:13" x14ac:dyDescent="0.25">
      <c r="A24" s="6"/>
      <c r="B24" s="6"/>
      <c r="C24" s="6"/>
      <c r="D24" s="6"/>
      <c r="E24" s="6"/>
      <c r="F24" s="6"/>
      <c r="H24" s="64"/>
      <c r="I24" s="65"/>
      <c r="J24" s="65"/>
      <c r="K24" s="65"/>
      <c r="L24" s="66"/>
    </row>
    <row r="25" spans="1:13" ht="15.75" thickBot="1" x14ac:dyDescent="0.3">
      <c r="H25" s="67"/>
      <c r="I25" s="68"/>
      <c r="J25" s="68"/>
      <c r="K25" s="68"/>
      <c r="L25" s="69"/>
    </row>
    <row r="26" spans="1:13" ht="23.25" customHeight="1" thickBot="1" x14ac:dyDescent="0.3">
      <c r="A26" s="57" t="s">
        <v>46</v>
      </c>
      <c r="B26" s="58"/>
      <c r="C26" s="59"/>
      <c r="D26" s="60">
        <f>SUM(A22,B22,C22,D22,E22,F22,A24,B24,C24,D24,E24,F24)</f>
        <v>0</v>
      </c>
    </row>
    <row r="27" spans="1:13" ht="23.25" customHeight="1" x14ac:dyDescent="0.25">
      <c r="A27" s="47"/>
      <c r="B27" s="47"/>
      <c r="C27" s="47"/>
      <c r="D27" s="20"/>
    </row>
    <row r="28" spans="1:13" x14ac:dyDescent="0.25">
      <c r="A28" t="s">
        <v>34</v>
      </c>
    </row>
    <row r="29" spans="1:13" s="7" customFormat="1" ht="44.25" customHeight="1" x14ac:dyDescent="0.25">
      <c r="A29" s="8" t="s">
        <v>32</v>
      </c>
      <c r="B29" s="8" t="s">
        <v>33</v>
      </c>
      <c r="C29" s="8" t="s">
        <v>76</v>
      </c>
      <c r="D29" s="8" t="s">
        <v>77</v>
      </c>
      <c r="E29" s="8" t="s">
        <v>20</v>
      </c>
      <c r="F29" s="8" t="s">
        <v>78</v>
      </c>
      <c r="G29" s="8" t="s">
        <v>79</v>
      </c>
      <c r="H29" s="31" t="s">
        <v>80</v>
      </c>
      <c r="I29" s="8" t="s">
        <v>35</v>
      </c>
      <c r="J29" s="31" t="s">
        <v>44</v>
      </c>
      <c r="K29" s="8" t="s">
        <v>36</v>
      </c>
    </row>
    <row r="30" spans="1:13" x14ac:dyDescent="0.25">
      <c r="A30" s="11" t="s">
        <v>19</v>
      </c>
      <c r="B30" s="12">
        <v>0</v>
      </c>
      <c r="C30" s="12">
        <f>SUM(A22,B22,C22,D22,E22,F22,A24,B24,C24,D24,E24,F24)</f>
        <v>0</v>
      </c>
      <c r="D30" s="13">
        <f>IF(C30&lt;=180000,$C$13,IF(AND(C30&gt;180000,C30&lt;=360000),$C$14,IF(AND(C30&lt;=720000,C30&gt;=360000.01),$C$15,IF(AND(C30&lt;=1800000,C30&gt;=720000.01),$C$16,IF(AND(C30&lt;=3600000,C30&gt;=1800000.01),$C$17,IF(AND(C30&lt;=4800000,C30&gt;=3600000.01),$C$18))))))</f>
        <v>0.04</v>
      </c>
      <c r="E30" s="12">
        <f>LOOKUP(D30,$C$13:$C$18,$D$13:$D$18)</f>
        <v>0</v>
      </c>
      <c r="F30" s="13" t="e">
        <f>(((C30*D30)-E30)/C30)</f>
        <v>#DIV/0!</v>
      </c>
      <c r="G30" s="13" t="e">
        <f>F30 -(F30*(LOOKUP(D30,$C$13:$C$18,$G$13:$G$18)))</f>
        <v>#DIV/0!</v>
      </c>
      <c r="H30" s="46">
        <f>IF(C30&lt;=180000,'Simples Nacional 2017'!$B$5,IF(AND(C30&gt;180000,C30&lt;=360000),'Simples Nacional 2017'!$B$6,IF(AND(C30&lt;=540000,C30&gt;=360000.01),'Simples Nacional 2017'!$B$7,IF(AND(C30&lt;=720000,C30&gt;=540000.01),'Simples Nacional 2017'!$B$8,IF(AND(C30&lt;=900000,C30&gt;=720000.01),'Simples Nacional 2017'!$B$9,IF(AND(C30&lt;=1080000,C30&gt;=900000.01),'Simples Nacional 2017'!$B$10,IF(AND(C30&lt;=1260000,C30&gt;=1080000.01),'Simples Nacional 2017'!$B$11,IF(AND(C30&lt;=1440000,C30&gt;=1260000.01),'Simples Nacional 2017'!$B$12,IF(AND(C30&lt;=1620000,C30&gt;=1440000.01),'Simples Nacional 2017'!$B$13,IF(AND(C30&lt;=1800000,C30&gt;=1620000.01),'Simples Nacional 2017'!$B$14,IF(AND(C30&lt;=1980000,C30&gt;=1800000.01),'Simples Nacional 2017'!$B$15,IF(AND(C30&lt;=2160000,C30&gt;=1980000.01),'Simples Nacional 2017'!$B$16,IF(AND(C30&lt;=2340000,C30&gt;=2160000.01),'Simples Nacional 2017'!$B$17,IF(AND(C30&lt;=2520000,C30&gt;=2340000.01),'Simples Nacional 2017'!$B$18,IF(AND(C30&lt;=2700000,C30&gt;=2520000.01),'Simples Nacional 2017'!$B$19,IF(AND(C30&lt;=2880000,C30&gt;=2700000.01),'Simples Nacional 2017'!$B$20,IF(AND(C30&lt;=3060000,C30&gt;=2880000.01),'Simples Nacional 2017'!$B$21,IF(AND(C30&lt;=3240000,C30&gt;=3060000.01),'Simples Nacional 2017'!$B$22,IF(AND(C30&lt;=3420000,C30&gt;=3240000.01),'Simples Nacional 2017'!$B$23,IF(AND(C30&lt;=3600000,C30&gt;=3420000.01),'Simples Nacional 2017'!$B$24))))))))))))))))))))</f>
        <v>2.75E-2</v>
      </c>
      <c r="I30" s="12" t="e">
        <f t="shared" ref="I30:I41" si="0">B30*F30</f>
        <v>#DIV/0!</v>
      </c>
      <c r="J30" s="45">
        <f>B30*H30</f>
        <v>0</v>
      </c>
      <c r="K30" s="14" t="e">
        <f>I30-J30</f>
        <v>#DIV/0!</v>
      </c>
    </row>
    <row r="31" spans="1:13" x14ac:dyDescent="0.25">
      <c r="A31" s="15" t="s">
        <v>21</v>
      </c>
      <c r="B31" s="9">
        <v>0</v>
      </c>
      <c r="C31" s="9">
        <f>SUM(B22,C22,D22,E22,F22,A24,B24,C24,D24,E24,F24,B30)</f>
        <v>0</v>
      </c>
      <c r="D31" s="10">
        <f t="shared" ref="D31:D41" si="1">IF(C31&lt;=180000,$C$13,IF(AND(C31&gt;180000,C31&lt;=360000),$C$14,IF(AND(C31&lt;=720000,C31&gt;=360000.01),$C$15,IF(AND(C31&lt;=1800000,C31&gt;=720000.01),$C$16,IF(AND(C31&lt;=3600000,C31&gt;=1800000.01),$C$17,IF(AND(C31&lt;=4800000,C31&gt;=3600000.01),$C$18))))))</f>
        <v>0.04</v>
      </c>
      <c r="E31" s="9">
        <f t="shared" ref="E31:E41" si="2">LOOKUP(D31,$C$13:$C$18,$D$13:$D$18)</f>
        <v>0</v>
      </c>
      <c r="F31" s="10" t="e">
        <f t="shared" ref="F31:F41" si="3">((C31*D31)-E31)/C31</f>
        <v>#DIV/0!</v>
      </c>
      <c r="G31" s="10" t="e">
        <f t="shared" ref="G31:G41" si="4">F31 -(F31*(LOOKUP(D31,$C$13:$C$18,$G$13:$G$18)))</f>
        <v>#DIV/0!</v>
      </c>
      <c r="H31" s="46">
        <f>IF(C31&lt;=180000,'Simples Nacional 2017'!$B$5,IF(AND(C31&gt;180000,C31&lt;=360000),'Simples Nacional 2017'!$B$6,IF(AND(C31&lt;=540000,C31&gt;=360000.01),'Simples Nacional 2017'!$B$7,IF(AND(C31&lt;=720000,C31&gt;=540000.01),'Simples Nacional 2017'!$B$8,IF(AND(C31&lt;=900000,C31&gt;=720000.01),'Simples Nacional 2017'!$B$9,IF(AND(C31&lt;=1080000,C31&gt;=900000.01),'Simples Nacional 2017'!$B$10,IF(AND(C31&lt;=1260000,C31&gt;=1080000.01),'Simples Nacional 2017'!$B$11,IF(AND(C31&lt;=1440000,C31&gt;=1260000.01),'Simples Nacional 2017'!$B$12,IF(AND(C31&lt;=1620000,C31&gt;=1440000.01),'Simples Nacional 2017'!$B$13,IF(AND(C31&lt;=1800000,C31&gt;=1620000.01),'Simples Nacional 2017'!$B$14,IF(AND(C31&lt;=1980000,C31&gt;=1800000.01),'Simples Nacional 2017'!$B$15,IF(AND(C31&lt;=2160000,C31&gt;=1980000.01),'Simples Nacional 2017'!$B$16,IF(AND(C31&lt;=2340000,C31&gt;=2160000.01),'Simples Nacional 2017'!$B$17,IF(AND(C31&lt;=2520000,C31&gt;=2340000.01),'Simples Nacional 2017'!$B$18,IF(AND(C31&lt;=2700000,C31&gt;=2520000.01),'Simples Nacional 2017'!$B$19,IF(AND(C31&lt;=2880000,C31&gt;=2700000.01),'Simples Nacional 2017'!$B$20,IF(AND(C31&lt;=3060000,C31&gt;=2880000.01),'Simples Nacional 2017'!$B$21,IF(AND(C31&lt;=3240000,C31&gt;=3060000.01),'Simples Nacional 2017'!$B$22,IF(AND(C31&lt;=3420000,C31&gt;=3240000.01),'Simples Nacional 2017'!$B$23,IF(AND(C31&lt;=3600000,C31&gt;=3420000.01),'Simples Nacional 2017'!$B$24))))))))))))))))))))</f>
        <v>2.75E-2</v>
      </c>
      <c r="I31" s="9" t="e">
        <f t="shared" si="0"/>
        <v>#DIV/0!</v>
      </c>
      <c r="J31" s="45">
        <f>B31*H31</f>
        <v>0</v>
      </c>
      <c r="K31" s="16" t="e">
        <f>I31-J31</f>
        <v>#DIV/0!</v>
      </c>
    </row>
    <row r="32" spans="1:13" x14ac:dyDescent="0.25">
      <c r="A32" s="15" t="s">
        <v>22</v>
      </c>
      <c r="B32" s="9">
        <v>0</v>
      </c>
      <c r="C32" s="9">
        <f>SUM(C22,D22,E22,F22,A24,B24,C24,D24,E24,F24,B30,B31)</f>
        <v>0</v>
      </c>
      <c r="D32" s="10">
        <f t="shared" si="1"/>
        <v>0.04</v>
      </c>
      <c r="E32" s="9">
        <f t="shared" si="2"/>
        <v>0</v>
      </c>
      <c r="F32" s="10" t="e">
        <f t="shared" si="3"/>
        <v>#DIV/0!</v>
      </c>
      <c r="G32" s="10" t="e">
        <f t="shared" si="4"/>
        <v>#DIV/0!</v>
      </c>
      <c r="H32" s="46">
        <f>IF(C32&lt;=180000,'Simples Nacional 2017'!$B$5,IF(AND(C32&gt;180000,C32&lt;=360000),'Simples Nacional 2017'!$B$6,IF(AND(C32&lt;=540000,C32&gt;=360000.01),'Simples Nacional 2017'!$B$7,IF(AND(C32&lt;=720000,C32&gt;=540000.01),'Simples Nacional 2017'!$B$8,IF(AND(C32&lt;=900000,C32&gt;=720000.01),'Simples Nacional 2017'!$B$9,IF(AND(C32&lt;=1080000,C32&gt;=900000.01),'Simples Nacional 2017'!$B$10,IF(AND(C32&lt;=1260000,C32&gt;=1080000.01),'Simples Nacional 2017'!$B$11,IF(AND(C32&lt;=1440000,C32&gt;=1260000.01),'Simples Nacional 2017'!$B$12,IF(AND(C32&lt;=1620000,C32&gt;=1440000.01),'Simples Nacional 2017'!$B$13,IF(AND(C32&lt;=1800000,C32&gt;=1620000.01),'Simples Nacional 2017'!$B$14,IF(AND(C32&lt;=1980000,C32&gt;=1800000.01),'Simples Nacional 2017'!$B$15,IF(AND(C32&lt;=2160000,C32&gt;=1980000.01),'Simples Nacional 2017'!$B$16,IF(AND(C32&lt;=2340000,C32&gt;=2160000.01),'Simples Nacional 2017'!$B$17,IF(AND(C32&lt;=2520000,C32&gt;=2340000.01),'Simples Nacional 2017'!$B$18,IF(AND(C32&lt;=2700000,C32&gt;=2520000.01),'Simples Nacional 2017'!$B$19,IF(AND(C32&lt;=2880000,C32&gt;=2700000.01),'Simples Nacional 2017'!$B$20,IF(AND(C32&lt;=3060000,C32&gt;=2880000.01),'Simples Nacional 2017'!$B$21,IF(AND(C32&lt;=3240000,C32&gt;=3060000.01),'Simples Nacional 2017'!$B$22,IF(AND(C32&lt;=3420000,C32&gt;=3240000.01),'Simples Nacional 2017'!$B$23,IF(AND(C32&lt;=3600000,C32&gt;=3420000.01),'Simples Nacional 2017'!$B$24))))))))))))))))))))</f>
        <v>2.75E-2</v>
      </c>
      <c r="I32" s="9" t="e">
        <f t="shared" si="0"/>
        <v>#DIV/0!</v>
      </c>
      <c r="J32" s="45">
        <f t="shared" ref="J32:J41" si="5">B32*H32</f>
        <v>0</v>
      </c>
      <c r="K32" s="16" t="e">
        <f t="shared" ref="K32:K41" si="6">I32-J32</f>
        <v>#DIV/0!</v>
      </c>
    </row>
    <row r="33" spans="1:17" x14ac:dyDescent="0.25">
      <c r="A33" s="15" t="s">
        <v>23</v>
      </c>
      <c r="B33" s="9">
        <v>0</v>
      </c>
      <c r="C33" s="9">
        <f>SUM(D22,E22,F22,A24,B24,C24,D24,E24,F24,B30,B31,B32)</f>
        <v>0</v>
      </c>
      <c r="D33" s="10">
        <f t="shared" si="1"/>
        <v>0.04</v>
      </c>
      <c r="E33" s="9">
        <f t="shared" si="2"/>
        <v>0</v>
      </c>
      <c r="F33" s="10" t="e">
        <f t="shared" si="3"/>
        <v>#DIV/0!</v>
      </c>
      <c r="G33" s="10" t="e">
        <f t="shared" si="4"/>
        <v>#DIV/0!</v>
      </c>
      <c r="H33" s="46">
        <f>IF(C33&lt;=180000,'Simples Nacional 2017'!$B$5,IF(AND(C33&gt;180000,C33&lt;=360000),'Simples Nacional 2017'!$B$6,IF(AND(C33&lt;=540000,C33&gt;=360000.01),'Simples Nacional 2017'!$B$7,IF(AND(C33&lt;=720000,C33&gt;=540000.01),'Simples Nacional 2017'!$B$8,IF(AND(C33&lt;=900000,C33&gt;=720000.01),'Simples Nacional 2017'!$B$9,IF(AND(C33&lt;=1080000,C33&gt;=900000.01),'Simples Nacional 2017'!$B$10,IF(AND(C33&lt;=1260000,C33&gt;=1080000.01),'Simples Nacional 2017'!$B$11,IF(AND(C33&lt;=1440000,C33&gt;=1260000.01),'Simples Nacional 2017'!$B$12,IF(AND(C33&lt;=1620000,C33&gt;=1440000.01),'Simples Nacional 2017'!$B$13,IF(AND(C33&lt;=1800000,C33&gt;=1620000.01),'Simples Nacional 2017'!$B$14,IF(AND(C33&lt;=1980000,C33&gt;=1800000.01),'Simples Nacional 2017'!$B$15,IF(AND(C33&lt;=2160000,C33&gt;=1980000.01),'Simples Nacional 2017'!$B$16,IF(AND(C33&lt;=2340000,C33&gt;=2160000.01),'Simples Nacional 2017'!$B$17,IF(AND(C33&lt;=2520000,C33&gt;=2340000.01),'Simples Nacional 2017'!$B$18,IF(AND(C33&lt;=2700000,C33&gt;=2520000.01),'Simples Nacional 2017'!$B$19,IF(AND(C33&lt;=2880000,C33&gt;=2700000.01),'Simples Nacional 2017'!$B$20,IF(AND(C33&lt;=3060000,C33&gt;=2880000.01),'Simples Nacional 2017'!$B$21,IF(AND(C33&lt;=3240000,C33&gt;=3060000.01),'Simples Nacional 2017'!$B$22,IF(AND(C33&lt;=3420000,C33&gt;=3240000.01),'Simples Nacional 2017'!$B$23,IF(AND(C33&lt;=3600000,C33&gt;=3420000.01),'Simples Nacional 2017'!$B$24))))))))))))))))))))</f>
        <v>2.75E-2</v>
      </c>
      <c r="I33" s="9" t="e">
        <f t="shared" si="0"/>
        <v>#DIV/0!</v>
      </c>
      <c r="J33" s="45">
        <f t="shared" si="5"/>
        <v>0</v>
      </c>
      <c r="K33" s="16" t="e">
        <f t="shared" si="6"/>
        <v>#DIV/0!</v>
      </c>
    </row>
    <row r="34" spans="1:17" ht="15.75" thickBot="1" x14ac:dyDescent="0.3">
      <c r="A34" s="15" t="s">
        <v>24</v>
      </c>
      <c r="B34" s="9">
        <v>0</v>
      </c>
      <c r="C34" s="9">
        <f>SUM(E22,F22,A24,B24,C24,D24,E24,F24,B30,B31,B32,B33)</f>
        <v>0</v>
      </c>
      <c r="D34" s="10">
        <f t="shared" si="1"/>
        <v>0.04</v>
      </c>
      <c r="E34" s="9">
        <f t="shared" si="2"/>
        <v>0</v>
      </c>
      <c r="F34" s="10" t="e">
        <f t="shared" si="3"/>
        <v>#DIV/0!</v>
      </c>
      <c r="G34" s="10" t="e">
        <f t="shared" si="4"/>
        <v>#DIV/0!</v>
      </c>
      <c r="H34" s="46">
        <f>IF(C34&lt;=180000,'Simples Nacional 2017'!$B$5,IF(AND(C34&gt;180000,C34&lt;=360000),'Simples Nacional 2017'!$B$6,IF(AND(C34&lt;=540000,C34&gt;=360000.01),'Simples Nacional 2017'!$B$7,IF(AND(C34&lt;=720000,C34&gt;=540000.01),'Simples Nacional 2017'!$B$8,IF(AND(C34&lt;=900000,C34&gt;=720000.01),'Simples Nacional 2017'!$B$9,IF(AND(C34&lt;=1080000,C34&gt;=900000.01),'Simples Nacional 2017'!$B$10,IF(AND(C34&lt;=1260000,C34&gt;=1080000.01),'Simples Nacional 2017'!$B$11,IF(AND(C34&lt;=1440000,C34&gt;=1260000.01),'Simples Nacional 2017'!$B$12,IF(AND(C34&lt;=1620000,C34&gt;=1440000.01),'Simples Nacional 2017'!$B$13,IF(AND(C34&lt;=1800000,C34&gt;=1620000.01),'Simples Nacional 2017'!$B$14,IF(AND(C34&lt;=1980000,C34&gt;=1800000.01),'Simples Nacional 2017'!$B$15,IF(AND(C34&lt;=2160000,C34&gt;=1980000.01),'Simples Nacional 2017'!$B$16,IF(AND(C34&lt;=2340000,C34&gt;=2160000.01),'Simples Nacional 2017'!$B$17,IF(AND(C34&lt;=2520000,C34&gt;=2340000.01),'Simples Nacional 2017'!$B$18,IF(AND(C34&lt;=2700000,C34&gt;=2520000.01),'Simples Nacional 2017'!$B$19,IF(AND(C34&lt;=2880000,C34&gt;=2700000.01),'Simples Nacional 2017'!$B$20,IF(AND(C34&lt;=3060000,C34&gt;=2880000.01),'Simples Nacional 2017'!$B$21,IF(AND(C34&lt;=3240000,C34&gt;=3060000.01),'Simples Nacional 2017'!$B$22,IF(AND(C34&lt;=3420000,C34&gt;=3240000.01),'Simples Nacional 2017'!$B$23,IF(AND(C34&lt;=3600000,C34&gt;=3420000.01),'Simples Nacional 2017'!$B$24))))))))))))))))))))</f>
        <v>2.75E-2</v>
      </c>
      <c r="I34" s="9" t="e">
        <f t="shared" si="0"/>
        <v>#DIV/0!</v>
      </c>
      <c r="J34" s="45">
        <f t="shared" si="5"/>
        <v>0</v>
      </c>
      <c r="K34" s="16" t="e">
        <f t="shared" si="6"/>
        <v>#DIV/0!</v>
      </c>
    </row>
    <row r="35" spans="1:17" x14ac:dyDescent="0.25">
      <c r="A35" s="15" t="s">
        <v>25</v>
      </c>
      <c r="B35" s="9">
        <v>0</v>
      </c>
      <c r="C35" s="9">
        <f>SUM(F22,A24,B24,C24,D24,E24,F24,B30,B31,B32,B33,B34)</f>
        <v>0</v>
      </c>
      <c r="D35" s="10">
        <f t="shared" si="1"/>
        <v>0.04</v>
      </c>
      <c r="E35" s="9">
        <f t="shared" si="2"/>
        <v>0</v>
      </c>
      <c r="F35" s="10" t="e">
        <f t="shared" si="3"/>
        <v>#DIV/0!</v>
      </c>
      <c r="G35" s="10" t="e">
        <f t="shared" si="4"/>
        <v>#DIV/0!</v>
      </c>
      <c r="H35" s="46">
        <f>IF(C35&lt;=180000,'Simples Nacional 2017'!$B$5,IF(AND(C35&gt;180000,C35&lt;=360000),'Simples Nacional 2017'!$B$6,IF(AND(C35&lt;=540000,C35&gt;=360000.01),'Simples Nacional 2017'!$B$7,IF(AND(C35&lt;=720000,C35&gt;=540000.01),'Simples Nacional 2017'!$B$8,IF(AND(C35&lt;=900000,C35&gt;=720000.01),'Simples Nacional 2017'!$B$9,IF(AND(C35&lt;=1080000,C35&gt;=900000.01),'Simples Nacional 2017'!$B$10,IF(AND(C35&lt;=1260000,C35&gt;=1080000.01),'Simples Nacional 2017'!$B$11,IF(AND(C35&lt;=1440000,C35&gt;=1260000.01),'Simples Nacional 2017'!$B$12,IF(AND(C35&lt;=1620000,C35&gt;=1440000.01),'Simples Nacional 2017'!$B$13,IF(AND(C35&lt;=1800000,C35&gt;=1620000.01),'Simples Nacional 2017'!$B$14,IF(AND(C35&lt;=1980000,C35&gt;=1800000.01),'Simples Nacional 2017'!$B$15,IF(AND(C35&lt;=2160000,C35&gt;=1980000.01),'Simples Nacional 2017'!$B$16,IF(AND(C35&lt;=2340000,C35&gt;=2160000.01),'Simples Nacional 2017'!$B$17,IF(AND(C35&lt;=2520000,C35&gt;=2340000.01),'Simples Nacional 2017'!$B$18,IF(AND(C35&lt;=2700000,C35&gt;=2520000.01),'Simples Nacional 2017'!$B$19,IF(AND(C35&lt;=2880000,C35&gt;=2700000.01),'Simples Nacional 2017'!$B$20,IF(AND(C35&lt;=3060000,C35&gt;=2880000.01),'Simples Nacional 2017'!$B$21,IF(AND(C35&lt;=3240000,C35&gt;=3060000.01),'Simples Nacional 2017'!$B$22,IF(AND(C35&lt;=3420000,C35&gt;=3240000.01),'Simples Nacional 2017'!$B$23,IF(AND(C35&lt;=3600000,C35&gt;=3420000.01),'Simples Nacional 2017'!$B$24))))))))))))))))))))</f>
        <v>2.75E-2</v>
      </c>
      <c r="I35" s="9" t="e">
        <f t="shared" si="0"/>
        <v>#DIV/0!</v>
      </c>
      <c r="J35" s="45">
        <f t="shared" si="5"/>
        <v>0</v>
      </c>
      <c r="K35" s="16" t="e">
        <f t="shared" si="6"/>
        <v>#DIV/0!</v>
      </c>
      <c r="M35" s="61" t="s">
        <v>83</v>
      </c>
      <c r="N35" s="62"/>
      <c r="O35" s="62"/>
      <c r="P35" s="62"/>
      <c r="Q35" s="63"/>
    </row>
    <row r="36" spans="1:17" x14ac:dyDescent="0.25">
      <c r="A36" s="15" t="s">
        <v>26</v>
      </c>
      <c r="B36" s="9">
        <v>0</v>
      </c>
      <c r="C36" s="9">
        <f>SUM(A24,B24,C24,D24,E24,F24,B30,B31,B32,B33,B34,B35)</f>
        <v>0</v>
      </c>
      <c r="D36" s="10">
        <f t="shared" si="1"/>
        <v>0.04</v>
      </c>
      <c r="E36" s="9">
        <f t="shared" si="2"/>
        <v>0</v>
      </c>
      <c r="F36" s="10" t="e">
        <f t="shared" si="3"/>
        <v>#DIV/0!</v>
      </c>
      <c r="G36" s="10" t="e">
        <f t="shared" si="4"/>
        <v>#DIV/0!</v>
      </c>
      <c r="H36" s="46">
        <f>IF(C36&lt;=180000,'Simples Nacional 2017'!$B$5,IF(AND(C36&gt;180000,C36&lt;=360000),'Simples Nacional 2017'!$B$6,IF(AND(C36&lt;=540000,C36&gt;=360000.01),'Simples Nacional 2017'!$B$7,IF(AND(C36&lt;=720000,C36&gt;=540000.01),'Simples Nacional 2017'!$B$8,IF(AND(C36&lt;=900000,C36&gt;=720000.01),'Simples Nacional 2017'!$B$9,IF(AND(C36&lt;=1080000,C36&gt;=900000.01),'Simples Nacional 2017'!$B$10,IF(AND(C36&lt;=1260000,C36&gt;=1080000.01),'Simples Nacional 2017'!$B$11,IF(AND(C36&lt;=1440000,C36&gt;=1260000.01),'Simples Nacional 2017'!$B$12,IF(AND(C36&lt;=1620000,C36&gt;=1440000.01),'Simples Nacional 2017'!$B$13,IF(AND(C36&lt;=1800000,C36&gt;=1620000.01),'Simples Nacional 2017'!$B$14,IF(AND(C36&lt;=1980000,C36&gt;=1800000.01),'Simples Nacional 2017'!$B$15,IF(AND(C36&lt;=2160000,C36&gt;=1980000.01),'Simples Nacional 2017'!$B$16,IF(AND(C36&lt;=2340000,C36&gt;=2160000.01),'Simples Nacional 2017'!$B$17,IF(AND(C36&lt;=2520000,C36&gt;=2340000.01),'Simples Nacional 2017'!$B$18,IF(AND(C36&lt;=2700000,C36&gt;=2520000.01),'Simples Nacional 2017'!$B$19,IF(AND(C36&lt;=2880000,C36&gt;=2700000.01),'Simples Nacional 2017'!$B$20,IF(AND(C36&lt;=3060000,C36&gt;=2880000.01),'Simples Nacional 2017'!$B$21,IF(AND(C36&lt;=3240000,C36&gt;=3060000.01),'Simples Nacional 2017'!$B$22,IF(AND(C36&lt;=3420000,C36&gt;=3240000.01),'Simples Nacional 2017'!$B$23,IF(AND(C36&lt;=3600000,C36&gt;=3420000.01),'Simples Nacional 2017'!$B$24))))))))))))))))))))</f>
        <v>2.75E-2</v>
      </c>
      <c r="I36" s="9" t="e">
        <f t="shared" si="0"/>
        <v>#DIV/0!</v>
      </c>
      <c r="J36" s="45">
        <f t="shared" si="5"/>
        <v>0</v>
      </c>
      <c r="K36" s="16" t="e">
        <f t="shared" si="6"/>
        <v>#DIV/0!</v>
      </c>
      <c r="M36" s="64"/>
      <c r="N36" s="65"/>
      <c r="O36" s="65"/>
      <c r="P36" s="65"/>
      <c r="Q36" s="66"/>
    </row>
    <row r="37" spans="1:17" x14ac:dyDescent="0.25">
      <c r="A37" s="15" t="s">
        <v>27</v>
      </c>
      <c r="B37" s="9">
        <v>0</v>
      </c>
      <c r="C37" s="9">
        <f>SUM(B24,C24,D24,E24,F24,B30,B31,B32,B33,B34,B35,B36)</f>
        <v>0</v>
      </c>
      <c r="D37" s="10">
        <f t="shared" si="1"/>
        <v>0.04</v>
      </c>
      <c r="E37" s="9">
        <f t="shared" si="2"/>
        <v>0</v>
      </c>
      <c r="F37" s="10" t="e">
        <f t="shared" si="3"/>
        <v>#DIV/0!</v>
      </c>
      <c r="G37" s="10" t="e">
        <f t="shared" si="4"/>
        <v>#DIV/0!</v>
      </c>
      <c r="H37" s="46">
        <f>IF(C37&lt;=180000,'Simples Nacional 2017'!$B$5,IF(AND(C37&gt;180000,C37&lt;=360000),'Simples Nacional 2017'!$B$6,IF(AND(C37&lt;=540000,C37&gt;=360000.01),'Simples Nacional 2017'!$B$7,IF(AND(C37&lt;=720000,C37&gt;=540000.01),'Simples Nacional 2017'!$B$8,IF(AND(C37&lt;=900000,C37&gt;=720000.01),'Simples Nacional 2017'!$B$9,IF(AND(C37&lt;=1080000,C37&gt;=900000.01),'Simples Nacional 2017'!$B$10,IF(AND(C37&lt;=1260000,C37&gt;=1080000.01),'Simples Nacional 2017'!$B$11,IF(AND(C37&lt;=1440000,C37&gt;=1260000.01),'Simples Nacional 2017'!$B$12,IF(AND(C37&lt;=1620000,C37&gt;=1440000.01),'Simples Nacional 2017'!$B$13,IF(AND(C37&lt;=1800000,C37&gt;=1620000.01),'Simples Nacional 2017'!$B$14,IF(AND(C37&lt;=1980000,C37&gt;=1800000.01),'Simples Nacional 2017'!$B$15,IF(AND(C37&lt;=2160000,C37&gt;=1980000.01),'Simples Nacional 2017'!$B$16,IF(AND(C37&lt;=2340000,C37&gt;=2160000.01),'Simples Nacional 2017'!$B$17,IF(AND(C37&lt;=2520000,C37&gt;=2340000.01),'Simples Nacional 2017'!$B$18,IF(AND(C37&lt;=2700000,C37&gt;=2520000.01),'Simples Nacional 2017'!$B$19,IF(AND(C37&lt;=2880000,C37&gt;=2700000.01),'Simples Nacional 2017'!$B$20,IF(AND(C37&lt;=3060000,C37&gt;=2880000.01),'Simples Nacional 2017'!$B$21,IF(AND(C37&lt;=3240000,C37&gt;=3060000.01),'Simples Nacional 2017'!$B$22,IF(AND(C37&lt;=3420000,C37&gt;=3240000.01),'Simples Nacional 2017'!$B$23,IF(AND(C37&lt;=3600000,C37&gt;=3420000.01),'Simples Nacional 2017'!$B$24))))))))))))))))))))</f>
        <v>2.75E-2</v>
      </c>
      <c r="I37" s="9" t="e">
        <f t="shared" si="0"/>
        <v>#DIV/0!</v>
      </c>
      <c r="J37" s="45">
        <f t="shared" si="5"/>
        <v>0</v>
      </c>
      <c r="K37" s="16" t="e">
        <f t="shared" si="6"/>
        <v>#DIV/0!</v>
      </c>
      <c r="M37" s="64"/>
      <c r="N37" s="65"/>
      <c r="O37" s="65"/>
      <c r="P37" s="65"/>
      <c r="Q37" s="66"/>
    </row>
    <row r="38" spans="1:17" ht="15.75" thickBot="1" x14ac:dyDescent="0.3">
      <c r="A38" s="15" t="s">
        <v>28</v>
      </c>
      <c r="B38" s="9">
        <v>0</v>
      </c>
      <c r="C38" s="9">
        <f>SUM(C24,D24,E24,F24,B30,B31,B32,B33,B34,B35,B36,B37)</f>
        <v>0</v>
      </c>
      <c r="D38" s="10">
        <f t="shared" si="1"/>
        <v>0.04</v>
      </c>
      <c r="E38" s="9">
        <f t="shared" si="2"/>
        <v>0</v>
      </c>
      <c r="F38" s="10" t="e">
        <f t="shared" si="3"/>
        <v>#DIV/0!</v>
      </c>
      <c r="G38" s="10" t="e">
        <f t="shared" si="4"/>
        <v>#DIV/0!</v>
      </c>
      <c r="H38" s="46">
        <f>IF(C38&lt;=180000,'Simples Nacional 2017'!$B$5,IF(AND(C38&gt;180000,C38&lt;=360000),'Simples Nacional 2017'!$B$6,IF(AND(C38&lt;=540000,C38&gt;=360000.01),'Simples Nacional 2017'!$B$7,IF(AND(C38&lt;=720000,C38&gt;=540000.01),'Simples Nacional 2017'!$B$8,IF(AND(C38&lt;=900000,C38&gt;=720000.01),'Simples Nacional 2017'!$B$9,IF(AND(C38&lt;=1080000,C38&gt;=900000.01),'Simples Nacional 2017'!$B$10,IF(AND(C38&lt;=1260000,C38&gt;=1080000.01),'Simples Nacional 2017'!$B$11,IF(AND(C38&lt;=1440000,C38&gt;=1260000.01),'Simples Nacional 2017'!$B$12,IF(AND(C38&lt;=1620000,C38&gt;=1440000.01),'Simples Nacional 2017'!$B$13,IF(AND(C38&lt;=1800000,C38&gt;=1620000.01),'Simples Nacional 2017'!$B$14,IF(AND(C38&lt;=1980000,C38&gt;=1800000.01),'Simples Nacional 2017'!$B$15,IF(AND(C38&lt;=2160000,C38&gt;=1980000.01),'Simples Nacional 2017'!$B$16,IF(AND(C38&lt;=2340000,C38&gt;=2160000.01),'Simples Nacional 2017'!$B$17,IF(AND(C38&lt;=2520000,C38&gt;=2340000.01),'Simples Nacional 2017'!$B$18,IF(AND(C38&lt;=2700000,C38&gt;=2520000.01),'Simples Nacional 2017'!$B$19,IF(AND(C38&lt;=2880000,C38&gt;=2700000.01),'Simples Nacional 2017'!$B$20,IF(AND(C38&lt;=3060000,C38&gt;=2880000.01),'Simples Nacional 2017'!$B$21,IF(AND(C38&lt;=3240000,C38&gt;=3060000.01),'Simples Nacional 2017'!$B$22,IF(AND(C38&lt;=3420000,C38&gt;=3240000.01),'Simples Nacional 2017'!$B$23,IF(AND(C38&lt;=3600000,C38&gt;=3420000.01),'Simples Nacional 2017'!$B$24))))))))))))))))))))</f>
        <v>2.75E-2</v>
      </c>
      <c r="I38" s="9" t="e">
        <f t="shared" si="0"/>
        <v>#DIV/0!</v>
      </c>
      <c r="J38" s="45">
        <f t="shared" si="5"/>
        <v>0</v>
      </c>
      <c r="K38" s="16" t="e">
        <f t="shared" si="6"/>
        <v>#DIV/0!</v>
      </c>
      <c r="M38" s="67"/>
      <c r="N38" s="68"/>
      <c r="O38" s="68"/>
      <c r="P38" s="68"/>
      <c r="Q38" s="69"/>
    </row>
    <row r="39" spans="1:17" x14ac:dyDescent="0.25">
      <c r="A39" s="15" t="s">
        <v>29</v>
      </c>
      <c r="B39" s="9">
        <v>0</v>
      </c>
      <c r="C39" s="9">
        <f>SUM(D24,E24,F24,B30,B31,B32,B33,B34,B35,B36,B37,B38)</f>
        <v>0</v>
      </c>
      <c r="D39" s="10">
        <f t="shared" si="1"/>
        <v>0.04</v>
      </c>
      <c r="E39" s="9">
        <f t="shared" si="2"/>
        <v>0</v>
      </c>
      <c r="F39" s="10" t="e">
        <f t="shared" si="3"/>
        <v>#DIV/0!</v>
      </c>
      <c r="G39" s="10" t="e">
        <f t="shared" si="4"/>
        <v>#DIV/0!</v>
      </c>
      <c r="H39" s="46">
        <f>IF(C39&lt;=180000,'Simples Nacional 2017'!$B$5,IF(AND(C39&gt;180000,C39&lt;=360000),'Simples Nacional 2017'!$B$6,IF(AND(C39&lt;=540000,C39&gt;=360000.01),'Simples Nacional 2017'!$B$7,IF(AND(C39&lt;=720000,C39&gt;=540000.01),'Simples Nacional 2017'!$B$8,IF(AND(C39&lt;=900000,C39&gt;=720000.01),'Simples Nacional 2017'!$B$9,IF(AND(C39&lt;=1080000,C39&gt;=900000.01),'Simples Nacional 2017'!$B$10,IF(AND(C39&lt;=1260000,C39&gt;=1080000.01),'Simples Nacional 2017'!$B$11,IF(AND(C39&lt;=1440000,C39&gt;=1260000.01),'Simples Nacional 2017'!$B$12,IF(AND(C39&lt;=1620000,C39&gt;=1440000.01),'Simples Nacional 2017'!$B$13,IF(AND(C39&lt;=1800000,C39&gt;=1620000.01),'Simples Nacional 2017'!$B$14,IF(AND(C39&lt;=1980000,C39&gt;=1800000.01),'Simples Nacional 2017'!$B$15,IF(AND(C39&lt;=2160000,C39&gt;=1980000.01),'Simples Nacional 2017'!$B$16,IF(AND(C39&lt;=2340000,C39&gt;=2160000.01),'Simples Nacional 2017'!$B$17,IF(AND(C39&lt;=2520000,C39&gt;=2340000.01),'Simples Nacional 2017'!$B$18,IF(AND(C39&lt;=2700000,C39&gt;=2520000.01),'Simples Nacional 2017'!$B$19,IF(AND(C39&lt;=2880000,C39&gt;=2700000.01),'Simples Nacional 2017'!$B$20,IF(AND(C39&lt;=3060000,C39&gt;=2880000.01),'Simples Nacional 2017'!$B$21,IF(AND(C39&lt;=3240000,C39&gt;=3060000.01),'Simples Nacional 2017'!$B$22,IF(AND(C39&lt;=3420000,C39&gt;=3240000.01),'Simples Nacional 2017'!$B$23,IF(AND(C39&lt;=3600000,C39&gt;=3420000.01),'Simples Nacional 2017'!$B$24))))))))))))))))))))</f>
        <v>2.75E-2</v>
      </c>
      <c r="I39" s="9" t="e">
        <f t="shared" si="0"/>
        <v>#DIV/0!</v>
      </c>
      <c r="J39" s="45">
        <f t="shared" si="5"/>
        <v>0</v>
      </c>
      <c r="K39" s="16" t="e">
        <f t="shared" si="6"/>
        <v>#DIV/0!</v>
      </c>
    </row>
    <row r="40" spans="1:17" x14ac:dyDescent="0.25">
      <c r="A40" s="15" t="s">
        <v>30</v>
      </c>
      <c r="B40" s="9">
        <v>0</v>
      </c>
      <c r="C40" s="9">
        <f>SUM(E24,F24,B30,B31,B32,B33,B34,B35,B36,B37,B38,B39)</f>
        <v>0</v>
      </c>
      <c r="D40" s="10">
        <f t="shared" si="1"/>
        <v>0.04</v>
      </c>
      <c r="E40" s="9">
        <f t="shared" si="2"/>
        <v>0</v>
      </c>
      <c r="F40" s="10" t="e">
        <f t="shared" si="3"/>
        <v>#DIV/0!</v>
      </c>
      <c r="G40" s="10" t="e">
        <f t="shared" si="4"/>
        <v>#DIV/0!</v>
      </c>
      <c r="H40" s="46">
        <f>IF(C40&lt;=180000,'Simples Nacional 2017'!$B$5,IF(AND(C40&gt;180000,C40&lt;=360000),'Simples Nacional 2017'!$B$6,IF(AND(C40&lt;=540000,C40&gt;=360000.01),'Simples Nacional 2017'!$B$7,IF(AND(C40&lt;=720000,C40&gt;=540000.01),'Simples Nacional 2017'!$B$8,IF(AND(C40&lt;=900000,C40&gt;=720000.01),'Simples Nacional 2017'!$B$9,IF(AND(C40&lt;=1080000,C40&gt;=900000.01),'Simples Nacional 2017'!$B$10,IF(AND(C40&lt;=1260000,C40&gt;=1080000.01),'Simples Nacional 2017'!$B$11,IF(AND(C40&lt;=1440000,C40&gt;=1260000.01),'Simples Nacional 2017'!$B$12,IF(AND(C40&lt;=1620000,C40&gt;=1440000.01),'Simples Nacional 2017'!$B$13,IF(AND(C40&lt;=1800000,C40&gt;=1620000.01),'Simples Nacional 2017'!$B$14,IF(AND(C40&lt;=1980000,C40&gt;=1800000.01),'Simples Nacional 2017'!$B$15,IF(AND(C40&lt;=2160000,C40&gt;=1980000.01),'Simples Nacional 2017'!$B$16,IF(AND(C40&lt;=2340000,C40&gt;=2160000.01),'Simples Nacional 2017'!$B$17,IF(AND(C40&lt;=2520000,C40&gt;=2340000.01),'Simples Nacional 2017'!$B$18,IF(AND(C40&lt;=2700000,C40&gt;=2520000.01),'Simples Nacional 2017'!$B$19,IF(AND(C40&lt;=2880000,C40&gt;=2700000.01),'Simples Nacional 2017'!$B$20,IF(AND(C40&lt;=3060000,C40&gt;=2880000.01),'Simples Nacional 2017'!$B$21,IF(AND(C40&lt;=3240000,C40&gt;=3060000.01),'Simples Nacional 2017'!$B$22,IF(AND(C40&lt;=3420000,C40&gt;=3240000.01),'Simples Nacional 2017'!$B$23,IF(AND(C40&lt;=3600000,C40&gt;=3420000.01),'Simples Nacional 2017'!$B$24))))))))))))))))))))</f>
        <v>2.75E-2</v>
      </c>
      <c r="I40" s="9" t="e">
        <f t="shared" si="0"/>
        <v>#DIV/0!</v>
      </c>
      <c r="J40" s="45">
        <f t="shared" si="5"/>
        <v>0</v>
      </c>
      <c r="K40" s="16" t="e">
        <f t="shared" si="6"/>
        <v>#DIV/0!</v>
      </c>
    </row>
    <row r="41" spans="1:17" ht="15.75" thickBot="1" x14ac:dyDescent="0.3">
      <c r="A41" s="15" t="s">
        <v>31</v>
      </c>
      <c r="B41" s="9">
        <v>0</v>
      </c>
      <c r="C41" s="9">
        <f>SUM(F24,B30,B31,B32,B33,B34,B35,B36,B37,B38,B39,B40)</f>
        <v>0</v>
      </c>
      <c r="D41" s="10">
        <f t="shared" si="1"/>
        <v>0.04</v>
      </c>
      <c r="E41" s="9">
        <f t="shared" si="2"/>
        <v>0</v>
      </c>
      <c r="F41" s="10" t="e">
        <f t="shared" si="3"/>
        <v>#DIV/0!</v>
      </c>
      <c r="G41" s="10" t="e">
        <f t="shared" si="4"/>
        <v>#DIV/0!</v>
      </c>
      <c r="H41" s="46">
        <f>IF(C41&lt;=180000,'Simples Nacional 2017'!$B$5,IF(AND(C41&gt;180000,C41&lt;=360000),'Simples Nacional 2017'!$B$6,IF(AND(C41&lt;=540000,C41&gt;=360000.01),'Simples Nacional 2017'!$B$7,IF(AND(C41&lt;=720000,C41&gt;=540000.01),'Simples Nacional 2017'!$B$8,IF(AND(C41&lt;=900000,C41&gt;=720000.01),'Simples Nacional 2017'!$B$9,IF(AND(C41&lt;=1080000,C41&gt;=900000.01),'Simples Nacional 2017'!$B$10,IF(AND(C41&lt;=1260000,C41&gt;=1080000.01),'Simples Nacional 2017'!$B$11,IF(AND(C41&lt;=1440000,C41&gt;=1260000.01),'Simples Nacional 2017'!$B$12,IF(AND(C41&lt;=1620000,C41&gt;=1440000.01),'Simples Nacional 2017'!$B$13,IF(AND(C41&lt;=1800000,C41&gt;=1620000.01),'Simples Nacional 2017'!$B$14,IF(AND(C41&lt;=1980000,C41&gt;=1800000.01),'Simples Nacional 2017'!$B$15,IF(AND(C41&lt;=2160000,C41&gt;=1980000.01),'Simples Nacional 2017'!$B$16,IF(AND(C41&lt;=2340000,C41&gt;=2160000.01),'Simples Nacional 2017'!$B$17,IF(AND(C41&lt;=2520000,C41&gt;=2340000.01),'Simples Nacional 2017'!$B$18,IF(AND(C41&lt;=2700000,C41&gt;=2520000.01),'Simples Nacional 2017'!$B$19,IF(AND(C41&lt;=2880000,C41&gt;=2700000.01),'Simples Nacional 2017'!$B$20,IF(AND(C41&lt;=3060000,C41&gt;=2880000.01),'Simples Nacional 2017'!$B$21,IF(AND(C41&lt;=3240000,C41&gt;=3060000.01),'Simples Nacional 2017'!$B$22,IF(AND(C41&lt;=3420000,C41&gt;=3240000.01),'Simples Nacional 2017'!$B$23,IF(AND(C41&lt;=3600000,C41&gt;=3420000.01),'Simples Nacional 2017'!$B$24))))))))))))))))))))</f>
        <v>2.75E-2</v>
      </c>
      <c r="I41" s="9" t="e">
        <f t="shared" si="0"/>
        <v>#DIV/0!</v>
      </c>
      <c r="J41" s="45">
        <f t="shared" si="5"/>
        <v>0</v>
      </c>
      <c r="K41" s="16" t="e">
        <f t="shared" si="6"/>
        <v>#DIV/0!</v>
      </c>
    </row>
    <row r="42" spans="1:17" ht="15.75" thickBot="1" x14ac:dyDescent="0.3">
      <c r="A42" s="54" t="s">
        <v>42</v>
      </c>
      <c r="B42" s="55"/>
      <c r="C42" s="55"/>
      <c r="D42" s="55"/>
      <c r="E42" s="55"/>
      <c r="F42" s="56"/>
      <c r="G42" s="25"/>
      <c r="H42" s="22"/>
      <c r="I42" s="23" t="e">
        <f>SUM(I30:I41)</f>
        <v>#DIV/0!</v>
      </c>
      <c r="J42" s="23">
        <f>SUM(J30:J41)</f>
        <v>0</v>
      </c>
      <c r="K42" s="23" t="e">
        <f>SUM(K30:K41)</f>
        <v>#DIV/0!</v>
      </c>
    </row>
    <row r="43" spans="1:17" ht="9.75" customHeight="1" x14ac:dyDescent="0.25"/>
    <row r="44" spans="1:17" x14ac:dyDescent="0.25">
      <c r="A44" t="s">
        <v>48</v>
      </c>
    </row>
    <row r="45" spans="1:17" s="21" customFormat="1" ht="39" customHeight="1" x14ac:dyDescent="0.25">
      <c r="A45" s="8" t="s">
        <v>32</v>
      </c>
      <c r="B45" s="8" t="s">
        <v>37</v>
      </c>
      <c r="C45" s="8" t="s">
        <v>53</v>
      </c>
      <c r="D45" s="8" t="s">
        <v>38</v>
      </c>
      <c r="E45" s="8" t="s">
        <v>39</v>
      </c>
      <c r="F45" s="8" t="s">
        <v>40</v>
      </c>
      <c r="G45" s="8" t="s">
        <v>43</v>
      </c>
      <c r="H45" s="8" t="s">
        <v>41</v>
      </c>
      <c r="I45" s="8" t="s">
        <v>49</v>
      </c>
    </row>
    <row r="46" spans="1:17" x14ac:dyDescent="0.25">
      <c r="A46" s="11" t="s">
        <v>19</v>
      </c>
      <c r="B46" s="12">
        <f>B30</f>
        <v>0</v>
      </c>
      <c r="C46" s="12">
        <f>B46*6%</f>
        <v>0</v>
      </c>
      <c r="D46" s="12">
        <f>B46*0.65%</f>
        <v>0</v>
      </c>
      <c r="E46" s="12">
        <f>B46*3%</f>
        <v>0</v>
      </c>
      <c r="F46" s="12">
        <f>(B46*8%)*15%</f>
        <v>0</v>
      </c>
      <c r="G46" s="12">
        <v>0</v>
      </c>
      <c r="H46" s="12">
        <f>B46*12%*9%</f>
        <v>0</v>
      </c>
      <c r="I46" s="14">
        <f t="shared" ref="I46:I57" si="7">C46+D46+E46+F46+G46+H46</f>
        <v>0</v>
      </c>
    </row>
    <row r="47" spans="1:17" x14ac:dyDescent="0.25">
      <c r="A47" s="15" t="s">
        <v>21</v>
      </c>
      <c r="B47" s="9">
        <f>B31</f>
        <v>0</v>
      </c>
      <c r="C47" s="9">
        <f>B47*6%</f>
        <v>0</v>
      </c>
      <c r="D47" s="9">
        <f t="shared" ref="D47:D57" si="8">B47*0.65%</f>
        <v>0</v>
      </c>
      <c r="E47" s="9">
        <f t="shared" ref="E47:E57" si="9">B47*3%</f>
        <v>0</v>
      </c>
      <c r="F47" s="9">
        <f>(B47*8%)*15%</f>
        <v>0</v>
      </c>
      <c r="G47" s="9">
        <v>0</v>
      </c>
      <c r="H47" s="9">
        <f>B47*12%*9%</f>
        <v>0</v>
      </c>
      <c r="I47" s="16">
        <f t="shared" si="7"/>
        <v>0</v>
      </c>
    </row>
    <row r="48" spans="1:17" x14ac:dyDescent="0.25">
      <c r="A48" s="15" t="s">
        <v>22</v>
      </c>
      <c r="B48" s="9">
        <f>B32</f>
        <v>0</v>
      </c>
      <c r="C48" s="9">
        <f t="shared" ref="C48:C57" si="10">B48*6%</f>
        <v>0</v>
      </c>
      <c r="D48" s="9">
        <f t="shared" si="8"/>
        <v>0</v>
      </c>
      <c r="E48" s="9">
        <f t="shared" si="9"/>
        <v>0</v>
      </c>
      <c r="F48" s="9">
        <f t="shared" ref="F48:F57" si="11">(B48*8%)*15%</f>
        <v>0</v>
      </c>
      <c r="G48" s="9">
        <v>0</v>
      </c>
      <c r="H48" s="9">
        <f>B48*12%*9%</f>
        <v>0</v>
      </c>
      <c r="I48" s="16">
        <f t="shared" si="7"/>
        <v>0</v>
      </c>
    </row>
    <row r="49" spans="1:9" x14ac:dyDescent="0.25">
      <c r="A49" s="15" t="s">
        <v>23</v>
      </c>
      <c r="B49" s="9">
        <f t="shared" ref="B49:B57" si="12">B33</f>
        <v>0</v>
      </c>
      <c r="C49" s="9">
        <f t="shared" si="10"/>
        <v>0</v>
      </c>
      <c r="D49" s="9">
        <f t="shared" si="8"/>
        <v>0</v>
      </c>
      <c r="E49" s="9">
        <f t="shared" si="9"/>
        <v>0</v>
      </c>
      <c r="F49" s="9">
        <f t="shared" si="11"/>
        <v>0</v>
      </c>
      <c r="G49" s="9">
        <v>0</v>
      </c>
      <c r="H49" s="9">
        <f t="shared" ref="H49:H57" si="13">B49*12%*9%</f>
        <v>0</v>
      </c>
      <c r="I49" s="16">
        <f t="shared" si="7"/>
        <v>0</v>
      </c>
    </row>
    <row r="50" spans="1:9" x14ac:dyDescent="0.25">
      <c r="A50" s="15" t="s">
        <v>24</v>
      </c>
      <c r="B50" s="9">
        <f t="shared" si="12"/>
        <v>0</v>
      </c>
      <c r="C50" s="9">
        <f t="shared" si="10"/>
        <v>0</v>
      </c>
      <c r="D50" s="9">
        <f t="shared" si="8"/>
        <v>0</v>
      </c>
      <c r="E50" s="9">
        <f t="shared" si="9"/>
        <v>0</v>
      </c>
      <c r="F50" s="9">
        <f t="shared" si="11"/>
        <v>0</v>
      </c>
      <c r="G50" s="9">
        <v>0</v>
      </c>
      <c r="H50" s="9">
        <f t="shared" si="13"/>
        <v>0</v>
      </c>
      <c r="I50" s="16">
        <f t="shared" si="7"/>
        <v>0</v>
      </c>
    </row>
    <row r="51" spans="1:9" x14ac:dyDescent="0.25">
      <c r="A51" s="15" t="s">
        <v>25</v>
      </c>
      <c r="B51" s="9">
        <f t="shared" si="12"/>
        <v>0</v>
      </c>
      <c r="C51" s="9">
        <f t="shared" si="10"/>
        <v>0</v>
      </c>
      <c r="D51" s="9">
        <f t="shared" si="8"/>
        <v>0</v>
      </c>
      <c r="E51" s="9">
        <f t="shared" si="9"/>
        <v>0</v>
      </c>
      <c r="F51" s="9">
        <f t="shared" si="11"/>
        <v>0</v>
      </c>
      <c r="G51" s="9">
        <v>0</v>
      </c>
      <c r="H51" s="9">
        <f t="shared" si="13"/>
        <v>0</v>
      </c>
      <c r="I51" s="16">
        <f t="shared" si="7"/>
        <v>0</v>
      </c>
    </row>
    <row r="52" spans="1:9" x14ac:dyDescent="0.25">
      <c r="A52" s="15" t="s">
        <v>26</v>
      </c>
      <c r="B52" s="9">
        <f t="shared" si="12"/>
        <v>0</v>
      </c>
      <c r="C52" s="9">
        <f t="shared" si="10"/>
        <v>0</v>
      </c>
      <c r="D52" s="9">
        <f t="shared" si="8"/>
        <v>0</v>
      </c>
      <c r="E52" s="9">
        <f t="shared" si="9"/>
        <v>0</v>
      </c>
      <c r="F52" s="9">
        <f t="shared" si="11"/>
        <v>0</v>
      </c>
      <c r="G52" s="9">
        <v>0</v>
      </c>
      <c r="H52" s="9">
        <f t="shared" si="13"/>
        <v>0</v>
      </c>
      <c r="I52" s="16">
        <f t="shared" si="7"/>
        <v>0</v>
      </c>
    </row>
    <row r="53" spans="1:9" x14ac:dyDescent="0.25">
      <c r="A53" s="15" t="s">
        <v>27</v>
      </c>
      <c r="B53" s="9">
        <f t="shared" si="12"/>
        <v>0</v>
      </c>
      <c r="C53" s="9">
        <f t="shared" si="10"/>
        <v>0</v>
      </c>
      <c r="D53" s="9">
        <f t="shared" si="8"/>
        <v>0</v>
      </c>
      <c r="E53" s="9">
        <f t="shared" si="9"/>
        <v>0</v>
      </c>
      <c r="F53" s="9">
        <f t="shared" si="11"/>
        <v>0</v>
      </c>
      <c r="G53" s="9">
        <v>0</v>
      </c>
      <c r="H53" s="9">
        <f t="shared" si="13"/>
        <v>0</v>
      </c>
      <c r="I53" s="16">
        <f t="shared" si="7"/>
        <v>0</v>
      </c>
    </row>
    <row r="54" spans="1:9" x14ac:dyDescent="0.25">
      <c r="A54" s="15" t="s">
        <v>28</v>
      </c>
      <c r="B54" s="9">
        <f t="shared" si="12"/>
        <v>0</v>
      </c>
      <c r="C54" s="9">
        <f t="shared" si="10"/>
        <v>0</v>
      </c>
      <c r="D54" s="9">
        <f t="shared" si="8"/>
        <v>0</v>
      </c>
      <c r="E54" s="9">
        <f t="shared" si="9"/>
        <v>0</v>
      </c>
      <c r="F54" s="9">
        <f t="shared" si="11"/>
        <v>0</v>
      </c>
      <c r="G54" s="9">
        <v>0</v>
      </c>
      <c r="H54" s="9">
        <f t="shared" si="13"/>
        <v>0</v>
      </c>
      <c r="I54" s="16">
        <f t="shared" si="7"/>
        <v>0</v>
      </c>
    </row>
    <row r="55" spans="1:9" x14ac:dyDescent="0.25">
      <c r="A55" s="15" t="s">
        <v>29</v>
      </c>
      <c r="B55" s="9">
        <f t="shared" si="12"/>
        <v>0</v>
      </c>
      <c r="C55" s="9">
        <f t="shared" si="10"/>
        <v>0</v>
      </c>
      <c r="D55" s="9">
        <f t="shared" si="8"/>
        <v>0</v>
      </c>
      <c r="E55" s="9">
        <f t="shared" si="9"/>
        <v>0</v>
      </c>
      <c r="F55" s="9">
        <f t="shared" si="11"/>
        <v>0</v>
      </c>
      <c r="G55" s="9">
        <v>0</v>
      </c>
      <c r="H55" s="9">
        <f t="shared" si="13"/>
        <v>0</v>
      </c>
      <c r="I55" s="16">
        <f t="shared" si="7"/>
        <v>0</v>
      </c>
    </row>
    <row r="56" spans="1:9" x14ac:dyDescent="0.25">
      <c r="A56" s="15" t="s">
        <v>30</v>
      </c>
      <c r="B56" s="9">
        <f t="shared" si="12"/>
        <v>0</v>
      </c>
      <c r="C56" s="9">
        <f t="shared" si="10"/>
        <v>0</v>
      </c>
      <c r="D56" s="9">
        <f t="shared" si="8"/>
        <v>0</v>
      </c>
      <c r="E56" s="9">
        <f t="shared" si="9"/>
        <v>0</v>
      </c>
      <c r="F56" s="9">
        <f t="shared" si="11"/>
        <v>0</v>
      </c>
      <c r="G56" s="9">
        <v>0</v>
      </c>
      <c r="H56" s="9">
        <f t="shared" si="13"/>
        <v>0</v>
      </c>
      <c r="I56" s="16">
        <f t="shared" si="7"/>
        <v>0</v>
      </c>
    </row>
    <row r="57" spans="1:9" ht="15.75" thickBot="1" x14ac:dyDescent="0.3">
      <c r="A57" s="17" t="s">
        <v>31</v>
      </c>
      <c r="B57" s="9">
        <f t="shared" si="12"/>
        <v>0</v>
      </c>
      <c r="C57" s="9">
        <f t="shared" si="10"/>
        <v>0</v>
      </c>
      <c r="D57" s="18">
        <f t="shared" si="8"/>
        <v>0</v>
      </c>
      <c r="E57" s="18">
        <f t="shared" si="9"/>
        <v>0</v>
      </c>
      <c r="F57" s="9">
        <f t="shared" si="11"/>
        <v>0</v>
      </c>
      <c r="G57" s="18">
        <v>0</v>
      </c>
      <c r="H57" s="9">
        <f t="shared" si="13"/>
        <v>0</v>
      </c>
      <c r="I57" s="19">
        <f t="shared" si="7"/>
        <v>0</v>
      </c>
    </row>
    <row r="58" spans="1:9" ht="15.75" thickBot="1" x14ac:dyDescent="0.3">
      <c r="A58" s="48" t="s">
        <v>42</v>
      </c>
      <c r="B58" s="49"/>
      <c r="C58" s="49"/>
      <c r="D58" s="49"/>
      <c r="E58" s="49"/>
      <c r="F58" s="49"/>
      <c r="G58" s="49"/>
      <c r="H58" s="50"/>
      <c r="I58" s="24">
        <f>SUM(I46:I57)</f>
        <v>0</v>
      </c>
    </row>
  </sheetData>
  <mergeCells count="7">
    <mergeCell ref="M35:Q38"/>
    <mergeCell ref="A58:H58"/>
    <mergeCell ref="A12:B12"/>
    <mergeCell ref="A20:B20"/>
    <mergeCell ref="A26:C26"/>
    <mergeCell ref="A42:F42"/>
    <mergeCell ref="H22:L25"/>
  </mergeCells>
  <pageMargins left="0.511811024" right="0.511811024" top="0.78740157499999996" bottom="0.78740157499999996" header="0.31496062000000002" footer="0.31496062000000002"/>
  <pageSetup paperSize="9" orientation="landscape" horizontalDpi="1200" verticalDpi="1200" r:id="rId1"/>
  <ignoredErrors>
    <ignoredError sqref="F30:G30 I30 K30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Simples Nacional 2017</vt:lpstr>
      <vt:lpstr>SIMULAÇÃO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Elisama</dc:creator>
  <cp:lastModifiedBy>Elisama</cp:lastModifiedBy>
  <cp:lastPrinted>2017-11-01T15:52:13Z</cp:lastPrinted>
  <dcterms:created xsi:type="dcterms:W3CDTF">2017-10-31T12:37:53Z</dcterms:created>
  <dcterms:modified xsi:type="dcterms:W3CDTF">2017-12-12T10:31:46Z</dcterms:modified>
</cp:coreProperties>
</file>