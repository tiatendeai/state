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Usuario\Desktop\Smart Planilhas\Planilhas Grátis Gui\Planilhas Diversas\"/>
    </mc:Choice>
  </mc:AlternateContent>
  <xr:revisionPtr revIDLastSave="0" documentId="13_ncr:40009_{86C5DC9F-475B-450D-9359-C033B8712772}" xr6:coauthVersionLast="45" xr6:coauthVersionMax="45" xr10:uidLastSave="{00000000-0000-0000-0000-000000000000}"/>
  <bookViews>
    <workbookView xWindow="-120" yWindow="-120" windowWidth="20640" windowHeight="11160"/>
  </bookViews>
  <sheets>
    <sheet name="Boletim Medição-SmartPlanilhas" sheetId="1" r:id="rId1"/>
  </sheets>
  <definedNames>
    <definedName name="_xlnm.Print_Area" localSheetId="0">'Boletim Medição-SmartPlanilhas'!$A$1:$AC$50</definedName>
    <definedName name="_xlnm.Print_Titles" localSheetId="0">'Boletim Medição-SmartPlanilhas'!$1:$6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1" l="1"/>
  <c r="U9" i="1" s="1"/>
  <c r="T9" i="1"/>
  <c r="Q10" i="1"/>
  <c r="U10" i="1" s="1"/>
  <c r="T10" i="1"/>
  <c r="Q11" i="1"/>
  <c r="U11" i="1" s="1"/>
  <c r="T11" i="1"/>
  <c r="Q12" i="1"/>
  <c r="T12" i="1"/>
  <c r="Q13" i="1"/>
  <c r="U13" i="1" s="1"/>
  <c r="T13" i="1"/>
  <c r="Q14" i="1"/>
  <c r="U14" i="1"/>
  <c r="Q15" i="1"/>
  <c r="U15" i="1" s="1"/>
  <c r="T15" i="1"/>
  <c r="Q16" i="1"/>
  <c r="U16" i="1" s="1"/>
  <c r="T16" i="1"/>
  <c r="Q17" i="1"/>
  <c r="U17" i="1" s="1"/>
  <c r="T17" i="1"/>
  <c r="Q18" i="1"/>
  <c r="U18" i="1" s="1"/>
  <c r="T18" i="1"/>
  <c r="Q19" i="1"/>
  <c r="T19" i="1"/>
  <c r="U19" i="1"/>
  <c r="Q20" i="1"/>
  <c r="U20" i="1" s="1"/>
  <c r="T20" i="1"/>
  <c r="Q21" i="1"/>
  <c r="T21" i="1"/>
  <c r="U21" i="1"/>
  <c r="Q22" i="1"/>
  <c r="T22" i="1"/>
  <c r="U22" i="1"/>
  <c r="Q23" i="1"/>
  <c r="U23" i="1" s="1"/>
  <c r="T23" i="1"/>
  <c r="Q24" i="1"/>
  <c r="U24" i="1" s="1"/>
  <c r="T24" i="1"/>
  <c r="Q25" i="1"/>
  <c r="U25" i="1" s="1"/>
  <c r="T25" i="1"/>
  <c r="Q26" i="1"/>
  <c r="U26" i="1" s="1"/>
  <c r="Q27" i="1"/>
  <c r="U27" i="1" s="1"/>
  <c r="T27" i="1"/>
  <c r="Q28" i="1"/>
  <c r="U28" i="1" s="1"/>
  <c r="T28" i="1"/>
  <c r="R50" i="1"/>
  <c r="T29" i="1" l="1"/>
  <c r="F31" i="1" s="1"/>
  <c r="F32" i="1"/>
  <c r="U29" i="1"/>
  <c r="M32" i="1" l="1"/>
  <c r="T30" i="1" s="1"/>
  <c r="S33" i="1" l="1"/>
</calcChain>
</file>

<file path=xl/sharedStrings.xml><?xml version="1.0" encoding="utf-8"?>
<sst xmlns="http://schemas.openxmlformats.org/spreadsheetml/2006/main" count="55" uniqueCount="51">
  <si>
    <t>SERVIÇOS</t>
  </si>
  <si>
    <t>QUANTIDADES</t>
  </si>
  <si>
    <t>previsto</t>
  </si>
  <si>
    <t>acumulado ant.</t>
  </si>
  <si>
    <t>execut. período</t>
  </si>
  <si>
    <t>acumul. total</t>
  </si>
  <si>
    <t>no período</t>
  </si>
  <si>
    <t>DESCONTOS</t>
  </si>
  <si>
    <t xml:space="preserve"> INSS</t>
  </si>
  <si>
    <t>_____ %</t>
  </si>
  <si>
    <t xml:space="preserve"> Outros</t>
  </si>
  <si>
    <t>sim</t>
  </si>
  <si>
    <t xml:space="preserve"> ISS</t>
  </si>
  <si>
    <t xml:space="preserve"> Caução</t>
  </si>
  <si>
    <t>não</t>
  </si>
  <si>
    <t xml:space="preserve"> Empreiteiro:</t>
  </si>
  <si>
    <t xml:space="preserve"> EAF</t>
  </si>
  <si>
    <t xml:space="preserve"> Engº</t>
  </si>
  <si>
    <t xml:space="preserve"> Supervisor:</t>
  </si>
  <si>
    <t>Liberação de pagamento</t>
  </si>
  <si>
    <t>TOTAL OUTROS DESCONTOS</t>
  </si>
  <si>
    <t>DESCONTOS - OUTROS</t>
  </si>
  <si>
    <t>ITEM</t>
  </si>
  <si>
    <t>VALOR (R$)</t>
  </si>
  <si>
    <t xml:space="preserve"> Caução Acum. (R$):</t>
  </si>
  <si>
    <t>unitário</t>
  </si>
  <si>
    <t>PREÇOS (R$)</t>
  </si>
  <si>
    <t>IRRF</t>
  </si>
  <si>
    <t>PIS/COFINS/CSLL</t>
  </si>
  <si>
    <t>Contrato/AS nº:</t>
  </si>
  <si>
    <t xml:space="preserve">RELAÇÃO DE FORNECIMENTOS PARA A EMPREITEIRA </t>
  </si>
  <si>
    <t xml:space="preserve"> </t>
  </si>
  <si>
    <t>Aditivo(R$):</t>
  </si>
  <si>
    <r>
      <rPr>
        <b/>
        <sz val="11"/>
        <color theme="1" tint="0.34998626667073579"/>
        <rFont val="Arial"/>
        <family val="2"/>
      </rPr>
      <t>Serviço</t>
    </r>
    <r>
      <rPr>
        <sz val="11"/>
        <color theme="1" tint="0.34998626667073579"/>
        <rFont val="Arial"/>
        <family val="2"/>
      </rPr>
      <t>:</t>
    </r>
  </si>
  <si>
    <r>
      <rPr>
        <b/>
        <sz val="11"/>
        <color theme="1" tint="0.34998626667073579"/>
        <rFont val="Arial"/>
        <family val="2"/>
      </rPr>
      <t>Valor estimado(R$</t>
    </r>
    <r>
      <rPr>
        <sz val="11"/>
        <color theme="1" tint="0.34998626667073579"/>
        <rFont val="Arial"/>
        <family val="2"/>
      </rPr>
      <t xml:space="preserve">): </t>
    </r>
  </si>
  <si>
    <r>
      <t xml:space="preserve">SEU | </t>
    </r>
    <r>
      <rPr>
        <b/>
        <sz val="16"/>
        <color rgb="FF00B0F0"/>
        <rFont val="Arial"/>
        <family val="2"/>
      </rPr>
      <t>LOGO</t>
    </r>
  </si>
  <si>
    <r>
      <rPr>
        <b/>
        <sz val="11"/>
        <color theme="1" tint="0.34998626667073579"/>
        <rFont val="Arial"/>
        <family val="2"/>
      </rPr>
      <t>Medição nº</t>
    </r>
    <r>
      <rPr>
        <sz val="11"/>
        <color theme="1" tint="0.34998626667073579"/>
        <rFont val="Arial"/>
        <family val="2"/>
      </rPr>
      <t>:</t>
    </r>
  </si>
  <si>
    <r>
      <rPr>
        <b/>
        <sz val="11"/>
        <color theme="1" tint="0.34998626667073579"/>
        <rFont val="Arial"/>
        <family val="2"/>
      </rPr>
      <t>Tipo:</t>
    </r>
    <r>
      <rPr>
        <sz val="11"/>
        <color theme="1" tint="0.34998626667073579"/>
        <rFont val="Arial"/>
        <family val="2"/>
      </rPr>
      <t xml:space="preserve"> </t>
    </r>
  </si>
  <si>
    <r>
      <rPr>
        <b/>
        <sz val="11"/>
        <color theme="1" tint="0.34998626667073579"/>
        <rFont val="Arial"/>
        <family val="2"/>
      </rPr>
      <t>Período</t>
    </r>
    <r>
      <rPr>
        <sz val="11"/>
        <color theme="1" tint="0.34998626667073579"/>
        <rFont val="Arial"/>
        <family val="2"/>
      </rPr>
      <t>:</t>
    </r>
  </si>
  <si>
    <r>
      <rPr>
        <b/>
        <sz val="11"/>
        <color theme="1" tint="0.34998626667073579"/>
        <rFont val="Arial"/>
        <family val="2"/>
      </rPr>
      <t>Contratada</t>
    </r>
    <r>
      <rPr>
        <sz val="11"/>
        <color theme="1" tint="0.34998626667073579"/>
        <rFont val="Arial"/>
        <family val="2"/>
      </rPr>
      <t>:</t>
    </r>
  </si>
  <si>
    <r>
      <rPr>
        <b/>
        <sz val="11"/>
        <color theme="1" tint="0.34998626667073579"/>
        <rFont val="Arial"/>
        <family val="2"/>
      </rPr>
      <t>Data prevista pagtº</t>
    </r>
    <r>
      <rPr>
        <sz val="11"/>
        <color theme="1" tint="0.34998626667073579"/>
        <rFont val="Arial"/>
        <family val="2"/>
      </rPr>
      <t xml:space="preserve">: </t>
    </r>
  </si>
  <si>
    <t>Obra:</t>
  </si>
  <si>
    <t>TOTAIS  BOLETIM</t>
  </si>
  <si>
    <t>ESPECIFICAÇÃO</t>
  </si>
  <si>
    <t>Líquido Receber:</t>
  </si>
  <si>
    <t xml:space="preserve"> Valor líquido à receber (por extenso): </t>
  </si>
  <si>
    <t>Nove Mil e Quatrocentos e Noventa e Sete Reais e Vinte e Cinco Centavos</t>
  </si>
  <si>
    <t>un</t>
  </si>
  <si>
    <t>BOLETIM DE MEDIÇÃO DE OBRA</t>
  </si>
  <si>
    <t xml:space="preserve">FGTS:      </t>
  </si>
  <si>
    <t xml:space="preserve"> Data da Medição: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</si>
</sst>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202" formatCode="0.00_);[Red]\(0.00\)"/>
  </numFmts>
  <fonts count="22" x14ac:knownFonts="1">
    <font>
      <sz val="12"/>
      <name val="Arial"/>
    </font>
    <font>
      <sz val="12"/>
      <name val="Arial"/>
      <family val="2"/>
    </font>
    <font>
      <sz val="10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1"/>
      <color theme="1" tint="0.14999847407452621"/>
      <name val="Calibri"/>
      <family val="2"/>
      <scheme val="minor"/>
    </font>
    <font>
      <b/>
      <sz val="10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8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 tint="0.14999847407452621"/>
      <name val="Arial"/>
      <family val="2"/>
    </font>
    <font>
      <b/>
      <sz val="11"/>
      <color theme="1" tint="0.14999847407452621"/>
      <name val="Arial"/>
      <family val="2"/>
    </font>
    <font>
      <b/>
      <i/>
      <sz val="12"/>
      <color theme="1" tint="0.14999847407452621"/>
      <name val="Calibri"/>
      <family val="2"/>
      <scheme val="minor"/>
    </font>
    <font>
      <b/>
      <sz val="16"/>
      <color rgb="FF00B0F0"/>
      <name val="Arial"/>
      <family val="2"/>
    </font>
    <font>
      <sz val="11"/>
      <color theme="1" tint="0.14999847407452621"/>
      <name val="Arial"/>
      <family val="2"/>
    </font>
    <font>
      <b/>
      <sz val="11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sz val="11"/>
      <color theme="1" tint="0.34998626667073579"/>
      <name val="Arial"/>
      <family val="2"/>
    </font>
    <font>
      <b/>
      <sz val="12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/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2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2" fontId="3" fillId="0" borderId="0" xfId="1" applyNumberFormat="1" applyFont="1" applyAlignment="1">
      <alignment horizontal="right"/>
    </xf>
    <xf numFmtId="0" fontId="0" fillId="0" borderId="0" xfId="0" applyBorder="1"/>
    <xf numFmtId="0" fontId="0" fillId="0" borderId="0" xfId="0" applyBorder="1" applyAlignment="1"/>
    <xf numFmtId="171" fontId="5" fillId="0" borderId="0" xfId="1" applyNumberFormat="1" applyFont="1" applyAlignment="1">
      <alignment horizontal="center" vertical="center"/>
    </xf>
    <xf numFmtId="0" fontId="7" fillId="0" borderId="0" xfId="0" applyFont="1" applyBorder="1"/>
    <xf numFmtId="0" fontId="8" fillId="0" borderId="0" xfId="0" applyFont="1" applyBorder="1"/>
    <xf numFmtId="0" fontId="8" fillId="0" borderId="0" xfId="1" applyFont="1" applyBorder="1" applyAlignment="1">
      <alignment horizontal="center"/>
    </xf>
    <xf numFmtId="2" fontId="8" fillId="0" borderId="0" xfId="1" applyNumberFormat="1" applyFont="1" applyBorder="1" applyAlignment="1">
      <alignment horizontal="right"/>
    </xf>
    <xf numFmtId="2" fontId="10" fillId="0" borderId="2" xfId="1" applyNumberFormat="1" applyFont="1" applyBorder="1" applyAlignment="1">
      <alignment horizontal="right" vertical="center"/>
    </xf>
    <xf numFmtId="2" fontId="10" fillId="0" borderId="2" xfId="1" applyNumberFormat="1" applyFont="1" applyBorder="1" applyAlignment="1">
      <alignment horizontal="center" vertical="center"/>
    </xf>
    <xf numFmtId="171" fontId="10" fillId="0" borderId="2" xfId="3" applyFont="1" applyBorder="1" applyAlignment="1">
      <alignment horizontal="right" vertical="center"/>
    </xf>
    <xf numFmtId="2" fontId="10" fillId="0" borderId="3" xfId="1" applyNumberFormat="1" applyFont="1" applyBorder="1" applyAlignment="1">
      <alignment horizontal="right" vertical="center"/>
    </xf>
    <xf numFmtId="2" fontId="10" fillId="0" borderId="3" xfId="1" applyNumberFormat="1" applyFont="1" applyBorder="1" applyAlignment="1">
      <alignment horizontal="center" vertical="center"/>
    </xf>
    <xf numFmtId="171" fontId="10" fillId="0" borderId="3" xfId="3" applyFont="1" applyBorder="1" applyAlignment="1">
      <alignment horizontal="right" vertical="center"/>
    </xf>
    <xf numFmtId="2" fontId="10" fillId="0" borderId="4" xfId="1" applyNumberFormat="1" applyFont="1" applyBorder="1" applyAlignment="1">
      <alignment horizontal="right" vertical="center"/>
    </xf>
    <xf numFmtId="171" fontId="10" fillId="0" borderId="4" xfId="3" applyFont="1" applyBorder="1" applyAlignment="1">
      <alignment horizontal="right" vertical="center"/>
    </xf>
    <xf numFmtId="49" fontId="10" fillId="0" borderId="5" xfId="1" applyNumberFormat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2" fontId="10" fillId="0" borderId="6" xfId="1" applyNumberFormat="1" applyFont="1" applyBorder="1" applyAlignment="1">
      <alignment horizontal="center" vertical="center"/>
    </xf>
    <xf numFmtId="2" fontId="10" fillId="0" borderId="6" xfId="1" applyNumberFormat="1" applyFont="1" applyBorder="1" applyAlignment="1">
      <alignment horizontal="right" vertical="center"/>
    </xf>
    <xf numFmtId="2" fontId="10" fillId="0" borderId="7" xfId="1" applyNumberFormat="1" applyFont="1" applyBorder="1" applyAlignment="1">
      <alignment horizontal="right" vertical="center"/>
    </xf>
    <xf numFmtId="49" fontId="10" fillId="0" borderId="6" xfId="1" applyNumberFormat="1" applyFont="1" applyBorder="1" applyAlignment="1">
      <alignment horizontal="left" vertical="center"/>
    </xf>
    <xf numFmtId="0" fontId="10" fillId="0" borderId="6" xfId="1" applyFont="1" applyBorder="1" applyAlignment="1">
      <alignment horizontal="center" vertical="center"/>
    </xf>
    <xf numFmtId="49" fontId="10" fillId="0" borderId="8" xfId="1" applyNumberFormat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9" xfId="1" applyFont="1" applyBorder="1" applyAlignment="1">
      <alignment horizontal="center" vertical="center"/>
    </xf>
    <xf numFmtId="2" fontId="10" fillId="0" borderId="9" xfId="1" applyNumberFormat="1" applyFont="1" applyBorder="1" applyAlignment="1">
      <alignment horizontal="right" vertical="center"/>
    </xf>
    <xf numFmtId="2" fontId="10" fillId="0" borderId="10" xfId="1" applyNumberFormat="1" applyFont="1" applyBorder="1" applyAlignment="1">
      <alignment horizontal="right" vertical="center"/>
    </xf>
    <xf numFmtId="171" fontId="11" fillId="0" borderId="1" xfId="3" applyFont="1" applyBorder="1" applyAlignment="1">
      <alignment horizontal="right" vertical="center"/>
    </xf>
    <xf numFmtId="171" fontId="8" fillId="0" borderId="1" xfId="3" applyFont="1" applyBorder="1" applyAlignment="1">
      <alignment horizontal="right" vertical="center"/>
    </xf>
    <xf numFmtId="2" fontId="8" fillId="0" borderId="15" xfId="1" applyNumberFormat="1" applyFont="1" applyBorder="1" applyAlignment="1">
      <alignment horizontal="centerContinuous" vertical="center"/>
    </xf>
    <xf numFmtId="0" fontId="8" fillId="0" borderId="16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11" fillId="0" borderId="18" xfId="1" applyFont="1" applyBorder="1" applyAlignment="1">
      <alignment horizontal="left" vertical="center"/>
    </xf>
    <xf numFmtId="2" fontId="8" fillId="0" borderId="19" xfId="1" applyNumberFormat="1" applyFont="1" applyBorder="1" applyAlignment="1">
      <alignment horizontal="centerContinuous" vertical="center"/>
    </xf>
    <xf numFmtId="0" fontId="8" fillId="0" borderId="17" xfId="1" applyFont="1" applyBorder="1" applyAlignment="1">
      <alignment horizontal="left" vertical="center"/>
    </xf>
    <xf numFmtId="2" fontId="8" fillId="0" borderId="20" xfId="1" applyNumberFormat="1" applyFont="1" applyBorder="1" applyAlignment="1">
      <alignment horizontal="left" vertical="center"/>
    </xf>
    <xf numFmtId="0" fontId="8" fillId="0" borderId="21" xfId="1" applyFont="1" applyBorder="1" applyAlignment="1">
      <alignment horizontal="left" vertical="center"/>
    </xf>
    <xf numFmtId="2" fontId="8" fillId="0" borderId="22" xfId="1" applyNumberFormat="1" applyFont="1" applyBorder="1" applyAlignment="1">
      <alignment horizontal="left" vertical="center"/>
    </xf>
    <xf numFmtId="0" fontId="8" fillId="0" borderId="23" xfId="1" applyFont="1" applyBorder="1" applyAlignment="1">
      <alignment horizontal="right" vertical="center"/>
    </xf>
    <xf numFmtId="2" fontId="8" fillId="0" borderId="24" xfId="1" applyNumberFormat="1" applyFont="1" applyBorder="1" applyAlignment="1">
      <alignment horizontal="left" vertical="center"/>
    </xf>
    <xf numFmtId="202" fontId="10" fillId="2" borderId="5" xfId="2" applyNumberFormat="1" applyFont="1" applyFill="1" applyBorder="1" applyAlignment="1">
      <alignment horizontal="left" vertical="center"/>
    </xf>
    <xf numFmtId="202" fontId="10" fillId="2" borderId="6" xfId="2" applyNumberFormat="1" applyFont="1" applyFill="1" applyBorder="1" applyAlignment="1">
      <alignment horizontal="left" vertical="center"/>
    </xf>
    <xf numFmtId="4" fontId="10" fillId="0" borderId="6" xfId="2" applyNumberFormat="1" applyFont="1" applyBorder="1" applyAlignment="1">
      <alignment horizontal="right" vertical="center"/>
    </xf>
    <xf numFmtId="202" fontId="10" fillId="2" borderId="8" xfId="2" applyNumberFormat="1" applyFont="1" applyFill="1" applyBorder="1" applyAlignment="1">
      <alignment horizontal="left" vertical="center"/>
    </xf>
    <xf numFmtId="202" fontId="10" fillId="2" borderId="9" xfId="2" applyNumberFormat="1" applyFont="1" applyFill="1" applyBorder="1" applyAlignment="1">
      <alignment horizontal="left" vertical="center"/>
    </xf>
    <xf numFmtId="4" fontId="10" fillId="0" borderId="9" xfId="2" applyNumberFormat="1" applyFont="1" applyBorder="1" applyAlignment="1">
      <alignment horizontal="right" vertical="center"/>
    </xf>
    <xf numFmtId="0" fontId="8" fillId="0" borderId="2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9" fillId="0" borderId="27" xfId="1" applyFont="1" applyBorder="1" applyAlignment="1">
      <alignment horizontal="left" vertical="top"/>
    </xf>
    <xf numFmtId="202" fontId="10" fillId="2" borderId="6" xfId="2" applyNumberFormat="1" applyFont="1" applyFill="1" applyBorder="1" applyAlignment="1">
      <alignment horizontal="left" vertical="center"/>
    </xf>
    <xf numFmtId="49" fontId="10" fillId="0" borderId="2" xfId="1" applyNumberFormat="1" applyFont="1" applyBorder="1" applyAlignment="1">
      <alignment horizontal="left" vertical="center"/>
    </xf>
    <xf numFmtId="2" fontId="10" fillId="0" borderId="3" xfId="1" applyNumberFormat="1" applyFont="1" applyBorder="1" applyAlignment="1">
      <alignment horizontal="center" vertical="center"/>
    </xf>
    <xf numFmtId="171" fontId="10" fillId="0" borderId="2" xfId="3" applyFont="1" applyBorder="1" applyAlignment="1">
      <alignment horizontal="center" vertical="center"/>
    </xf>
    <xf numFmtId="171" fontId="10" fillId="0" borderId="3" xfId="3" applyFont="1" applyBorder="1" applyAlignment="1">
      <alignment horizontal="center" vertical="center"/>
    </xf>
    <xf numFmtId="2" fontId="10" fillId="0" borderId="4" xfId="1" applyNumberFormat="1" applyFont="1" applyBorder="1" applyAlignment="1">
      <alignment horizontal="center" vertical="center"/>
    </xf>
    <xf numFmtId="171" fontId="11" fillId="0" borderId="16" xfId="3" applyFont="1" applyBorder="1" applyAlignment="1">
      <alignment horizontal="center" vertical="center"/>
    </xf>
    <xf numFmtId="171" fontId="8" fillId="0" borderId="31" xfId="3" applyFont="1" applyBorder="1" applyAlignment="1">
      <alignment horizontal="center"/>
    </xf>
    <xf numFmtId="171" fontId="8" fillId="0" borderId="26" xfId="3" applyFont="1" applyBorder="1" applyAlignment="1">
      <alignment horizontal="center"/>
    </xf>
    <xf numFmtId="171" fontId="8" fillId="0" borderId="6" xfId="3" applyFont="1" applyBorder="1" applyAlignment="1">
      <alignment horizontal="center"/>
    </xf>
    <xf numFmtId="171" fontId="8" fillId="0" borderId="7" xfId="3" applyFont="1" applyBorder="1" applyAlignment="1">
      <alignment horizontal="center"/>
    </xf>
    <xf numFmtId="2" fontId="9" fillId="0" borderId="27" xfId="1" applyNumberFormat="1" applyFont="1" applyBorder="1" applyAlignment="1">
      <alignment horizontal="left" vertical="top"/>
    </xf>
    <xf numFmtId="0" fontId="9" fillId="0" borderId="27" xfId="1" applyFont="1" applyBorder="1" applyAlignment="1">
      <alignment horizontal="left" vertical="top"/>
    </xf>
    <xf numFmtId="0" fontId="9" fillId="0" borderId="32" xfId="1" applyFont="1" applyBorder="1" applyAlignment="1">
      <alignment horizontal="left" vertical="top"/>
    </xf>
    <xf numFmtId="171" fontId="11" fillId="0" borderId="23" xfId="3" applyFont="1" applyBorder="1" applyAlignment="1">
      <alignment horizontal="center" vertical="center"/>
    </xf>
    <xf numFmtId="171" fontId="11" fillId="0" borderId="33" xfId="3" applyFont="1" applyBorder="1" applyAlignment="1">
      <alignment horizontal="center" vertical="center"/>
    </xf>
    <xf numFmtId="171" fontId="11" fillId="0" borderId="34" xfId="3" applyFont="1" applyBorder="1" applyAlignment="1">
      <alignment horizontal="center" vertical="center"/>
    </xf>
    <xf numFmtId="202" fontId="10" fillId="2" borderId="35" xfId="2" applyNumberFormat="1" applyFont="1" applyFill="1" applyBorder="1" applyAlignment="1">
      <alignment horizontal="left" vertical="center"/>
    </xf>
    <xf numFmtId="202" fontId="10" fillId="2" borderId="31" xfId="2" applyNumberFormat="1" applyFont="1" applyFill="1" applyBorder="1" applyAlignment="1">
      <alignment horizontal="left" vertical="center"/>
    </xf>
    <xf numFmtId="4" fontId="10" fillId="0" borderId="31" xfId="2" applyNumberFormat="1" applyFont="1" applyBorder="1" applyAlignment="1">
      <alignment horizontal="right" vertical="center"/>
    </xf>
    <xf numFmtId="202" fontId="10" fillId="2" borderId="5" xfId="2" applyNumberFormat="1" applyFont="1" applyFill="1" applyBorder="1" applyAlignment="1">
      <alignment horizontal="left" vertical="center"/>
    </xf>
    <xf numFmtId="202" fontId="10" fillId="2" borderId="6" xfId="2" applyNumberFormat="1" applyFont="1" applyFill="1" applyBorder="1" applyAlignment="1">
      <alignment horizontal="left" vertical="center"/>
    </xf>
    <xf numFmtId="171" fontId="11" fillId="0" borderId="14" xfId="3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4" fontId="10" fillId="0" borderId="6" xfId="2" applyNumberFormat="1" applyFont="1" applyBorder="1" applyAlignment="1">
      <alignment horizontal="right" vertical="center"/>
    </xf>
    <xf numFmtId="171" fontId="8" fillId="0" borderId="9" xfId="3" applyFont="1" applyBorder="1" applyAlignment="1">
      <alignment horizontal="center"/>
    </xf>
    <xf numFmtId="171" fontId="8" fillId="0" borderId="10" xfId="3" applyFont="1" applyBorder="1" applyAlignment="1">
      <alignment horizontal="center"/>
    </xf>
    <xf numFmtId="171" fontId="8" fillId="0" borderId="29" xfId="3" applyFont="1" applyBorder="1" applyAlignment="1">
      <alignment horizontal="center" vertical="center"/>
    </xf>
    <xf numFmtId="171" fontId="8" fillId="0" borderId="30" xfId="3" applyFont="1" applyBorder="1" applyAlignment="1">
      <alignment horizontal="center" vertical="center"/>
    </xf>
    <xf numFmtId="49" fontId="10" fillId="0" borderId="3" xfId="1" applyNumberFormat="1" applyFont="1" applyBorder="1" applyAlignment="1">
      <alignment horizontal="left" vertical="center"/>
    </xf>
    <xf numFmtId="0" fontId="0" fillId="0" borderId="0" xfId="0" applyFill="1" applyBorder="1"/>
    <xf numFmtId="0" fontId="13" fillId="0" borderId="0" xfId="0" applyFont="1" applyFill="1" applyBorder="1"/>
    <xf numFmtId="0" fontId="6" fillId="0" borderId="0" xfId="0" applyFont="1" applyFill="1" applyBorder="1"/>
    <xf numFmtId="0" fontId="1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2" fontId="3" fillId="0" borderId="0" xfId="1" applyNumberFormat="1" applyFont="1" applyBorder="1" applyAlignment="1">
      <alignment horizontal="right"/>
    </xf>
    <xf numFmtId="0" fontId="8" fillId="3" borderId="38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/>
    </xf>
    <xf numFmtId="0" fontId="8" fillId="3" borderId="38" xfId="1" applyNumberFormat="1" applyFont="1" applyFill="1" applyBorder="1" applyAlignment="1">
      <alignment horizontal="center" vertical="center"/>
    </xf>
    <xf numFmtId="0" fontId="8" fillId="3" borderId="39" xfId="1" applyNumberFormat="1" applyFont="1" applyFill="1" applyBorder="1" applyAlignment="1">
      <alignment horizontal="center" vertical="center"/>
    </xf>
    <xf numFmtId="0" fontId="15" fillId="3" borderId="39" xfId="1" applyFont="1" applyFill="1" applyBorder="1" applyAlignment="1">
      <alignment horizontal="center" vertical="center"/>
    </xf>
    <xf numFmtId="0" fontId="15" fillId="3" borderId="36" xfId="1" applyFont="1" applyFill="1" applyBorder="1" applyAlignment="1">
      <alignment vertical="center"/>
    </xf>
    <xf numFmtId="0" fontId="15" fillId="3" borderId="38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7" fillId="3" borderId="36" xfId="1" applyFont="1" applyFill="1" applyBorder="1" applyAlignment="1">
      <alignment horizontal="center" vertical="center"/>
    </xf>
    <xf numFmtId="0" fontId="18" fillId="3" borderId="38" xfId="1" applyFont="1" applyFill="1" applyBorder="1" applyAlignment="1">
      <alignment horizontal="center" vertical="center"/>
    </xf>
    <xf numFmtId="0" fontId="18" fillId="3" borderId="39" xfId="1" applyFont="1" applyFill="1" applyBorder="1" applyAlignment="1">
      <alignment horizontal="center" vertical="center"/>
    </xf>
    <xf numFmtId="0" fontId="18" fillId="3" borderId="40" xfId="1" applyNumberFormat="1" applyFont="1" applyFill="1" applyBorder="1" applyAlignment="1">
      <alignment horizontal="center" vertical="center"/>
    </xf>
    <xf numFmtId="0" fontId="18" fillId="3" borderId="39" xfId="1" applyNumberFormat="1" applyFont="1" applyFill="1" applyBorder="1" applyAlignment="1">
      <alignment horizontal="center" vertical="center"/>
    </xf>
    <xf numFmtId="0" fontId="18" fillId="3" borderId="36" xfId="1" applyNumberFormat="1" applyFont="1" applyFill="1" applyBorder="1" applyAlignment="1">
      <alignment horizontal="center" vertical="center"/>
    </xf>
    <xf numFmtId="0" fontId="18" fillId="3" borderId="36" xfId="1" applyFont="1" applyFill="1" applyBorder="1" applyAlignment="1">
      <alignment horizontal="center" vertical="center"/>
    </xf>
    <xf numFmtId="0" fontId="16" fillId="3" borderId="36" xfId="1" applyNumberFormat="1" applyFont="1" applyFill="1" applyBorder="1" applyAlignment="1">
      <alignment vertical="center"/>
    </xf>
    <xf numFmtId="0" fontId="18" fillId="3" borderId="36" xfId="1" applyNumberFormat="1" applyFont="1" applyFill="1" applyBorder="1" applyAlignment="1">
      <alignment vertical="center"/>
    </xf>
    <xf numFmtId="0" fontId="18" fillId="3" borderId="38" xfId="1" applyNumberFormat="1" applyFont="1" applyFill="1" applyBorder="1" applyAlignment="1">
      <alignment horizontal="center" vertical="center"/>
    </xf>
    <xf numFmtId="2" fontId="18" fillId="3" borderId="38" xfId="1" applyNumberFormat="1" applyFont="1" applyFill="1" applyBorder="1" applyAlignment="1">
      <alignment horizontal="center" vertical="center"/>
    </xf>
    <xf numFmtId="2" fontId="18" fillId="3" borderId="39" xfId="1" applyNumberFormat="1" applyFont="1" applyFill="1" applyBorder="1" applyAlignment="1">
      <alignment horizontal="center" vertical="center"/>
    </xf>
    <xf numFmtId="0" fontId="15" fillId="3" borderId="38" xfId="1" applyNumberFormat="1" applyFont="1" applyFill="1" applyBorder="1" applyAlignment="1">
      <alignment horizontal="center" vertical="center"/>
    </xf>
    <xf numFmtId="0" fontId="15" fillId="3" borderId="40" xfId="1" applyNumberFormat="1" applyFont="1" applyFill="1" applyBorder="1" applyAlignment="1">
      <alignment horizontal="center" vertical="center"/>
    </xf>
    <xf numFmtId="0" fontId="15" fillId="3" borderId="39" xfId="1" applyNumberFormat="1" applyFont="1" applyFill="1" applyBorder="1" applyAlignment="1">
      <alignment horizontal="center" vertical="center"/>
    </xf>
    <xf numFmtId="0" fontId="15" fillId="3" borderId="36" xfId="1" applyNumberFormat="1" applyFont="1" applyFill="1" applyBorder="1" applyAlignment="1">
      <alignment vertical="center"/>
    </xf>
    <xf numFmtId="2" fontId="15" fillId="3" borderId="38" xfId="1" applyNumberFormat="1" applyFont="1" applyFill="1" applyBorder="1" applyAlignment="1">
      <alignment horizontal="center" vertical="center"/>
    </xf>
    <xf numFmtId="2" fontId="15" fillId="3" borderId="40" xfId="1" applyNumberFormat="1" applyFont="1" applyFill="1" applyBorder="1" applyAlignment="1">
      <alignment horizontal="center" vertical="center"/>
    </xf>
    <xf numFmtId="2" fontId="15" fillId="3" borderId="39" xfId="1" applyNumberFormat="1" applyFont="1" applyFill="1" applyBorder="1" applyAlignment="1">
      <alignment horizontal="center" vertical="center"/>
    </xf>
    <xf numFmtId="0" fontId="15" fillId="3" borderId="40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2" fontId="20" fillId="0" borderId="1" xfId="1" applyNumberFormat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Continuous" vertical="center"/>
    </xf>
    <xf numFmtId="2" fontId="20" fillId="0" borderId="1" xfId="1" applyNumberFormat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9" fillId="0" borderId="29" xfId="1" applyFont="1" applyBorder="1" applyAlignment="1">
      <alignment horizontal="center" vertical="center"/>
    </xf>
    <xf numFmtId="0" fontId="19" fillId="0" borderId="29" xfId="1" applyFont="1" applyBorder="1" applyAlignment="1">
      <alignment horizontal="left" vertical="center"/>
    </xf>
    <xf numFmtId="202" fontId="11" fillId="3" borderId="1" xfId="2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1" fillId="0" borderId="42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42" xfId="1" applyFont="1" applyBorder="1" applyAlignment="1">
      <alignment horizontal="center" vertical="center"/>
    </xf>
    <xf numFmtId="0" fontId="19" fillId="0" borderId="4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8" fillId="0" borderId="12" xfId="1" applyFont="1" applyBorder="1" applyAlignment="1">
      <alignment horizontal="left" vertical="center" indent="1"/>
    </xf>
    <xf numFmtId="0" fontId="8" fillId="0" borderId="25" xfId="1" applyFont="1" applyBorder="1" applyAlignment="1">
      <alignment horizontal="left" vertical="center" indent="1"/>
    </xf>
    <xf numFmtId="171" fontId="11" fillId="3" borderId="1" xfId="1" applyNumberFormat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41" xfId="1" applyFont="1" applyBorder="1" applyAlignment="1">
      <alignment horizontal="center" vertical="center"/>
    </xf>
    <xf numFmtId="9" fontId="8" fillId="0" borderId="42" xfId="1" applyNumberFormat="1" applyFont="1" applyBorder="1" applyAlignment="1">
      <alignment horizontal="center" vertical="center"/>
    </xf>
    <xf numFmtId="9" fontId="8" fillId="0" borderId="43" xfId="1" applyNumberFormat="1" applyFont="1" applyBorder="1" applyAlignment="1">
      <alignment horizontal="center" vertical="center"/>
    </xf>
    <xf numFmtId="0" fontId="9" fillId="0" borderId="11" xfId="1" applyFont="1" applyBorder="1" applyAlignment="1">
      <alignment horizontal="left" vertical="top" wrapText="1"/>
    </xf>
    <xf numFmtId="0" fontId="9" fillId="0" borderId="12" xfId="1" applyFont="1" applyBorder="1" applyAlignment="1">
      <alignment horizontal="left" vertical="top" wrapText="1"/>
    </xf>
    <xf numFmtId="0" fontId="9" fillId="0" borderId="45" xfId="1" applyFont="1" applyBorder="1" applyAlignment="1">
      <alignment horizontal="left" vertical="top" wrapText="1"/>
    </xf>
  </cellXfs>
  <cellStyles count="4">
    <cellStyle name="Normal" xfId="0" builtinId="0"/>
    <cellStyle name="Normal_O&amp;M#BM" xfId="1"/>
    <cellStyle name="Separador de milhares_BM01 - 1º quinzena - janeiro-00" xfId="2"/>
    <cellStyle name="Vírgula" xfId="3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636058</xdr:colOff>
          <xdr:row>29</xdr:row>
          <xdr:rowOff>218015</xdr:rowOff>
        </xdr:from>
        <xdr:to>
          <xdr:col>17</xdr:col>
          <xdr:colOff>84666</xdr:colOff>
          <xdr:row>31</xdr:row>
          <xdr:rowOff>10582</xdr:rowOff>
        </xdr:to>
        <xdr:sp macro="" textlink="">
          <xdr:nvSpPr>
            <xdr:cNvPr id="1081" name="Option 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621242</xdr:colOff>
          <xdr:row>31</xdr:row>
          <xdr:rowOff>219075</xdr:rowOff>
        </xdr:from>
        <xdr:to>
          <xdr:col>17</xdr:col>
          <xdr:colOff>68792</xdr:colOff>
          <xdr:row>32</xdr:row>
          <xdr:rowOff>238126</xdr:rowOff>
        </xdr:to>
        <xdr:sp macro="" textlink="">
          <xdr:nvSpPr>
            <xdr:cNvPr id="1082" name="Option 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15E88A01-5A17-4E2B-902C-3FB39EA20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1"/>
  <sheetViews>
    <sheetView showGridLines="0" tabSelected="1" topLeftCell="A22" zoomScale="90" zoomScaleNormal="90" zoomScaleSheetLayoutView="90" workbookViewId="0">
      <selection activeCell="B35" sqref="B35:D35"/>
    </sheetView>
  </sheetViews>
  <sheetFormatPr defaultColWidth="4.77734375" defaultRowHeight="15" x14ac:dyDescent="0.2"/>
  <cols>
    <col min="1" max="1" width="1.21875" style="4" customWidth="1"/>
    <col min="2" max="2" width="6.77734375" style="4" customWidth="1"/>
    <col min="3" max="3" width="6.5546875" style="4" customWidth="1"/>
    <col min="4" max="4" width="5.77734375" style="4" customWidth="1"/>
    <col min="5" max="5" width="3.44140625" style="4" customWidth="1"/>
    <col min="6" max="6" width="7.77734375" style="4" customWidth="1"/>
    <col min="7" max="8" width="6" style="4" customWidth="1"/>
    <col min="9" max="9" width="6.44140625" style="4" customWidth="1"/>
    <col min="10" max="10" width="9.88671875" style="4" customWidth="1"/>
    <col min="11" max="11" width="4.88671875" style="4" customWidth="1"/>
    <col min="12" max="12" width="6.77734375" style="4" customWidth="1"/>
    <col min="13" max="13" width="8" style="4" customWidth="1"/>
    <col min="14" max="14" width="5.33203125" style="4" customWidth="1"/>
    <col min="15" max="15" width="4.33203125" style="4" customWidth="1"/>
    <col min="16" max="16" width="8.33203125" style="4" customWidth="1"/>
    <col min="17" max="17" width="10" style="4" customWidth="1"/>
    <col min="18" max="18" width="5.44140625" style="4" customWidth="1"/>
    <col min="19" max="19" width="5.21875" style="4" customWidth="1"/>
    <col min="20" max="20" width="11.6640625" style="5" customWidth="1"/>
    <col min="21" max="21" width="13.33203125" style="5" customWidth="1"/>
    <col min="22" max="22" width="4.77734375" style="4" customWidth="1"/>
    <col min="23" max="29" width="9.21875" style="4" customWidth="1"/>
    <col min="30" max="16384" width="4.77734375" style="4"/>
  </cols>
  <sheetData>
    <row r="1" spans="1:28" ht="15.75" x14ac:dyDescent="0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  <c r="M1" s="90"/>
      <c r="N1" s="90"/>
      <c r="O1" s="90"/>
      <c r="P1" s="90"/>
      <c r="Q1" s="90"/>
      <c r="R1" s="90"/>
      <c r="S1" s="90"/>
      <c r="T1" s="92"/>
      <c r="U1" s="92"/>
      <c r="V1" s="90"/>
    </row>
    <row r="2" spans="1:28" s="1" customFormat="1" ht="17.25" customHeight="1" x14ac:dyDescent="0.2">
      <c r="A2" s="89" t="s">
        <v>31</v>
      </c>
      <c r="B2" s="102" t="s">
        <v>35</v>
      </c>
      <c r="C2" s="102"/>
      <c r="D2" s="102"/>
      <c r="E2" s="102" t="s">
        <v>48</v>
      </c>
      <c r="F2" s="102"/>
      <c r="G2" s="102"/>
      <c r="H2" s="102"/>
      <c r="I2" s="102"/>
      <c r="J2" s="102"/>
      <c r="K2" s="102"/>
      <c r="L2" s="102"/>
      <c r="M2" s="102"/>
      <c r="N2" s="102"/>
      <c r="O2" s="100" t="s">
        <v>41</v>
      </c>
      <c r="P2" s="104"/>
      <c r="Q2" s="99"/>
      <c r="R2" s="121"/>
      <c r="S2" s="121"/>
      <c r="T2" s="121"/>
      <c r="U2" s="97"/>
    </row>
    <row r="3" spans="1:28" s="1" customFormat="1" ht="17.25" customHeight="1" x14ac:dyDescent="0.2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9" t="s">
        <v>29</v>
      </c>
      <c r="P3" s="110"/>
      <c r="Q3" s="114"/>
      <c r="R3" s="115"/>
      <c r="S3" s="115"/>
      <c r="T3" s="115"/>
      <c r="U3" s="116"/>
    </row>
    <row r="4" spans="1:28" s="1" customFormat="1" ht="17.45" customHeight="1" x14ac:dyDescent="0.2"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3" t="s">
        <v>36</v>
      </c>
      <c r="P4" s="104"/>
      <c r="Q4" s="98"/>
      <c r="R4" s="108" t="s">
        <v>37</v>
      </c>
      <c r="S4" s="99"/>
      <c r="T4" s="121"/>
      <c r="U4" s="97"/>
      <c r="W4" s="86"/>
      <c r="X4" s="86"/>
      <c r="Y4" s="86"/>
      <c r="Z4" s="86"/>
      <c r="AA4" s="86"/>
      <c r="AB4"/>
    </row>
    <row r="5" spans="1:28" s="1" customFormat="1" ht="19.149999999999999" customHeight="1" x14ac:dyDescent="0.25">
      <c r="B5" s="111" t="s">
        <v>39</v>
      </c>
      <c r="C5" s="106"/>
      <c r="D5" s="114"/>
      <c r="E5" s="115"/>
      <c r="F5" s="115"/>
      <c r="G5" s="115"/>
      <c r="H5" s="115"/>
      <c r="I5" s="115"/>
      <c r="J5" s="115"/>
      <c r="K5" s="115"/>
      <c r="L5" s="115"/>
      <c r="M5" s="115"/>
      <c r="N5" s="116"/>
      <c r="O5" s="112" t="s">
        <v>38</v>
      </c>
      <c r="P5" s="113"/>
      <c r="Q5" s="118"/>
      <c r="R5" s="119"/>
      <c r="S5" s="119"/>
      <c r="T5" s="119"/>
      <c r="U5" s="120"/>
      <c r="V5" s="2"/>
      <c r="W5" s="86"/>
      <c r="X5" s="87"/>
      <c r="Y5" s="86"/>
      <c r="Z5" s="86"/>
      <c r="AA5" s="86"/>
      <c r="AB5"/>
    </row>
    <row r="6" spans="1:28" s="1" customFormat="1" ht="19.149999999999999" customHeight="1" x14ac:dyDescent="0.2">
      <c r="B6" s="103" t="s">
        <v>33</v>
      </c>
      <c r="C6" s="104"/>
      <c r="D6" s="93"/>
      <c r="E6" s="94"/>
      <c r="F6" s="94"/>
      <c r="G6" s="94"/>
      <c r="H6" s="94"/>
      <c r="I6" s="107" t="s">
        <v>34</v>
      </c>
      <c r="J6" s="107"/>
      <c r="K6" s="107"/>
      <c r="L6" s="95"/>
      <c r="M6" s="96"/>
      <c r="N6" s="100" t="s">
        <v>32</v>
      </c>
      <c r="O6" s="101"/>
      <c r="P6" s="99"/>
      <c r="Q6" s="97"/>
      <c r="R6" s="111" t="s">
        <v>40</v>
      </c>
      <c r="S6" s="105"/>
      <c r="T6" s="106"/>
      <c r="U6" s="117"/>
      <c r="V6" s="2"/>
      <c r="W6" s="86"/>
      <c r="X6" s="86"/>
      <c r="Y6" s="86"/>
      <c r="Z6" s="86"/>
      <c r="AA6" s="86"/>
      <c r="AB6"/>
    </row>
    <row r="7" spans="1:28" s="1" customFormat="1" ht="19.149999999999999" customHeight="1" x14ac:dyDescent="0.2">
      <c r="B7" s="122" t="s">
        <v>0</v>
      </c>
      <c r="C7" s="122"/>
      <c r="D7" s="122"/>
      <c r="E7" s="122"/>
      <c r="F7" s="122"/>
      <c r="G7" s="122"/>
      <c r="H7" s="122"/>
      <c r="I7" s="122"/>
      <c r="J7" s="122"/>
      <c r="K7" s="122"/>
      <c r="L7" s="122" t="s">
        <v>1</v>
      </c>
      <c r="M7" s="122"/>
      <c r="N7" s="122"/>
      <c r="O7" s="122"/>
      <c r="P7" s="122"/>
      <c r="Q7" s="122"/>
      <c r="R7" s="122" t="s">
        <v>26</v>
      </c>
      <c r="S7" s="122"/>
      <c r="T7" s="122"/>
      <c r="U7" s="122"/>
      <c r="V7" s="2"/>
      <c r="W7" s="86"/>
      <c r="X7" s="86"/>
      <c r="Y7" s="86"/>
      <c r="Z7" s="86"/>
      <c r="AA7" s="86"/>
      <c r="AB7"/>
    </row>
    <row r="8" spans="1:28" s="1" customFormat="1" ht="19.149999999999999" customHeight="1" x14ac:dyDescent="0.2">
      <c r="B8" s="123" t="s">
        <v>22</v>
      </c>
      <c r="C8" s="124" t="s">
        <v>43</v>
      </c>
      <c r="D8" s="124"/>
      <c r="E8" s="124"/>
      <c r="F8" s="124"/>
      <c r="G8" s="124"/>
      <c r="H8" s="124"/>
      <c r="I8" s="124"/>
      <c r="J8" s="124"/>
      <c r="K8" s="125" t="s">
        <v>47</v>
      </c>
      <c r="L8" s="125" t="s">
        <v>2</v>
      </c>
      <c r="M8" s="124" t="s">
        <v>3</v>
      </c>
      <c r="N8" s="124"/>
      <c r="O8" s="124" t="s">
        <v>4</v>
      </c>
      <c r="P8" s="124"/>
      <c r="Q8" s="125" t="s">
        <v>5</v>
      </c>
      <c r="R8" s="126" t="s">
        <v>25</v>
      </c>
      <c r="S8" s="126"/>
      <c r="T8" s="123" t="s">
        <v>6</v>
      </c>
      <c r="U8" s="123" t="s">
        <v>5</v>
      </c>
      <c r="W8" s="86"/>
      <c r="X8" s="86"/>
      <c r="Y8" s="86"/>
      <c r="Z8" s="86"/>
      <c r="AA8" s="86"/>
      <c r="AB8"/>
    </row>
    <row r="9" spans="1:28" s="3" customFormat="1" ht="15" customHeight="1" x14ac:dyDescent="0.2">
      <c r="B9" s="13"/>
      <c r="C9" s="57"/>
      <c r="D9" s="57"/>
      <c r="E9" s="57"/>
      <c r="F9" s="57"/>
      <c r="G9" s="57"/>
      <c r="H9" s="57"/>
      <c r="I9" s="57"/>
      <c r="J9" s="57"/>
      <c r="K9" s="14"/>
      <c r="L9" s="13"/>
      <c r="M9" s="79"/>
      <c r="N9" s="79"/>
      <c r="O9" s="79"/>
      <c r="P9" s="79"/>
      <c r="Q9" s="15">
        <f>M9+O9</f>
        <v>0</v>
      </c>
      <c r="R9" s="59"/>
      <c r="S9" s="59"/>
      <c r="T9" s="15">
        <f>O9*R9</f>
        <v>0</v>
      </c>
      <c r="U9" s="15">
        <f>Q9*R9</f>
        <v>0</v>
      </c>
      <c r="W9" s="86"/>
      <c r="X9" s="86"/>
      <c r="Y9" s="86"/>
      <c r="Z9" s="86"/>
      <c r="AA9" s="86"/>
      <c r="AB9"/>
    </row>
    <row r="10" spans="1:28" s="3" customFormat="1" ht="15" customHeight="1" x14ac:dyDescent="0.2">
      <c r="B10" s="16"/>
      <c r="C10" s="85"/>
      <c r="D10" s="85"/>
      <c r="E10" s="85"/>
      <c r="F10" s="85"/>
      <c r="G10" s="85"/>
      <c r="H10" s="85"/>
      <c r="I10" s="85"/>
      <c r="J10" s="85"/>
      <c r="K10" s="17"/>
      <c r="L10" s="16"/>
      <c r="M10" s="58"/>
      <c r="N10" s="58"/>
      <c r="O10" s="58"/>
      <c r="P10" s="58"/>
      <c r="Q10" s="18">
        <f>M10+O10</f>
        <v>0</v>
      </c>
      <c r="R10" s="60"/>
      <c r="S10" s="60"/>
      <c r="T10" s="18">
        <f>O10*R10</f>
        <v>0</v>
      </c>
      <c r="U10" s="18">
        <f>Q10*R10</f>
        <v>0</v>
      </c>
      <c r="W10" s="86"/>
      <c r="X10" s="86"/>
      <c r="Y10" s="86"/>
      <c r="Z10" s="86"/>
      <c r="AA10" s="86"/>
      <c r="AB10"/>
    </row>
    <row r="11" spans="1:28" s="3" customFormat="1" ht="15" customHeight="1" x14ac:dyDescent="0.2">
      <c r="B11" s="16"/>
      <c r="C11" s="21"/>
      <c r="D11" s="22"/>
      <c r="E11" s="22"/>
      <c r="F11" s="23"/>
      <c r="G11" s="23"/>
      <c r="H11" s="23"/>
      <c r="I11" s="24"/>
      <c r="J11" s="25"/>
      <c r="K11" s="17"/>
      <c r="L11" s="16"/>
      <c r="M11" s="58"/>
      <c r="N11" s="58"/>
      <c r="O11" s="58"/>
      <c r="P11" s="58"/>
      <c r="Q11" s="18">
        <f t="shared" ref="Q11:Q28" si="0">M11+O11</f>
        <v>0</v>
      </c>
      <c r="R11" s="60"/>
      <c r="S11" s="60"/>
      <c r="T11" s="18">
        <f t="shared" ref="T11:T28" si="1">O11*R11</f>
        <v>0</v>
      </c>
      <c r="U11" s="18">
        <f t="shared" ref="U11:U28" si="2">Q11*R11</f>
        <v>0</v>
      </c>
      <c r="W11" s="86"/>
      <c r="X11" s="86"/>
      <c r="Y11" s="86"/>
      <c r="Z11" s="86"/>
      <c r="AA11" s="86"/>
      <c r="AB11"/>
    </row>
    <row r="12" spans="1:28" s="3" customFormat="1" ht="15" customHeight="1" x14ac:dyDescent="0.2">
      <c r="B12" s="16"/>
      <c r="C12" s="21"/>
      <c r="D12" s="22"/>
      <c r="E12" s="22"/>
      <c r="F12" s="23"/>
      <c r="G12" s="23"/>
      <c r="H12" s="23"/>
      <c r="I12" s="24"/>
      <c r="J12" s="25"/>
      <c r="K12" s="17"/>
      <c r="L12" s="16"/>
      <c r="M12" s="58"/>
      <c r="N12" s="58"/>
      <c r="O12" s="58"/>
      <c r="P12" s="58"/>
      <c r="Q12" s="18">
        <f t="shared" si="0"/>
        <v>0</v>
      </c>
      <c r="R12" s="60"/>
      <c r="S12" s="60"/>
      <c r="T12" s="18">
        <f>-O12*R12</f>
        <v>0</v>
      </c>
      <c r="U12" s="18"/>
      <c r="W12" s="86"/>
      <c r="X12" s="86"/>
      <c r="Y12" s="86"/>
      <c r="Z12" s="86"/>
      <c r="AA12" s="86"/>
      <c r="AB12"/>
    </row>
    <row r="13" spans="1:28" s="3" customFormat="1" ht="15" customHeight="1" x14ac:dyDescent="0.2">
      <c r="B13" s="16"/>
      <c r="C13" s="21"/>
      <c r="D13" s="26"/>
      <c r="E13" s="26"/>
      <c r="F13" s="23"/>
      <c r="G13" s="23"/>
      <c r="H13" s="23"/>
      <c r="I13" s="24"/>
      <c r="J13" s="25"/>
      <c r="K13" s="17"/>
      <c r="L13" s="16"/>
      <c r="M13" s="58"/>
      <c r="N13" s="58"/>
      <c r="O13" s="58"/>
      <c r="P13" s="58"/>
      <c r="Q13" s="18">
        <f t="shared" si="0"/>
        <v>0</v>
      </c>
      <c r="R13" s="58"/>
      <c r="S13" s="58"/>
      <c r="T13" s="18">
        <f t="shared" si="1"/>
        <v>0</v>
      </c>
      <c r="U13" s="18">
        <f t="shared" si="2"/>
        <v>0</v>
      </c>
      <c r="W13" s="86"/>
      <c r="X13" s="86"/>
      <c r="Y13" s="86"/>
      <c r="Z13" s="86"/>
      <c r="AA13" s="86"/>
      <c r="AB13"/>
    </row>
    <row r="14" spans="1:28" s="3" customFormat="1" ht="15" customHeight="1" x14ac:dyDescent="0.25">
      <c r="B14" s="16"/>
      <c r="C14" s="21"/>
      <c r="D14" s="22"/>
      <c r="E14" s="22"/>
      <c r="F14" s="23"/>
      <c r="G14" s="23"/>
      <c r="H14" s="23"/>
      <c r="I14" s="24"/>
      <c r="J14" s="25"/>
      <c r="K14" s="17"/>
      <c r="L14" s="16"/>
      <c r="M14" s="58"/>
      <c r="N14" s="58"/>
      <c r="O14" s="58"/>
      <c r="P14" s="58"/>
      <c r="Q14" s="18">
        <f t="shared" si="0"/>
        <v>0</v>
      </c>
      <c r="R14" s="58"/>
      <c r="S14" s="58"/>
      <c r="T14" s="18"/>
      <c r="U14" s="18">
        <f t="shared" si="2"/>
        <v>0</v>
      </c>
      <c r="W14" s="86"/>
      <c r="X14" s="88"/>
      <c r="Y14" s="86"/>
      <c r="Z14" s="86"/>
      <c r="AA14" s="86"/>
      <c r="AB14"/>
    </row>
    <row r="15" spans="1:28" s="3" customFormat="1" ht="15" customHeight="1" x14ac:dyDescent="0.2">
      <c r="B15" s="16"/>
      <c r="C15" s="21"/>
      <c r="D15" s="22"/>
      <c r="E15" s="22"/>
      <c r="F15" s="23"/>
      <c r="G15" s="23"/>
      <c r="H15" s="23"/>
      <c r="I15" s="24"/>
      <c r="J15" s="25"/>
      <c r="K15" s="17"/>
      <c r="L15" s="16"/>
      <c r="M15" s="58"/>
      <c r="N15" s="58"/>
      <c r="O15" s="58"/>
      <c r="P15" s="58"/>
      <c r="Q15" s="18">
        <f t="shared" si="0"/>
        <v>0</v>
      </c>
      <c r="R15" s="58"/>
      <c r="S15" s="58"/>
      <c r="T15" s="18">
        <f t="shared" si="1"/>
        <v>0</v>
      </c>
      <c r="U15" s="18">
        <f t="shared" si="2"/>
        <v>0</v>
      </c>
      <c r="W15" s="86"/>
      <c r="X15" s="86"/>
      <c r="Y15" s="86"/>
      <c r="Z15" s="86"/>
      <c r="AA15" s="86"/>
      <c r="AB15"/>
    </row>
    <row r="16" spans="1:28" s="3" customFormat="1" ht="15" customHeight="1" x14ac:dyDescent="0.2">
      <c r="B16" s="16"/>
      <c r="C16" s="21"/>
      <c r="D16" s="22"/>
      <c r="E16" s="22"/>
      <c r="F16" s="23"/>
      <c r="G16" s="23"/>
      <c r="H16" s="23"/>
      <c r="I16" s="24"/>
      <c r="J16" s="25"/>
      <c r="K16" s="17"/>
      <c r="L16" s="16"/>
      <c r="M16" s="58"/>
      <c r="N16" s="58"/>
      <c r="O16" s="58"/>
      <c r="P16" s="58"/>
      <c r="Q16" s="18">
        <f t="shared" si="0"/>
        <v>0</v>
      </c>
      <c r="R16" s="58"/>
      <c r="S16" s="58"/>
      <c r="T16" s="18">
        <f t="shared" si="1"/>
        <v>0</v>
      </c>
      <c r="U16" s="18">
        <f t="shared" si="2"/>
        <v>0</v>
      </c>
      <c r="W16" s="86"/>
      <c r="X16" s="86"/>
      <c r="Y16" s="86"/>
      <c r="Z16" s="86"/>
      <c r="AA16" s="86"/>
      <c r="AB16"/>
    </row>
    <row r="17" spans="2:28" s="3" customFormat="1" ht="15" customHeight="1" x14ac:dyDescent="0.2">
      <c r="B17" s="16"/>
      <c r="C17" s="21"/>
      <c r="D17" s="22"/>
      <c r="E17" s="22"/>
      <c r="F17" s="23"/>
      <c r="G17" s="23"/>
      <c r="H17" s="23"/>
      <c r="I17" s="24"/>
      <c r="J17" s="25"/>
      <c r="K17" s="17"/>
      <c r="L17" s="16"/>
      <c r="M17" s="58"/>
      <c r="N17" s="58"/>
      <c r="O17" s="58"/>
      <c r="P17" s="58"/>
      <c r="Q17" s="18">
        <f t="shared" si="0"/>
        <v>0</v>
      </c>
      <c r="R17" s="58"/>
      <c r="S17" s="58"/>
      <c r="T17" s="18">
        <f t="shared" si="1"/>
        <v>0</v>
      </c>
      <c r="U17" s="18">
        <f t="shared" si="2"/>
        <v>0</v>
      </c>
      <c r="W17" s="86"/>
      <c r="X17" s="86"/>
      <c r="Y17" s="86"/>
      <c r="Z17" s="86"/>
      <c r="AA17" s="86"/>
      <c r="AB17"/>
    </row>
    <row r="18" spans="2:28" s="3" customFormat="1" ht="15" customHeight="1" x14ac:dyDescent="0.2">
      <c r="B18" s="16"/>
      <c r="C18" s="21"/>
      <c r="D18" s="22"/>
      <c r="E18" s="22"/>
      <c r="F18" s="23"/>
      <c r="G18" s="23"/>
      <c r="H18" s="23"/>
      <c r="I18" s="24"/>
      <c r="J18" s="25"/>
      <c r="K18" s="17"/>
      <c r="L18" s="16"/>
      <c r="M18" s="58"/>
      <c r="N18" s="58"/>
      <c r="O18" s="58"/>
      <c r="P18" s="58"/>
      <c r="Q18" s="18">
        <f t="shared" si="0"/>
        <v>0</v>
      </c>
      <c r="R18" s="58"/>
      <c r="S18" s="58"/>
      <c r="T18" s="18">
        <f t="shared" si="1"/>
        <v>0</v>
      </c>
      <c r="U18" s="18">
        <f t="shared" si="2"/>
        <v>0</v>
      </c>
      <c r="W18" s="86"/>
      <c r="X18" s="86"/>
      <c r="Y18" s="86"/>
      <c r="Z18" s="86"/>
      <c r="AA18" s="86"/>
      <c r="AB18"/>
    </row>
    <row r="19" spans="2:28" s="3" customFormat="1" ht="15" customHeight="1" x14ac:dyDescent="0.25">
      <c r="B19" s="16"/>
      <c r="C19" s="21"/>
      <c r="D19" s="22"/>
      <c r="E19" s="22"/>
      <c r="F19" s="23"/>
      <c r="G19" s="23"/>
      <c r="H19" s="23"/>
      <c r="I19" s="24"/>
      <c r="J19" s="25"/>
      <c r="K19" s="17"/>
      <c r="L19" s="16"/>
      <c r="M19" s="58"/>
      <c r="N19" s="58"/>
      <c r="O19" s="58"/>
      <c r="P19" s="58"/>
      <c r="Q19" s="18">
        <f t="shared" si="0"/>
        <v>0</v>
      </c>
      <c r="R19" s="58"/>
      <c r="S19" s="58"/>
      <c r="T19" s="18">
        <f t="shared" si="1"/>
        <v>0</v>
      </c>
      <c r="U19" s="18">
        <f t="shared" si="2"/>
        <v>0</v>
      </c>
      <c r="W19" s="86"/>
      <c r="X19" s="88"/>
      <c r="Y19" s="86"/>
      <c r="Z19" s="86"/>
      <c r="AA19" s="86"/>
      <c r="AB19"/>
    </row>
    <row r="20" spans="2:28" s="3" customFormat="1" ht="15" customHeight="1" x14ac:dyDescent="0.2">
      <c r="B20" s="16"/>
      <c r="C20" s="21"/>
      <c r="D20" s="22"/>
      <c r="E20" s="22"/>
      <c r="F20" s="23"/>
      <c r="G20" s="23"/>
      <c r="H20" s="23"/>
      <c r="I20" s="24"/>
      <c r="J20" s="25"/>
      <c r="K20" s="17"/>
      <c r="L20" s="16"/>
      <c r="M20" s="58"/>
      <c r="N20" s="58"/>
      <c r="O20" s="58"/>
      <c r="P20" s="58"/>
      <c r="Q20" s="18">
        <f t="shared" si="0"/>
        <v>0</v>
      </c>
      <c r="R20" s="58"/>
      <c r="S20" s="58"/>
      <c r="T20" s="18">
        <f t="shared" si="1"/>
        <v>0</v>
      </c>
      <c r="U20" s="18">
        <f t="shared" si="2"/>
        <v>0</v>
      </c>
      <c r="W20" s="86"/>
      <c r="X20" s="86"/>
      <c r="Y20" s="86"/>
      <c r="Z20" s="86"/>
      <c r="AA20" s="86"/>
      <c r="AB20"/>
    </row>
    <row r="21" spans="2:28" s="3" customFormat="1" ht="15" customHeight="1" x14ac:dyDescent="0.2">
      <c r="B21" s="16"/>
      <c r="C21" s="21"/>
      <c r="D21" s="22"/>
      <c r="E21" s="22"/>
      <c r="F21" s="23"/>
      <c r="G21" s="23"/>
      <c r="H21" s="23"/>
      <c r="I21" s="24"/>
      <c r="J21" s="25"/>
      <c r="K21" s="17"/>
      <c r="L21" s="16"/>
      <c r="M21" s="58"/>
      <c r="N21" s="58"/>
      <c r="O21" s="58"/>
      <c r="P21" s="58"/>
      <c r="Q21" s="18">
        <f t="shared" si="0"/>
        <v>0</v>
      </c>
      <c r="R21" s="58"/>
      <c r="S21" s="58"/>
      <c r="T21" s="18">
        <f t="shared" si="1"/>
        <v>0</v>
      </c>
      <c r="U21" s="18">
        <f t="shared" si="2"/>
        <v>0</v>
      </c>
      <c r="W21" s="86"/>
      <c r="X21" s="86"/>
      <c r="Y21" s="86"/>
      <c r="Z21" s="86"/>
      <c r="AA21" s="86"/>
      <c r="AB21"/>
    </row>
    <row r="22" spans="2:28" s="3" customFormat="1" ht="15" customHeight="1" x14ac:dyDescent="0.2">
      <c r="B22" s="16"/>
      <c r="C22" s="21"/>
      <c r="D22" s="22"/>
      <c r="E22" s="22"/>
      <c r="F22" s="23"/>
      <c r="G22" s="23"/>
      <c r="H22" s="23"/>
      <c r="I22" s="24"/>
      <c r="J22" s="25"/>
      <c r="K22" s="17"/>
      <c r="L22" s="16"/>
      <c r="M22" s="58"/>
      <c r="N22" s="58"/>
      <c r="O22" s="58"/>
      <c r="P22" s="58"/>
      <c r="Q22" s="18">
        <f t="shared" si="0"/>
        <v>0</v>
      </c>
      <c r="R22" s="58"/>
      <c r="S22" s="58"/>
      <c r="T22" s="18">
        <f t="shared" si="1"/>
        <v>0</v>
      </c>
      <c r="U22" s="18">
        <f t="shared" si="2"/>
        <v>0</v>
      </c>
      <c r="W22" s="86"/>
      <c r="X22" s="86"/>
      <c r="Y22" s="86"/>
      <c r="Z22" s="86"/>
      <c r="AA22" s="86"/>
      <c r="AB22"/>
    </row>
    <row r="23" spans="2:28" s="3" customFormat="1" ht="15" customHeight="1" x14ac:dyDescent="0.2">
      <c r="B23" s="16"/>
      <c r="C23" s="21"/>
      <c r="D23" s="22"/>
      <c r="E23" s="22"/>
      <c r="F23" s="23"/>
      <c r="G23" s="23"/>
      <c r="H23" s="23"/>
      <c r="I23" s="24"/>
      <c r="J23" s="25"/>
      <c r="K23" s="17"/>
      <c r="L23" s="16"/>
      <c r="M23" s="58"/>
      <c r="N23" s="58"/>
      <c r="O23" s="58"/>
      <c r="P23" s="58"/>
      <c r="Q23" s="18">
        <f t="shared" si="0"/>
        <v>0</v>
      </c>
      <c r="R23" s="58"/>
      <c r="S23" s="58"/>
      <c r="T23" s="18">
        <f t="shared" si="1"/>
        <v>0</v>
      </c>
      <c r="U23" s="18">
        <f t="shared" si="2"/>
        <v>0</v>
      </c>
      <c r="W23" s="86"/>
      <c r="X23" s="86"/>
      <c r="Y23" s="86"/>
      <c r="Z23" s="86"/>
      <c r="AA23" s="86"/>
      <c r="AB23"/>
    </row>
    <row r="24" spans="2:28" s="3" customFormat="1" ht="15" customHeight="1" x14ac:dyDescent="0.2">
      <c r="B24" s="16"/>
      <c r="C24" s="21"/>
      <c r="D24" s="22"/>
      <c r="E24" s="22"/>
      <c r="F24" s="23"/>
      <c r="G24" s="23"/>
      <c r="H24" s="23"/>
      <c r="I24" s="24"/>
      <c r="J24" s="25"/>
      <c r="K24" s="17"/>
      <c r="L24" s="16"/>
      <c r="M24" s="58"/>
      <c r="N24" s="58"/>
      <c r="O24" s="58"/>
      <c r="P24" s="58"/>
      <c r="Q24" s="18">
        <f t="shared" si="0"/>
        <v>0</v>
      </c>
      <c r="R24" s="58"/>
      <c r="S24" s="58"/>
      <c r="T24" s="18">
        <f t="shared" si="1"/>
        <v>0</v>
      </c>
      <c r="U24" s="18">
        <f t="shared" si="2"/>
        <v>0</v>
      </c>
    </row>
    <row r="25" spans="2:28" s="3" customFormat="1" ht="15" customHeight="1" x14ac:dyDescent="0.2">
      <c r="B25" s="16"/>
      <c r="C25" s="21"/>
      <c r="D25" s="22"/>
      <c r="E25" s="22"/>
      <c r="F25" s="23"/>
      <c r="G25" s="23"/>
      <c r="H25" s="23"/>
      <c r="I25" s="24"/>
      <c r="J25" s="25"/>
      <c r="K25" s="17"/>
      <c r="L25" s="16"/>
      <c r="M25" s="58"/>
      <c r="N25" s="58"/>
      <c r="O25" s="58"/>
      <c r="P25" s="58"/>
      <c r="Q25" s="18">
        <f t="shared" si="0"/>
        <v>0</v>
      </c>
      <c r="R25" s="58"/>
      <c r="S25" s="58"/>
      <c r="T25" s="18">
        <f t="shared" si="1"/>
        <v>0</v>
      </c>
      <c r="U25" s="18">
        <f t="shared" si="2"/>
        <v>0</v>
      </c>
      <c r="X25" s="8"/>
    </row>
    <row r="26" spans="2:28" s="3" customFormat="1" ht="15" customHeight="1" x14ac:dyDescent="0.2">
      <c r="B26" s="16"/>
      <c r="C26" s="21"/>
      <c r="D26" s="22"/>
      <c r="E26" s="22"/>
      <c r="F26" s="27"/>
      <c r="G26" s="27"/>
      <c r="H26" s="27"/>
      <c r="I26" s="24"/>
      <c r="J26" s="25"/>
      <c r="K26" s="16"/>
      <c r="L26" s="16"/>
      <c r="M26" s="58"/>
      <c r="N26" s="58"/>
      <c r="O26" s="58"/>
      <c r="P26" s="58"/>
      <c r="Q26" s="18">
        <f t="shared" si="0"/>
        <v>0</v>
      </c>
      <c r="R26" s="58"/>
      <c r="S26" s="58"/>
      <c r="T26" s="18"/>
      <c r="U26" s="18">
        <f t="shared" si="2"/>
        <v>0</v>
      </c>
    </row>
    <row r="27" spans="2:28" s="3" customFormat="1" ht="15" customHeight="1" x14ac:dyDescent="0.2">
      <c r="B27" s="16"/>
      <c r="C27" s="21"/>
      <c r="D27" s="22"/>
      <c r="E27" s="22"/>
      <c r="F27" s="27"/>
      <c r="G27" s="27"/>
      <c r="H27" s="27"/>
      <c r="I27" s="24"/>
      <c r="J27" s="25"/>
      <c r="K27" s="16"/>
      <c r="L27" s="16"/>
      <c r="M27" s="58"/>
      <c r="N27" s="58"/>
      <c r="O27" s="58"/>
      <c r="P27" s="58"/>
      <c r="Q27" s="18">
        <f t="shared" si="0"/>
        <v>0</v>
      </c>
      <c r="R27" s="58"/>
      <c r="S27" s="58"/>
      <c r="T27" s="18">
        <f t="shared" si="1"/>
        <v>0</v>
      </c>
      <c r="U27" s="18">
        <f t="shared" si="2"/>
        <v>0</v>
      </c>
    </row>
    <row r="28" spans="2:28" s="3" customFormat="1" ht="15" customHeight="1" x14ac:dyDescent="0.2">
      <c r="B28" s="19"/>
      <c r="C28" s="28"/>
      <c r="D28" s="29"/>
      <c r="E28" s="29"/>
      <c r="F28" s="30"/>
      <c r="G28" s="30"/>
      <c r="H28" s="30"/>
      <c r="I28" s="31"/>
      <c r="J28" s="32"/>
      <c r="K28" s="19"/>
      <c r="L28" s="19"/>
      <c r="M28" s="61"/>
      <c r="N28" s="61"/>
      <c r="O28" s="61"/>
      <c r="P28" s="61"/>
      <c r="Q28" s="20">
        <f t="shared" si="0"/>
        <v>0</v>
      </c>
      <c r="R28" s="61"/>
      <c r="S28" s="61"/>
      <c r="T28" s="20">
        <f t="shared" si="1"/>
        <v>0</v>
      </c>
      <c r="U28" s="20">
        <f t="shared" si="2"/>
        <v>0</v>
      </c>
      <c r="X28" s="8"/>
    </row>
    <row r="29" spans="2:28" s="1" customFormat="1" ht="19.149999999999999" customHeight="1" x14ac:dyDescent="0.2">
      <c r="B29" s="140" t="s">
        <v>42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/>
      <c r="T29" s="33">
        <f>SUM(T9:T28)</f>
        <v>0</v>
      </c>
      <c r="U29" s="34">
        <f>SUM(U9:U28)</f>
        <v>0</v>
      </c>
    </row>
    <row r="30" spans="2:28" s="1" customFormat="1" ht="18" customHeight="1" x14ac:dyDescent="0.2">
      <c r="B30" s="127" t="s">
        <v>7</v>
      </c>
      <c r="C30" s="128"/>
      <c r="D30" s="128"/>
      <c r="E30" s="128"/>
      <c r="F30" s="128" t="s">
        <v>23</v>
      </c>
      <c r="G30" s="128"/>
      <c r="H30" s="128"/>
      <c r="I30" s="128"/>
      <c r="J30" s="128" t="s">
        <v>7</v>
      </c>
      <c r="K30" s="128"/>
      <c r="L30" s="128"/>
      <c r="M30" s="128" t="s">
        <v>23</v>
      </c>
      <c r="N30" s="128"/>
      <c r="O30" s="128"/>
      <c r="P30" s="128"/>
      <c r="Q30" s="129" t="s">
        <v>24</v>
      </c>
      <c r="R30" s="129"/>
      <c r="S30" s="129"/>
      <c r="T30" s="83">
        <f>M32</f>
        <v>0</v>
      </c>
      <c r="U30" s="84"/>
    </row>
    <row r="31" spans="2:28" s="1" customFormat="1" ht="19.149999999999999" customHeight="1" x14ac:dyDescent="0.2">
      <c r="B31" s="135" t="s">
        <v>8</v>
      </c>
      <c r="C31" s="138"/>
      <c r="D31" s="151"/>
      <c r="E31" s="139"/>
      <c r="F31" s="78">
        <f>D31*T29</f>
        <v>0</v>
      </c>
      <c r="G31" s="78"/>
      <c r="H31" s="78"/>
      <c r="I31" s="78"/>
      <c r="J31" s="136" t="s">
        <v>10</v>
      </c>
      <c r="K31" s="138"/>
      <c r="L31" s="139"/>
      <c r="M31" s="78"/>
      <c r="N31" s="78"/>
      <c r="O31" s="78"/>
      <c r="P31" s="78"/>
      <c r="Q31" s="40" t="s">
        <v>49</v>
      </c>
      <c r="R31" s="41" t="s">
        <v>11</v>
      </c>
      <c r="S31" s="143" t="s">
        <v>44</v>
      </c>
      <c r="T31" s="144"/>
      <c r="U31" s="35"/>
    </row>
    <row r="32" spans="2:28" s="1" customFormat="1" ht="19.149999999999999" customHeight="1" x14ac:dyDescent="0.2">
      <c r="B32" s="135" t="s">
        <v>12</v>
      </c>
      <c r="C32" s="138"/>
      <c r="D32" s="151"/>
      <c r="E32" s="139"/>
      <c r="F32" s="78">
        <f>D32*T29</f>
        <v>0</v>
      </c>
      <c r="G32" s="78"/>
      <c r="H32" s="78"/>
      <c r="I32" s="78"/>
      <c r="J32" s="136" t="s">
        <v>13</v>
      </c>
      <c r="K32" s="154"/>
      <c r="L32" s="155"/>
      <c r="M32" s="78">
        <f>K32*(T29-M31)</f>
        <v>0</v>
      </c>
      <c r="N32" s="78"/>
      <c r="O32" s="78"/>
      <c r="P32" s="78"/>
      <c r="Q32" s="42"/>
      <c r="R32" s="43"/>
      <c r="S32" s="37"/>
      <c r="T32" s="38"/>
      <c r="U32" s="39"/>
    </row>
    <row r="33" spans="2:21" s="1" customFormat="1" ht="19.149999999999999" customHeight="1" x14ac:dyDescent="0.2">
      <c r="B33" s="133" t="s">
        <v>28</v>
      </c>
      <c r="C33" s="134"/>
      <c r="D33" s="152"/>
      <c r="E33" s="153"/>
      <c r="F33" s="62"/>
      <c r="G33" s="62"/>
      <c r="H33" s="62"/>
      <c r="I33" s="62"/>
      <c r="J33" s="137" t="s">
        <v>27</v>
      </c>
      <c r="K33" s="36" t="s">
        <v>9</v>
      </c>
      <c r="L33" s="36"/>
      <c r="M33" s="62"/>
      <c r="N33" s="62"/>
      <c r="O33" s="62"/>
      <c r="P33" s="62"/>
      <c r="Q33" s="44"/>
      <c r="R33" s="45" t="s">
        <v>14</v>
      </c>
      <c r="S33" s="70">
        <f>T29-F31-F33-M31-M33-F32-M32</f>
        <v>0</v>
      </c>
      <c r="T33" s="71"/>
      <c r="U33" s="72"/>
    </row>
    <row r="34" spans="2:21" ht="19.149999999999999" customHeight="1" x14ac:dyDescent="0.2">
      <c r="B34" s="145" t="s">
        <v>45</v>
      </c>
      <c r="C34" s="146"/>
      <c r="D34" s="146"/>
      <c r="E34" s="146"/>
      <c r="F34" s="146"/>
      <c r="G34" s="147" t="s">
        <v>46</v>
      </c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8"/>
    </row>
    <row r="35" spans="2:21" ht="40.5" customHeight="1" x14ac:dyDescent="0.2">
      <c r="B35" s="156" t="s">
        <v>50</v>
      </c>
      <c r="C35" s="157"/>
      <c r="D35" s="158"/>
      <c r="E35" s="68" t="s">
        <v>15</v>
      </c>
      <c r="F35" s="68"/>
      <c r="G35" s="68"/>
      <c r="H35" s="55"/>
      <c r="I35" s="68" t="s">
        <v>16</v>
      </c>
      <c r="J35" s="68"/>
      <c r="K35" s="68"/>
      <c r="L35" s="68" t="s">
        <v>17</v>
      </c>
      <c r="M35" s="68"/>
      <c r="N35" s="68"/>
      <c r="O35" s="68"/>
      <c r="P35" s="67" t="s">
        <v>18</v>
      </c>
      <c r="Q35" s="67"/>
      <c r="R35" s="67"/>
      <c r="S35" s="67"/>
      <c r="T35" s="68" t="s">
        <v>19</v>
      </c>
      <c r="U35" s="69"/>
    </row>
    <row r="36" spans="2:21" x14ac:dyDescent="0.2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9"/>
      <c r="Q36" s="11"/>
      <c r="R36" s="11"/>
      <c r="S36" s="11"/>
      <c r="T36" s="12"/>
      <c r="U36" s="12"/>
    </row>
    <row r="37" spans="2:21" x14ac:dyDescent="0.2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9"/>
      <c r="Q37" s="11"/>
      <c r="R37" s="11"/>
      <c r="S37" s="11"/>
      <c r="T37" s="12"/>
      <c r="U37" s="12"/>
    </row>
    <row r="38" spans="2:21" ht="28.5" customHeight="1" x14ac:dyDescent="0.2">
      <c r="B38" s="130" t="s">
        <v>21</v>
      </c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</row>
    <row r="39" spans="2:21" ht="24" customHeight="1" x14ac:dyDescent="0.25">
      <c r="B39" s="130" t="s">
        <v>30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1" t="s">
        <v>23</v>
      </c>
      <c r="S39" s="131"/>
      <c r="T39" s="131"/>
      <c r="U39" s="131"/>
    </row>
    <row r="40" spans="2:21" x14ac:dyDescent="0.2">
      <c r="B40" s="73"/>
      <c r="C40" s="74"/>
      <c r="D40" s="74"/>
      <c r="E40" s="74"/>
      <c r="F40" s="74"/>
      <c r="G40" s="74"/>
      <c r="H40" s="74"/>
      <c r="I40" s="74"/>
      <c r="J40" s="74"/>
      <c r="K40" s="75"/>
      <c r="L40" s="75"/>
      <c r="M40" s="75"/>
      <c r="N40" s="75"/>
      <c r="O40" s="75"/>
      <c r="P40" s="75"/>
      <c r="Q40" s="52"/>
      <c r="R40" s="63"/>
      <c r="S40" s="63"/>
      <c r="T40" s="63"/>
      <c r="U40" s="64"/>
    </row>
    <row r="41" spans="2:21" x14ac:dyDescent="0.2">
      <c r="B41" s="76"/>
      <c r="C41" s="77"/>
      <c r="D41" s="77"/>
      <c r="E41" s="77"/>
      <c r="F41" s="77"/>
      <c r="G41" s="77"/>
      <c r="H41" s="77"/>
      <c r="I41" s="77"/>
      <c r="J41" s="77"/>
      <c r="K41" s="80"/>
      <c r="L41" s="80"/>
      <c r="M41" s="80"/>
      <c r="N41" s="80"/>
      <c r="O41" s="80"/>
      <c r="P41" s="80"/>
      <c r="Q41" s="53"/>
      <c r="R41" s="65"/>
      <c r="S41" s="65"/>
      <c r="T41" s="65"/>
      <c r="U41" s="66"/>
    </row>
    <row r="42" spans="2:21" x14ac:dyDescent="0.2">
      <c r="B42" s="76"/>
      <c r="C42" s="77"/>
      <c r="D42" s="77"/>
      <c r="E42" s="77"/>
      <c r="F42" s="77"/>
      <c r="G42" s="77"/>
      <c r="H42" s="77"/>
      <c r="I42" s="77"/>
      <c r="J42" s="77"/>
      <c r="K42" s="80"/>
      <c r="L42" s="80"/>
      <c r="M42" s="80"/>
      <c r="N42" s="80"/>
      <c r="O42" s="80"/>
      <c r="P42" s="80"/>
      <c r="Q42" s="53"/>
      <c r="R42" s="65"/>
      <c r="S42" s="65"/>
      <c r="T42" s="65"/>
      <c r="U42" s="66"/>
    </row>
    <row r="43" spans="2:21" x14ac:dyDescent="0.2">
      <c r="B43" s="76"/>
      <c r="C43" s="77"/>
      <c r="D43" s="77"/>
      <c r="E43" s="77"/>
      <c r="F43" s="77"/>
      <c r="G43" s="77"/>
      <c r="H43" s="77"/>
      <c r="I43" s="77"/>
      <c r="J43" s="77"/>
      <c r="K43" s="80"/>
      <c r="L43" s="80"/>
      <c r="M43" s="80"/>
      <c r="N43" s="80"/>
      <c r="O43" s="80"/>
      <c r="P43" s="80"/>
      <c r="Q43" s="53"/>
      <c r="R43" s="65"/>
      <c r="S43" s="65"/>
      <c r="T43" s="65"/>
      <c r="U43" s="66"/>
    </row>
    <row r="44" spans="2:21" x14ac:dyDescent="0.2">
      <c r="B44" s="76"/>
      <c r="C44" s="77"/>
      <c r="D44" s="77"/>
      <c r="E44" s="77"/>
      <c r="F44" s="77"/>
      <c r="G44" s="77"/>
      <c r="H44" s="77"/>
      <c r="I44" s="77"/>
      <c r="J44" s="77"/>
      <c r="K44" s="80"/>
      <c r="L44" s="80"/>
      <c r="M44" s="80"/>
      <c r="N44" s="80"/>
      <c r="O44" s="80"/>
      <c r="P44" s="80"/>
      <c r="Q44" s="53"/>
      <c r="R44" s="65"/>
      <c r="S44" s="65"/>
      <c r="T44" s="65"/>
      <c r="U44" s="66"/>
    </row>
    <row r="45" spans="2:21" x14ac:dyDescent="0.2">
      <c r="B45" s="46"/>
      <c r="C45" s="47"/>
      <c r="D45" s="47"/>
      <c r="E45" s="47"/>
      <c r="F45" s="47"/>
      <c r="G45" s="47"/>
      <c r="H45" s="56"/>
      <c r="I45" s="47"/>
      <c r="J45" s="47"/>
      <c r="K45" s="48"/>
      <c r="L45" s="48"/>
      <c r="M45" s="48"/>
      <c r="N45" s="48"/>
      <c r="O45" s="48"/>
      <c r="P45" s="48"/>
      <c r="Q45" s="53"/>
      <c r="R45" s="65"/>
      <c r="S45" s="65"/>
      <c r="T45" s="65"/>
      <c r="U45" s="66"/>
    </row>
    <row r="46" spans="2:21" x14ac:dyDescent="0.2">
      <c r="B46" s="46"/>
      <c r="C46" s="47"/>
      <c r="D46" s="47"/>
      <c r="E46" s="47"/>
      <c r="F46" s="47"/>
      <c r="G46" s="47"/>
      <c r="H46" s="56"/>
      <c r="I46" s="47"/>
      <c r="J46" s="47"/>
      <c r="K46" s="48"/>
      <c r="L46" s="48"/>
      <c r="M46" s="48"/>
      <c r="N46" s="48"/>
      <c r="O46" s="48"/>
      <c r="P46" s="48"/>
      <c r="Q46" s="53"/>
      <c r="R46" s="65"/>
      <c r="S46" s="65"/>
      <c r="T46" s="65"/>
      <c r="U46" s="66"/>
    </row>
    <row r="47" spans="2:21" x14ac:dyDescent="0.2">
      <c r="B47" s="46"/>
      <c r="C47" s="47"/>
      <c r="D47" s="47"/>
      <c r="E47" s="47"/>
      <c r="F47" s="47"/>
      <c r="G47" s="47"/>
      <c r="H47" s="56"/>
      <c r="I47" s="47"/>
      <c r="J47" s="47"/>
      <c r="K47" s="48"/>
      <c r="L47" s="48"/>
      <c r="M47" s="48"/>
      <c r="N47" s="48"/>
      <c r="O47" s="48"/>
      <c r="P47" s="48"/>
      <c r="Q47" s="53"/>
      <c r="R47" s="65"/>
      <c r="S47" s="65"/>
      <c r="T47" s="65"/>
      <c r="U47" s="66"/>
    </row>
    <row r="48" spans="2:21" x14ac:dyDescent="0.2">
      <c r="B48" s="46"/>
      <c r="C48" s="47"/>
      <c r="D48" s="47"/>
      <c r="E48" s="47"/>
      <c r="F48" s="47"/>
      <c r="G48" s="47"/>
      <c r="H48" s="56"/>
      <c r="I48" s="47"/>
      <c r="J48" s="47"/>
      <c r="K48" s="48"/>
      <c r="L48" s="48"/>
      <c r="M48" s="48"/>
      <c r="N48" s="48"/>
      <c r="O48" s="48"/>
      <c r="P48" s="48"/>
      <c r="Q48" s="53"/>
      <c r="R48" s="65"/>
      <c r="S48" s="65"/>
      <c r="T48" s="65"/>
      <c r="U48" s="66"/>
    </row>
    <row r="49" spans="2:21" x14ac:dyDescent="0.2">
      <c r="B49" s="49"/>
      <c r="C49" s="50"/>
      <c r="D49" s="50"/>
      <c r="E49" s="50"/>
      <c r="F49" s="50"/>
      <c r="G49" s="50"/>
      <c r="H49" s="50"/>
      <c r="I49" s="50"/>
      <c r="J49" s="50"/>
      <c r="K49" s="51"/>
      <c r="L49" s="51"/>
      <c r="M49" s="51"/>
      <c r="N49" s="51"/>
      <c r="O49" s="51"/>
      <c r="P49" s="51"/>
      <c r="Q49" s="54"/>
      <c r="R49" s="81"/>
      <c r="S49" s="81"/>
      <c r="T49" s="81"/>
      <c r="U49" s="82"/>
    </row>
    <row r="50" spans="2:21" ht="23.25" customHeight="1" x14ac:dyDescent="0.2">
      <c r="B50" s="132" t="s">
        <v>20</v>
      </c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49">
        <f>SUM(R40:U49)</f>
        <v>0</v>
      </c>
      <c r="S50" s="150"/>
      <c r="T50" s="150"/>
      <c r="U50" s="150"/>
    </row>
    <row r="51" spans="2:21" x14ac:dyDescent="0.2">
      <c r="B51" s="7"/>
      <c r="C51" s="7"/>
      <c r="D51" s="7"/>
      <c r="E51" s="7"/>
      <c r="F51" s="7"/>
      <c r="G51" s="7"/>
      <c r="H51" s="7"/>
      <c r="I51" s="7"/>
      <c r="J51" s="6"/>
      <c r="K51" s="6"/>
      <c r="L51" s="6"/>
      <c r="M51" s="6"/>
      <c r="N51" s="6"/>
      <c r="O51" s="6"/>
      <c r="P51" s="6"/>
    </row>
  </sheetData>
  <mergeCells count="141">
    <mergeCell ref="R6:T6"/>
    <mergeCell ref="B29:S29"/>
    <mergeCell ref="B33:C33"/>
    <mergeCell ref="S31:T31"/>
    <mergeCell ref="B34:F34"/>
    <mergeCell ref="G34:U34"/>
    <mergeCell ref="C31:E31"/>
    <mergeCell ref="C32:E32"/>
    <mergeCell ref="D33:E33"/>
    <mergeCell ref="K31:L31"/>
    <mergeCell ref="Q3:U3"/>
    <mergeCell ref="O4:P4"/>
    <mergeCell ref="S4:U4"/>
    <mergeCell ref="O5:P5"/>
    <mergeCell ref="Q5:U5"/>
    <mergeCell ref="B5:C5"/>
    <mergeCell ref="D5:N5"/>
    <mergeCell ref="B2:D4"/>
    <mergeCell ref="P6:Q6"/>
    <mergeCell ref="B6:C6"/>
    <mergeCell ref="D6:H6"/>
    <mergeCell ref="L6:M6"/>
    <mergeCell ref="I6:K6"/>
    <mergeCell ref="N6:O6"/>
    <mergeCell ref="O2:P2"/>
    <mergeCell ref="Q2:U2"/>
    <mergeCell ref="M9:N9"/>
    <mergeCell ref="M10:N10"/>
    <mergeCell ref="M11:N11"/>
    <mergeCell ref="M16:N16"/>
    <mergeCell ref="M17:N17"/>
    <mergeCell ref="M18:N18"/>
    <mergeCell ref="C10:J10"/>
    <mergeCell ref="M32:P32"/>
    <mergeCell ref="F32:I32"/>
    <mergeCell ref="M12:N12"/>
    <mergeCell ref="M31:P31"/>
    <mergeCell ref="M13:N13"/>
    <mergeCell ref="M14:N14"/>
    <mergeCell ref="M15:N15"/>
    <mergeCell ref="M26:N26"/>
    <mergeCell ref="M24:N24"/>
    <mergeCell ref="E35:G35"/>
    <mergeCell ref="I35:K35"/>
    <mergeCell ref="L35:O35"/>
    <mergeCell ref="B38:U38"/>
    <mergeCell ref="B39:Q39"/>
    <mergeCell ref="B30:E30"/>
    <mergeCell ref="F30:I30"/>
    <mergeCell ref="T30:U30"/>
    <mergeCell ref="M30:P30"/>
    <mergeCell ref="J30:L30"/>
    <mergeCell ref="R49:U49"/>
    <mergeCell ref="R50:U50"/>
    <mergeCell ref="R45:U45"/>
    <mergeCell ref="R46:U46"/>
    <mergeCell ref="R47:U47"/>
    <mergeCell ref="R48:U48"/>
    <mergeCell ref="B50:Q50"/>
    <mergeCell ref="O8:P8"/>
    <mergeCell ref="B44:J44"/>
    <mergeCell ref="K44:P44"/>
    <mergeCell ref="B42:J42"/>
    <mergeCell ref="K42:P42"/>
    <mergeCell ref="B43:J43"/>
    <mergeCell ref="K43:P43"/>
    <mergeCell ref="M33:P33"/>
    <mergeCell ref="K32:L32"/>
    <mergeCell ref="L7:Q7"/>
    <mergeCell ref="R7:U7"/>
    <mergeCell ref="R44:U44"/>
    <mergeCell ref="K41:P41"/>
    <mergeCell ref="R42:U42"/>
    <mergeCell ref="R43:U43"/>
    <mergeCell ref="R39:U39"/>
    <mergeCell ref="R8:S8"/>
    <mergeCell ref="Q30:S30"/>
    <mergeCell ref="M8:N8"/>
    <mergeCell ref="C8:J8"/>
    <mergeCell ref="B7:K7"/>
    <mergeCell ref="O19:P19"/>
    <mergeCell ref="O9:P9"/>
    <mergeCell ref="O10:P10"/>
    <mergeCell ref="F31:I31"/>
    <mergeCell ref="M19:N19"/>
    <mergeCell ref="M20:N20"/>
    <mergeCell ref="M21:N21"/>
    <mergeCell ref="M22:N22"/>
    <mergeCell ref="M23:N23"/>
    <mergeCell ref="M25:N25"/>
    <mergeCell ref="M27:N27"/>
    <mergeCell ref="M28:N28"/>
    <mergeCell ref="F33:I33"/>
    <mergeCell ref="R40:U40"/>
    <mergeCell ref="R41:U41"/>
    <mergeCell ref="P35:S35"/>
    <mergeCell ref="T35:U35"/>
    <mergeCell ref="S33:U33"/>
    <mergeCell ref="B40:J40"/>
    <mergeCell ref="K40:P40"/>
    <mergeCell ref="B41:J41"/>
    <mergeCell ref="B35:D35"/>
    <mergeCell ref="O11:P11"/>
    <mergeCell ref="O12:P12"/>
    <mergeCell ref="O13:P13"/>
    <mergeCell ref="O14:P14"/>
    <mergeCell ref="O15:P15"/>
    <mergeCell ref="O20:P20"/>
    <mergeCell ref="R15:S15"/>
    <mergeCell ref="R16:S16"/>
    <mergeCell ref="R17:S17"/>
    <mergeCell ref="R18:S18"/>
    <mergeCell ref="R19:S19"/>
    <mergeCell ref="O16:P16"/>
    <mergeCell ref="O17:P17"/>
    <mergeCell ref="O18:P18"/>
    <mergeCell ref="O27:P27"/>
    <mergeCell ref="R28:S28"/>
    <mergeCell ref="R21:S21"/>
    <mergeCell ref="R22:S22"/>
    <mergeCell ref="R23:S23"/>
    <mergeCell ref="R26:S26"/>
    <mergeCell ref="R27:S27"/>
    <mergeCell ref="O22:P22"/>
    <mergeCell ref="O21:P21"/>
    <mergeCell ref="E2:N4"/>
    <mergeCell ref="O28:P28"/>
    <mergeCell ref="O23:P23"/>
    <mergeCell ref="O24:P24"/>
    <mergeCell ref="O25:P25"/>
    <mergeCell ref="O26:P26"/>
    <mergeCell ref="C9:J9"/>
    <mergeCell ref="R20:S20"/>
    <mergeCell ref="R24:S24"/>
    <mergeCell ref="R25:S25"/>
    <mergeCell ref="R13:S13"/>
    <mergeCell ref="R14:S14"/>
    <mergeCell ref="R9:S9"/>
    <mergeCell ref="R10:S10"/>
    <mergeCell ref="R11:S11"/>
    <mergeCell ref="R12:S12"/>
  </mergeCells>
  <phoneticPr fontId="0" type="noConversion"/>
  <printOptions horizontalCentered="1" gridLinesSet="0"/>
  <pageMargins left="0.27" right="0.49" top="0.39370078740157483" bottom="0.19685039370078741" header="0.19685039370078741" footer="0.19685039370078741"/>
  <pageSetup paperSize="9" scale="87" orientation="landscape" horizontalDpi="4294967295" verticalDpi="300" r:id="rId1"/>
  <headerFooter alignWithMargins="0">
    <oddFooter>A 2.1 - Boletim de Medição &amp;RPágina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1" r:id="rId4" name="Option Button 57">
              <controlPr defaultSize="0" autoFill="0" autoLine="0" autoPict="0">
                <anchor moveWithCells="1">
                  <from>
                    <xdr:col>16</xdr:col>
                    <xdr:colOff>638175</xdr:colOff>
                    <xdr:row>29</xdr:row>
                    <xdr:rowOff>219075</xdr:rowOff>
                  </from>
                  <to>
                    <xdr:col>17</xdr:col>
                    <xdr:colOff>85725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" name="Option Button 58">
              <controlPr defaultSize="0" autoFill="0" autoLine="0" autoPict="0">
                <anchor moveWithCells="1">
                  <from>
                    <xdr:col>16</xdr:col>
                    <xdr:colOff>619125</xdr:colOff>
                    <xdr:row>31</xdr:row>
                    <xdr:rowOff>219075</xdr:rowOff>
                  </from>
                  <to>
                    <xdr:col>17</xdr:col>
                    <xdr:colOff>66675</xdr:colOff>
                    <xdr:row>33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 Medição-SmartPlanilhas</vt:lpstr>
      <vt:lpstr>'Boletim Medição-SmartPlanilhas'!Area_de_impressao</vt:lpstr>
      <vt:lpstr>'Boletim Medição-SmartPlanilhas'!Titulos_de_impressao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Boletim Medicao</dc:title>
  <dc:creator>www.pedreirao.com.br</dc:creator>
  <cp:keywords>www.pedreirao.com.br</cp:keywords>
  <cp:lastModifiedBy>Usuario</cp:lastModifiedBy>
  <cp:lastPrinted>2015-07-27T12:54:42Z</cp:lastPrinted>
  <dcterms:created xsi:type="dcterms:W3CDTF">1997-10-27T20:36:02Z</dcterms:created>
  <dcterms:modified xsi:type="dcterms:W3CDTF">2020-06-29T13:12:47Z</dcterms:modified>
</cp:coreProperties>
</file>