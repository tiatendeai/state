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d968d018fdbd9d/Área de Trabalho/Prof Ricardo/"/>
    </mc:Choice>
  </mc:AlternateContent>
  <xr:revisionPtr revIDLastSave="0" documentId="8_{706F8154-1F45-C64D-BAF9-8B06D003CD5C}" xr6:coauthVersionLast="47" xr6:coauthVersionMax="47" xr10:uidLastSave="{00000000-0000-0000-0000-000000000000}"/>
  <bookViews>
    <workbookView xWindow="-108" yWindow="-108" windowWidth="23256" windowHeight="12576" xr2:uid="{44CB3E03-6A67-4A67-BA0A-1995BA0C33BB}"/>
  </bookViews>
  <sheets>
    <sheet name="Controle Estoque" sheetId="1" r:id="rId1"/>
    <sheet name="Razonetes" sheetId="3" r:id="rId2"/>
    <sheet name="Ocorrenci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3" l="1"/>
  <c r="G25" i="3"/>
  <c r="S22" i="3"/>
  <c r="S28" i="3"/>
  <c r="AC13" i="3"/>
  <c r="AC16" i="3"/>
  <c r="C13" i="3"/>
  <c r="C14" i="3"/>
  <c r="Z8" i="3"/>
  <c r="Z15" i="3"/>
  <c r="R28" i="3"/>
  <c r="P28" i="3"/>
  <c r="M28" i="3"/>
  <c r="L28" i="3"/>
  <c r="J28" i="3"/>
  <c r="I28" i="3"/>
  <c r="V13" i="3"/>
  <c r="U13" i="3"/>
  <c r="S13" i="3"/>
  <c r="R13" i="3"/>
  <c r="G23" i="3"/>
  <c r="P13" i="3"/>
  <c r="G21" i="3"/>
  <c r="O13" i="3"/>
  <c r="M13" i="3"/>
  <c r="J13" i="3"/>
  <c r="I13" i="3"/>
  <c r="G13" i="3"/>
  <c r="F13" i="3"/>
  <c r="F14" i="3"/>
  <c r="D13" i="3"/>
  <c r="K18" i="2"/>
  <c r="K15" i="2"/>
  <c r="F18" i="1"/>
  <c r="K8" i="2"/>
  <c r="K12" i="2"/>
  <c r="L17" i="1"/>
  <c r="L16" i="1"/>
  <c r="I16" i="1"/>
  <c r="L14" i="1"/>
  <c r="I14" i="1"/>
  <c r="L13" i="1"/>
  <c r="L12" i="1"/>
  <c r="F12" i="1"/>
  <c r="L11" i="1"/>
  <c r="I11" i="1"/>
  <c r="L10" i="1"/>
  <c r="O22" i="3"/>
  <c r="O28" i="3"/>
</calcChain>
</file>

<file path=xl/sharedStrings.xml><?xml version="1.0" encoding="utf-8"?>
<sst xmlns="http://schemas.openxmlformats.org/spreadsheetml/2006/main" count="72" uniqueCount="51">
  <si>
    <t>Caixa</t>
  </si>
  <si>
    <t>Capital</t>
  </si>
  <si>
    <t>Estoque</t>
  </si>
  <si>
    <t>Estoque de Sapatos para venda</t>
  </si>
  <si>
    <t>Quant</t>
  </si>
  <si>
    <t>Saldo</t>
  </si>
  <si>
    <t xml:space="preserve"> </t>
  </si>
  <si>
    <t>Entrada</t>
  </si>
  <si>
    <t>Saida</t>
  </si>
  <si>
    <t>Vl Unit</t>
  </si>
  <si>
    <t>Total</t>
  </si>
  <si>
    <t>CMV</t>
  </si>
  <si>
    <t>Receita de Vendas</t>
  </si>
  <si>
    <t>desp. Comissão</t>
  </si>
  <si>
    <t>Prov. Comissão</t>
  </si>
  <si>
    <t>PEPS</t>
  </si>
  <si>
    <t>Demonstrativo Resultado do Exercicio</t>
  </si>
  <si>
    <t>Receita de vendas</t>
  </si>
  <si>
    <t>(-) CMV</t>
  </si>
  <si>
    <t>Despesas sde comissao</t>
  </si>
  <si>
    <t>Resultado</t>
  </si>
  <si>
    <t>DRE</t>
  </si>
  <si>
    <t>Lucros/prejuizo</t>
  </si>
  <si>
    <t>Ativo</t>
  </si>
  <si>
    <t>Lucro/Prejuizo</t>
  </si>
  <si>
    <t>Passivo</t>
  </si>
  <si>
    <t>Prov Comissao</t>
  </si>
  <si>
    <t>Venda de 50% do estoque por 351 o par</t>
  </si>
  <si>
    <t>comissao de vendas 5%</t>
  </si>
  <si>
    <t>Pagamento de 50% a vista e o restante em 30 dias</t>
  </si>
  <si>
    <t>Compra de 50 pares de sapato a R$ 152,00 o par</t>
  </si>
  <si>
    <t>Pagamento 20% de sinal e o restante em 30 dias</t>
  </si>
  <si>
    <t>D</t>
  </si>
  <si>
    <t>C</t>
  </si>
  <si>
    <t xml:space="preserve">Estoque </t>
  </si>
  <si>
    <t xml:space="preserve">CMV </t>
  </si>
  <si>
    <t xml:space="preserve">Venda </t>
  </si>
  <si>
    <t xml:space="preserve">Caixa </t>
  </si>
  <si>
    <t xml:space="preserve">comissão </t>
  </si>
  <si>
    <t xml:space="preserve">Desp. comissão de venda </t>
  </si>
  <si>
    <t xml:space="preserve">Prov. de comissão </t>
  </si>
  <si>
    <t xml:space="preserve">50% a vista </t>
  </si>
  <si>
    <t xml:space="preserve">p/ 30 dias </t>
  </si>
  <si>
    <t xml:space="preserve">caixa </t>
  </si>
  <si>
    <r>
      <rPr>
        <b/>
        <sz val="14"/>
        <color theme="4" tint="-0.249977111117893"/>
        <rFont val="Calibri"/>
        <family val="2"/>
        <scheme val="minor"/>
      </rPr>
      <t>Clientes</t>
    </r>
    <r>
      <rPr>
        <b/>
        <sz val="14"/>
        <color rgb="FFFF0000"/>
        <rFont val="Calibri"/>
        <family val="2"/>
        <scheme val="minor"/>
      </rPr>
      <t xml:space="preserve"> </t>
    </r>
  </si>
  <si>
    <t xml:space="preserve">C </t>
  </si>
  <si>
    <t xml:space="preserve">Clientes </t>
  </si>
  <si>
    <t xml:space="preserve">Compra </t>
  </si>
  <si>
    <t xml:space="preserve">Fornecedores </t>
  </si>
  <si>
    <t xml:space="preserve">Rec. De vendas 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</si>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</sst>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43" fontId="0" fillId="0" borderId="3" xfId="1" applyFont="1" applyBorder="1"/>
    <xf numFmtId="43" fontId="0" fillId="0" borderId="4" xfId="1" applyFont="1" applyBorder="1"/>
    <xf numFmtId="43" fontId="0" fillId="0" borderId="0" xfId="0" applyNumberFormat="1"/>
    <xf numFmtId="43" fontId="0" fillId="2" borderId="1" xfId="1" applyFont="1" applyFill="1" applyBorder="1"/>
    <xf numFmtId="43" fontId="0" fillId="3" borderId="1" xfId="1" applyFont="1" applyFill="1" applyBorder="1"/>
    <xf numFmtId="43" fontId="0" fillId="4" borderId="1" xfId="1" applyFont="1" applyFill="1" applyBorder="1"/>
    <xf numFmtId="43" fontId="0" fillId="5" borderId="1" xfId="1" applyFont="1" applyFill="1" applyBorder="1"/>
    <xf numFmtId="0" fontId="5" fillId="0" borderId="0" xfId="0" applyFont="1"/>
    <xf numFmtId="43" fontId="2" fillId="0" borderId="4" xfId="1" applyFont="1" applyBorder="1"/>
    <xf numFmtId="43" fontId="2" fillId="0" borderId="0" xfId="1" applyFont="1"/>
    <xf numFmtId="43" fontId="0" fillId="5" borderId="0" xfId="1" applyFont="1" applyFill="1"/>
    <xf numFmtId="43" fontId="3" fillId="5" borderId="0" xfId="1" applyFont="1" applyFill="1"/>
    <xf numFmtId="43" fontId="5" fillId="0" borderId="0" xfId="1" applyFont="1"/>
    <xf numFmtId="43" fontId="2" fillId="5" borderId="0" xfId="1" applyFont="1" applyFill="1"/>
    <xf numFmtId="0" fontId="0" fillId="5" borderId="0" xfId="0" applyFill="1"/>
    <xf numFmtId="0" fontId="0" fillId="0" borderId="8" xfId="0" applyBorder="1"/>
    <xf numFmtId="0" fontId="0" fillId="0" borderId="9" xfId="0" applyBorder="1"/>
    <xf numFmtId="0" fontId="0" fillId="2" borderId="8" xfId="0" applyFill="1" applyBorder="1"/>
    <xf numFmtId="43" fontId="0" fillId="2" borderId="9" xfId="1" applyFont="1" applyFill="1" applyBorder="1"/>
    <xf numFmtId="0" fontId="0" fillId="3" borderId="8" xfId="0" applyFill="1" applyBorder="1"/>
    <xf numFmtId="43" fontId="0" fillId="3" borderId="9" xfId="1" applyFont="1" applyFill="1" applyBorder="1"/>
    <xf numFmtId="0" fontId="0" fillId="4" borderId="8" xfId="0" applyFill="1" applyBorder="1"/>
    <xf numFmtId="43" fontId="0" fillId="4" borderId="9" xfId="1" applyFont="1" applyFill="1" applyBorder="1"/>
    <xf numFmtId="0" fontId="0" fillId="5" borderId="8" xfId="0" applyFill="1" applyBorder="1"/>
    <xf numFmtId="43" fontId="0" fillId="5" borderId="9" xfId="1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center"/>
    </xf>
    <xf numFmtId="4" fontId="0" fillId="0" borderId="0" xfId="0" applyNumberFormat="1"/>
    <xf numFmtId="9" fontId="0" fillId="0" borderId="0" xfId="0" applyNumberFormat="1"/>
    <xf numFmtId="0" fontId="0" fillId="6" borderId="8" xfId="0" applyFill="1" applyBorder="1"/>
    <xf numFmtId="0" fontId="0" fillId="6" borderId="1" xfId="0" applyFill="1" applyBorder="1"/>
    <xf numFmtId="43" fontId="0" fillId="6" borderId="9" xfId="1" applyFont="1" applyFill="1" applyBorder="1"/>
    <xf numFmtId="0" fontId="0" fillId="6" borderId="9" xfId="0" applyFill="1" applyBorder="1"/>
    <xf numFmtId="0" fontId="0" fillId="7" borderId="8" xfId="0" applyFill="1" applyBorder="1"/>
    <xf numFmtId="43" fontId="0" fillId="7" borderId="1" xfId="1" applyFont="1" applyFill="1" applyBorder="1"/>
    <xf numFmtId="43" fontId="0" fillId="7" borderId="9" xfId="1" applyFont="1" applyFill="1" applyBorder="1"/>
    <xf numFmtId="0" fontId="0" fillId="8" borderId="8" xfId="0" applyFont="1" applyFill="1" applyBorder="1"/>
    <xf numFmtId="43" fontId="0" fillId="8" borderId="1" xfId="1" applyFont="1" applyFill="1" applyBorder="1"/>
    <xf numFmtId="43" fontId="0" fillId="8" borderId="9" xfId="1" applyFont="1" applyFill="1" applyBorder="1"/>
    <xf numFmtId="43" fontId="0" fillId="5" borderId="4" xfId="1" applyFont="1" applyFill="1" applyBorder="1"/>
    <xf numFmtId="43" fontId="0" fillId="5" borderId="0" xfId="0" applyNumberFormat="1" applyFill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10" Type="http://schemas.openxmlformats.org/officeDocument/2006/relationships/customXml" Target="../customXml/item3.xml" /><Relationship Id="rId4" Type="http://schemas.openxmlformats.org/officeDocument/2006/relationships/theme" Target="theme/theme1.xml" /><Relationship Id="rId9" Type="http://schemas.openxmlformats.org/officeDocument/2006/relationships/customXml" Target="../customXml/item2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759D-ED11-4F1D-BF37-07F88064D041}">
  <dimension ref="D6:M22"/>
  <sheetViews>
    <sheetView tabSelected="1" topLeftCell="D1" zoomScale="120" zoomScaleNormal="120" workbookViewId="0">
      <selection activeCell="I29" sqref="I29"/>
    </sheetView>
  </sheetViews>
  <sheetFormatPr defaultRowHeight="15" x14ac:dyDescent="0.2"/>
  <cols>
    <col min="6" max="6" width="9.28125" bestFit="1" customWidth="1"/>
    <col min="8" max="8" width="8.7421875" bestFit="1" customWidth="1"/>
    <col min="9" max="9" width="9.28125" bestFit="1" customWidth="1"/>
    <col min="11" max="11" width="9.01171875" bestFit="1" customWidth="1"/>
    <col min="12" max="12" width="10.35546875" bestFit="1" customWidth="1"/>
  </cols>
  <sheetData>
    <row r="6" spans="4:13" x14ac:dyDescent="0.2">
      <c r="D6" t="s">
        <v>3</v>
      </c>
      <c r="I6" t="s">
        <v>15</v>
      </c>
    </row>
    <row r="7" spans="4:13" ht="15.75" thickBot="1" x14ac:dyDescent="0.25"/>
    <row r="8" spans="4:13" x14ac:dyDescent="0.2">
      <c r="D8" s="48" t="s">
        <v>7</v>
      </c>
      <c r="E8" s="49"/>
      <c r="F8" s="50"/>
      <c r="G8" s="48" t="s">
        <v>8</v>
      </c>
      <c r="H8" s="49"/>
      <c r="I8" s="50"/>
      <c r="J8" s="33"/>
      <c r="K8" s="49" t="s">
        <v>5</v>
      </c>
      <c r="L8" s="50"/>
    </row>
    <row r="9" spans="4:13" x14ac:dyDescent="0.2">
      <c r="D9" s="20" t="s">
        <v>4</v>
      </c>
      <c r="E9" s="3" t="s">
        <v>9</v>
      </c>
      <c r="F9" s="21" t="s">
        <v>10</v>
      </c>
      <c r="G9" s="20" t="s">
        <v>4</v>
      </c>
      <c r="H9" s="3" t="s">
        <v>9</v>
      </c>
      <c r="I9" s="21" t="s">
        <v>10</v>
      </c>
      <c r="J9" s="20" t="s">
        <v>4</v>
      </c>
      <c r="K9" s="3" t="s">
        <v>9</v>
      </c>
      <c r="L9" s="21" t="s">
        <v>10</v>
      </c>
    </row>
    <row r="10" spans="4:13" x14ac:dyDescent="0.2">
      <c r="D10" s="22"/>
      <c r="E10" s="8"/>
      <c r="F10" s="23"/>
      <c r="G10" s="22"/>
      <c r="H10" s="8"/>
      <c r="I10" s="23"/>
      <c r="J10" s="22">
        <v>150</v>
      </c>
      <c r="K10" s="8">
        <v>100</v>
      </c>
      <c r="L10" s="23">
        <f>K10*J10</f>
        <v>15000</v>
      </c>
      <c r="M10" s="7"/>
    </row>
    <row r="11" spans="4:13" x14ac:dyDescent="0.2">
      <c r="D11" s="24"/>
      <c r="E11" s="9"/>
      <c r="F11" s="25"/>
      <c r="G11" s="24">
        <v>75</v>
      </c>
      <c r="H11" s="9">
        <v>100</v>
      </c>
      <c r="I11" s="25">
        <f>G11*H11</f>
        <v>7500</v>
      </c>
      <c r="J11" s="24">
        <v>75</v>
      </c>
      <c r="K11" s="9">
        <v>100</v>
      </c>
      <c r="L11" s="25">
        <f>J11*K11</f>
        <v>7500</v>
      </c>
    </row>
    <row r="12" spans="4:13" x14ac:dyDescent="0.2">
      <c r="D12" s="26">
        <v>20</v>
      </c>
      <c r="E12" s="10">
        <v>105</v>
      </c>
      <c r="F12" s="27">
        <f>E12*D12</f>
        <v>2100</v>
      </c>
      <c r="G12" s="26"/>
      <c r="H12" s="10"/>
      <c r="I12" s="27"/>
      <c r="J12" s="26">
        <v>75</v>
      </c>
      <c r="K12" s="10">
        <v>100</v>
      </c>
      <c r="L12" s="27">
        <f>K12*J12</f>
        <v>7500</v>
      </c>
    </row>
    <row r="13" spans="4:13" x14ac:dyDescent="0.2">
      <c r="D13" s="26"/>
      <c r="E13" s="10"/>
      <c r="F13" s="27"/>
      <c r="G13" s="26"/>
      <c r="H13" s="10"/>
      <c r="I13" s="27"/>
      <c r="J13" s="26">
        <v>20</v>
      </c>
      <c r="K13" s="10">
        <v>105</v>
      </c>
      <c r="L13" s="27">
        <f>K13*J13</f>
        <v>2100</v>
      </c>
    </row>
    <row r="14" spans="4:13" x14ac:dyDescent="0.2">
      <c r="D14" s="28"/>
      <c r="E14" s="11"/>
      <c r="F14" s="29"/>
      <c r="G14" s="28">
        <v>40</v>
      </c>
      <c r="H14" s="11">
        <v>100</v>
      </c>
      <c r="I14" s="29">
        <f>H14*G14</f>
        <v>4000</v>
      </c>
      <c r="J14" s="28">
        <v>35</v>
      </c>
      <c r="K14" s="11">
        <v>100</v>
      </c>
      <c r="L14" s="29">
        <f>K14*J14</f>
        <v>3500</v>
      </c>
    </row>
    <row r="15" spans="4:13" x14ac:dyDescent="0.2">
      <c r="D15" s="28"/>
      <c r="E15" s="11"/>
      <c r="F15" s="29"/>
      <c r="G15" s="28"/>
      <c r="H15" s="11"/>
      <c r="I15" s="29"/>
      <c r="J15" s="28">
        <v>20</v>
      </c>
      <c r="K15" s="11">
        <v>105</v>
      </c>
      <c r="L15" s="29">
        <v>2100</v>
      </c>
    </row>
    <row r="16" spans="4:13" x14ac:dyDescent="0.2">
      <c r="D16" s="40"/>
      <c r="E16" s="41"/>
      <c r="F16" s="42"/>
      <c r="G16" s="40">
        <v>27</v>
      </c>
      <c r="H16" s="41">
        <v>351</v>
      </c>
      <c r="I16" s="42">
        <f>G16*H16</f>
        <v>9477</v>
      </c>
      <c r="J16" s="40">
        <v>27</v>
      </c>
      <c r="K16" s="41">
        <v>351</v>
      </c>
      <c r="L16" s="42">
        <f>J16*K16</f>
        <v>9477</v>
      </c>
    </row>
    <row r="17" spans="4:12" x14ac:dyDescent="0.2">
      <c r="D17" s="43"/>
      <c r="E17" s="44"/>
      <c r="F17" s="45"/>
      <c r="G17" s="43"/>
      <c r="H17" s="44"/>
      <c r="I17" s="45"/>
      <c r="J17" s="43">
        <v>20</v>
      </c>
      <c r="K17" s="44">
        <v>105</v>
      </c>
      <c r="L17" s="45">
        <f>J17*K17</f>
        <v>2100</v>
      </c>
    </row>
    <row r="18" spans="4:12" x14ac:dyDescent="0.2">
      <c r="D18" s="36">
        <v>50</v>
      </c>
      <c r="E18" s="37">
        <v>152</v>
      </c>
      <c r="F18" s="38">
        <f>D18*E18</f>
        <v>7600</v>
      </c>
      <c r="G18" s="36"/>
      <c r="H18" s="37"/>
      <c r="I18" s="39"/>
      <c r="J18" s="36">
        <v>50</v>
      </c>
      <c r="K18" s="37">
        <v>152</v>
      </c>
      <c r="L18" s="38">
        <v>7600</v>
      </c>
    </row>
    <row r="19" spans="4:12" x14ac:dyDescent="0.2">
      <c r="D19" s="20"/>
      <c r="E19" s="3"/>
      <c r="F19" s="21"/>
      <c r="G19" s="20"/>
      <c r="H19" s="3"/>
      <c r="I19" s="21"/>
      <c r="J19" s="20"/>
      <c r="K19" s="3"/>
      <c r="L19" s="21"/>
    </row>
    <row r="20" spans="4:12" x14ac:dyDescent="0.2">
      <c r="D20" s="20"/>
      <c r="E20" s="3"/>
      <c r="F20" s="21"/>
      <c r="G20" s="20"/>
      <c r="H20" s="3"/>
      <c r="I20" s="21"/>
      <c r="J20" s="20"/>
      <c r="K20" s="3"/>
      <c r="L20" s="21"/>
    </row>
    <row r="21" spans="4:12" x14ac:dyDescent="0.2">
      <c r="D21" s="20"/>
      <c r="E21" s="3"/>
      <c r="F21" s="21"/>
      <c r="G21" s="20"/>
      <c r="H21" s="3"/>
      <c r="I21" s="21"/>
      <c r="J21" s="20"/>
      <c r="K21" s="3"/>
      <c r="L21" s="21"/>
    </row>
    <row r="22" spans="4:12" ht="15.75" thickBot="1" x14ac:dyDescent="0.25">
      <c r="D22" s="30"/>
      <c r="E22" s="31"/>
      <c r="F22" s="32"/>
      <c r="G22" s="30"/>
      <c r="H22" s="31"/>
      <c r="I22" s="32"/>
      <c r="J22" s="30"/>
      <c r="K22" s="31"/>
      <c r="L22" s="32"/>
    </row>
  </sheetData>
  <mergeCells count="3">
    <mergeCell ref="G8:I8"/>
    <mergeCell ref="K8:L8"/>
    <mergeCell ref="D8:F8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8656-3801-4002-BA9C-A65331A41CC5}">
  <dimension ref="C5:AC34"/>
  <sheetViews>
    <sheetView topLeftCell="A20" workbookViewId="0">
      <selection activeCell="F8" sqref="F8"/>
    </sheetView>
  </sheetViews>
  <sheetFormatPr defaultRowHeight="15" x14ac:dyDescent="0.2"/>
  <cols>
    <col min="3" max="3" width="10.35546875" bestFit="1" customWidth="1"/>
    <col min="4" max="4" width="9.28125" bestFit="1" customWidth="1"/>
    <col min="5" max="5" width="4.9765625" customWidth="1"/>
    <col min="6" max="6" width="10.35546875" bestFit="1" customWidth="1"/>
    <col min="7" max="7" width="10.4921875" bestFit="1" customWidth="1"/>
    <col min="8" max="8" width="5.91796875" customWidth="1"/>
    <col min="10" max="10" width="10.35546875" bestFit="1" customWidth="1"/>
    <col min="11" max="11" width="4.3046875" customWidth="1"/>
    <col min="12" max="12" width="11.43359375" bestFit="1" customWidth="1"/>
    <col min="13" max="13" width="10.4921875" bestFit="1" customWidth="1"/>
    <col min="14" max="14" width="4.3046875" customWidth="1"/>
    <col min="15" max="15" width="10.4921875" bestFit="1" customWidth="1"/>
    <col min="16" max="16" width="10.35546875" bestFit="1" customWidth="1"/>
    <col min="17" max="17" width="5.51171875" customWidth="1"/>
    <col min="18" max="18" width="9.4140625" bestFit="1" customWidth="1"/>
    <col min="19" max="19" width="12.9140625" bestFit="1" customWidth="1"/>
    <col min="20" max="20" width="3.359375" customWidth="1"/>
    <col min="21" max="21" width="14.796875" customWidth="1"/>
    <col min="22" max="22" width="11.43359375" customWidth="1"/>
    <col min="23" max="23" width="5.109375" customWidth="1"/>
    <col min="24" max="24" width="3.49609375" customWidth="1"/>
    <col min="25" max="25" width="15.87109375" customWidth="1"/>
    <col min="26" max="26" width="10.35546875" bestFit="1" customWidth="1"/>
    <col min="27" max="27" width="5.37890625" customWidth="1"/>
    <col min="28" max="28" width="13.71875" customWidth="1"/>
    <col min="29" max="29" width="10.4921875" bestFit="1" customWidth="1"/>
  </cols>
  <sheetData>
    <row r="5" spans="3:29" s="12" customFormat="1" ht="19.5" thickBot="1" x14ac:dyDescent="0.3">
      <c r="C5" s="51" t="s">
        <v>0</v>
      </c>
      <c r="D5" s="51"/>
      <c r="F5" s="51" t="s">
        <v>2</v>
      </c>
      <c r="G5" s="51"/>
      <c r="I5" s="51" t="s">
        <v>1</v>
      </c>
      <c r="J5" s="51"/>
      <c r="L5" s="52" t="s">
        <v>11</v>
      </c>
      <c r="M5" s="52"/>
      <c r="O5" s="52" t="s">
        <v>12</v>
      </c>
      <c r="P5" s="52"/>
      <c r="R5" s="52" t="s">
        <v>13</v>
      </c>
      <c r="S5" s="52"/>
      <c r="U5" s="51" t="s">
        <v>14</v>
      </c>
      <c r="V5" s="51"/>
      <c r="Y5" s="17"/>
      <c r="Z5" s="17"/>
      <c r="AA5" s="17"/>
      <c r="AB5" s="17"/>
      <c r="AC5" s="17"/>
    </row>
    <row r="6" spans="3:29" ht="15.75" thickBot="1" x14ac:dyDescent="0.25">
      <c r="C6" s="5">
        <v>54065</v>
      </c>
      <c r="D6" s="1">
        <v>1520</v>
      </c>
      <c r="E6" s="1"/>
      <c r="F6" s="5">
        <v>5600</v>
      </c>
      <c r="G6" s="1">
        <v>4738.5</v>
      </c>
      <c r="H6" s="1"/>
      <c r="I6" s="5"/>
      <c r="J6" s="1">
        <v>45000</v>
      </c>
      <c r="K6" s="1"/>
      <c r="L6" s="5">
        <v>11500</v>
      </c>
      <c r="M6" s="1"/>
      <c r="O6" s="5"/>
      <c r="P6" s="1">
        <v>26125</v>
      </c>
      <c r="R6" s="5">
        <v>1308.25</v>
      </c>
      <c r="S6" s="1"/>
      <c r="U6" s="5"/>
      <c r="V6" s="1">
        <v>1308.25</v>
      </c>
      <c r="Y6" s="18" t="s">
        <v>23</v>
      </c>
      <c r="Z6" s="18"/>
      <c r="AA6" s="18"/>
      <c r="AB6" s="18" t="s">
        <v>25</v>
      </c>
      <c r="AC6" s="15"/>
    </row>
    <row r="7" spans="3:29" x14ac:dyDescent="0.2">
      <c r="C7" s="6">
        <v>4738.5</v>
      </c>
      <c r="D7" s="1"/>
      <c r="E7" s="1"/>
      <c r="F7" s="6">
        <v>7600</v>
      </c>
      <c r="G7" s="1"/>
      <c r="H7" s="1"/>
      <c r="I7" s="6"/>
      <c r="J7" s="1"/>
      <c r="K7" s="1"/>
      <c r="L7" s="5">
        <v>9477</v>
      </c>
      <c r="M7" s="1"/>
      <c r="O7" s="6"/>
      <c r="P7" s="1">
        <v>5967</v>
      </c>
      <c r="R7" s="5">
        <v>298.35000000000002</v>
      </c>
      <c r="S7" s="1"/>
      <c r="U7" s="6"/>
      <c r="V7" s="1">
        <v>298.35000000000002</v>
      </c>
      <c r="Y7" s="15"/>
      <c r="Z7" s="15"/>
      <c r="AA7" s="15"/>
      <c r="AB7" s="15"/>
      <c r="AC7" s="15"/>
    </row>
    <row r="8" spans="3:29" x14ac:dyDescent="0.2">
      <c r="C8" s="6"/>
      <c r="D8" s="1"/>
      <c r="E8" s="1"/>
      <c r="F8" s="6"/>
      <c r="G8" s="1"/>
      <c r="H8" s="1"/>
      <c r="I8" s="6"/>
      <c r="J8" s="1"/>
      <c r="K8" s="1"/>
      <c r="L8" s="6"/>
      <c r="M8" s="1"/>
      <c r="O8" s="6"/>
      <c r="P8" s="1"/>
      <c r="R8" s="6"/>
      <c r="S8" s="1"/>
      <c r="U8" s="6"/>
      <c r="V8" s="1"/>
      <c r="Y8" s="15" t="s">
        <v>0</v>
      </c>
      <c r="Z8" s="15">
        <f>C14</f>
        <v>57283.5</v>
      </c>
      <c r="AA8" s="15"/>
      <c r="AB8" s="15" t="s">
        <v>26</v>
      </c>
      <c r="AC8" s="15">
        <v>1606.6</v>
      </c>
    </row>
    <row r="9" spans="3:29" x14ac:dyDescent="0.2">
      <c r="C9" s="6"/>
      <c r="D9" s="1"/>
      <c r="E9" s="1"/>
      <c r="F9" s="6"/>
      <c r="G9" s="1"/>
      <c r="H9" s="1"/>
      <c r="I9" s="6"/>
      <c r="J9" s="1"/>
      <c r="K9" s="1"/>
      <c r="L9" s="6"/>
      <c r="M9" s="1"/>
      <c r="O9" s="6"/>
      <c r="P9" s="1"/>
      <c r="R9" s="6"/>
      <c r="S9" s="1"/>
      <c r="U9" s="6"/>
      <c r="V9" s="1"/>
      <c r="Y9" s="15" t="s">
        <v>50</v>
      </c>
      <c r="Z9" s="15">
        <v>2983.5</v>
      </c>
      <c r="AA9" s="15"/>
      <c r="AB9" s="15" t="s">
        <v>48</v>
      </c>
      <c r="AC9" s="15">
        <v>6080</v>
      </c>
    </row>
    <row r="10" spans="3:29" x14ac:dyDescent="0.2">
      <c r="C10" s="6"/>
      <c r="D10" s="1"/>
      <c r="E10" s="1"/>
      <c r="F10" s="6"/>
      <c r="G10" s="1"/>
      <c r="H10" s="1"/>
      <c r="I10" s="6"/>
      <c r="J10" s="1"/>
      <c r="K10" s="1"/>
      <c r="L10" s="6"/>
      <c r="M10" s="1"/>
      <c r="O10" s="6"/>
      <c r="P10" s="1"/>
      <c r="R10" s="6"/>
      <c r="S10" s="1"/>
      <c r="U10" s="6"/>
      <c r="V10" s="1"/>
      <c r="Y10" s="15" t="s">
        <v>2</v>
      </c>
      <c r="Z10" s="46">
        <v>11500</v>
      </c>
      <c r="AA10" s="15"/>
      <c r="AB10" s="15"/>
      <c r="AC10" s="15"/>
    </row>
    <row r="11" spans="3:29" x14ac:dyDescent="0.2">
      <c r="C11" s="6"/>
      <c r="D11" s="1"/>
      <c r="E11" s="1"/>
      <c r="F11" s="6"/>
      <c r="G11" s="1"/>
      <c r="H11" s="1"/>
      <c r="I11" s="6"/>
      <c r="J11" s="1"/>
      <c r="K11" s="1"/>
      <c r="L11" s="6"/>
      <c r="M11" s="1"/>
      <c r="O11" s="6"/>
      <c r="P11" s="1"/>
      <c r="R11" s="6"/>
      <c r="S11" s="1"/>
      <c r="U11" s="6"/>
      <c r="V11" s="1"/>
      <c r="Y11" s="15"/>
      <c r="Z11" s="15"/>
      <c r="AA11" s="15"/>
      <c r="AB11" s="15"/>
      <c r="AC11" s="15"/>
    </row>
    <row r="12" spans="3:29" x14ac:dyDescent="0.2">
      <c r="C12" s="6"/>
      <c r="D12" s="1"/>
      <c r="E12" s="1"/>
      <c r="F12" s="6"/>
      <c r="G12" s="1"/>
      <c r="H12" s="1"/>
      <c r="I12" s="6"/>
      <c r="J12" s="1"/>
      <c r="K12" s="1"/>
      <c r="L12" s="6"/>
      <c r="M12" s="1"/>
      <c r="O12" s="6"/>
      <c r="P12" s="1"/>
      <c r="R12" s="6"/>
      <c r="S12" s="1"/>
      <c r="U12" s="6"/>
      <c r="V12" s="1"/>
      <c r="Y12" s="15"/>
      <c r="Z12" s="15"/>
      <c r="AA12" s="15"/>
      <c r="AB12" s="15" t="s">
        <v>1</v>
      </c>
      <c r="AC12" s="15">
        <v>45000</v>
      </c>
    </row>
    <row r="13" spans="3:29" s="4" customFormat="1" x14ac:dyDescent="0.2">
      <c r="C13" s="13">
        <f>C6+C7</f>
        <v>58803.5</v>
      </c>
      <c r="D13" s="13">
        <f>D6</f>
        <v>1520</v>
      </c>
      <c r="E13" s="14"/>
      <c r="F13" s="13">
        <f>F6+F7</f>
        <v>13200</v>
      </c>
      <c r="G13" s="13">
        <f>G6</f>
        <v>4738.5</v>
      </c>
      <c r="H13" s="14"/>
      <c r="I13" s="13">
        <f>I6</f>
        <v>0</v>
      </c>
      <c r="J13" s="13">
        <f>J6</f>
        <v>45000</v>
      </c>
      <c r="K13" s="14"/>
      <c r="L13" s="13">
        <v>20877</v>
      </c>
      <c r="M13" s="13">
        <f>M6</f>
        <v>0</v>
      </c>
      <c r="O13" s="13">
        <f>O6</f>
        <v>0</v>
      </c>
      <c r="P13" s="13">
        <f>P6+P7</f>
        <v>32092</v>
      </c>
      <c r="R13" s="13">
        <f>R6+R7</f>
        <v>1606.6</v>
      </c>
      <c r="S13" s="13">
        <f>S6</f>
        <v>0</v>
      </c>
      <c r="U13" s="13">
        <f>U6</f>
        <v>0</v>
      </c>
      <c r="V13" s="13">
        <f>V6+V7</f>
        <v>1606.6</v>
      </c>
      <c r="Y13" s="18"/>
      <c r="Z13" s="18"/>
      <c r="AA13" s="18"/>
      <c r="AB13" s="15" t="s">
        <v>24</v>
      </c>
      <c r="AC13" s="18">
        <f>S28</f>
        <v>22965.15</v>
      </c>
    </row>
    <row r="14" spans="3:29" x14ac:dyDescent="0.2">
      <c r="C14" s="6">
        <f>C13-D13</f>
        <v>57283.5</v>
      </c>
      <c r="D14" s="1"/>
      <c r="E14" s="1"/>
      <c r="F14" s="6">
        <f>F13-G13</f>
        <v>8461.5</v>
      </c>
      <c r="G14" s="1"/>
      <c r="H14" s="1"/>
      <c r="I14" s="6"/>
      <c r="J14" s="1"/>
      <c r="K14" s="1"/>
      <c r="L14" s="6"/>
      <c r="M14" s="1"/>
      <c r="O14" s="6"/>
      <c r="P14" s="1"/>
      <c r="R14" s="6"/>
      <c r="S14" s="1"/>
      <c r="U14" s="6"/>
      <c r="V14" s="1"/>
      <c r="Y14" s="15"/>
      <c r="Z14" s="15"/>
      <c r="AA14" s="15"/>
      <c r="AB14" s="15"/>
      <c r="AC14" s="15"/>
    </row>
    <row r="15" spans="3:29" x14ac:dyDescent="0.2">
      <c r="C15" s="6"/>
      <c r="D15" s="1"/>
      <c r="E15" s="1"/>
      <c r="F15" s="6"/>
      <c r="G15" s="1"/>
      <c r="H15" s="1"/>
      <c r="I15" s="6"/>
      <c r="J15" s="1"/>
      <c r="K15" s="1"/>
      <c r="L15" s="6"/>
      <c r="M15" s="1"/>
      <c r="O15" s="6"/>
      <c r="P15" s="1"/>
      <c r="R15" s="6"/>
      <c r="S15" s="1"/>
      <c r="U15" s="6"/>
      <c r="V15" s="1"/>
      <c r="Y15" s="15" t="s">
        <v>10</v>
      </c>
      <c r="Z15" s="15">
        <f>Z8+Z9+Z10</f>
        <v>71767</v>
      </c>
      <c r="AA15" s="15"/>
      <c r="AB15" s="15" t="s">
        <v>10</v>
      </c>
      <c r="AC15" s="15"/>
    </row>
    <row r="16" spans="3:29" x14ac:dyDescent="0.2">
      <c r="C16" s="6"/>
      <c r="D16" s="1"/>
      <c r="E16" s="1"/>
      <c r="F16" s="6"/>
      <c r="G16" s="1"/>
      <c r="H16" s="1"/>
      <c r="I16" s="6"/>
      <c r="J16" s="1"/>
      <c r="K16" s="1"/>
      <c r="L16" s="6"/>
      <c r="M16" s="1"/>
      <c r="O16" s="6"/>
      <c r="P16" s="1"/>
      <c r="R16" s="6"/>
      <c r="S16" s="1"/>
      <c r="U16" s="6"/>
      <c r="V16" s="1"/>
      <c r="Y16" s="19"/>
      <c r="Z16" s="19"/>
      <c r="AA16" s="19"/>
      <c r="AB16" s="19"/>
      <c r="AC16" s="47">
        <f>SUM(AC8:AC15)</f>
        <v>75651.75</v>
      </c>
    </row>
    <row r="17" spans="3:22" x14ac:dyDescent="0.2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3:22" x14ac:dyDescent="0.2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3:22" x14ac:dyDescent="0.2">
      <c r="C19" s="16" t="s">
        <v>16</v>
      </c>
      <c r="D19" s="15"/>
      <c r="E19" s="15"/>
      <c r="F19" s="15"/>
      <c r="G19" s="15"/>
      <c r="H19" s="1"/>
      <c r="I19" s="1"/>
      <c r="J19" s="1"/>
      <c r="K19" s="1"/>
      <c r="L19" s="1"/>
      <c r="M19" s="1"/>
    </row>
    <row r="20" spans="3:22" ht="19.5" thickBot="1" x14ac:dyDescent="0.3">
      <c r="C20" s="15"/>
      <c r="D20" s="15"/>
      <c r="E20" s="15"/>
      <c r="F20" s="15"/>
      <c r="G20" s="15"/>
      <c r="H20" s="1"/>
      <c r="I20" s="52" t="s">
        <v>44</v>
      </c>
      <c r="J20" s="52"/>
      <c r="K20" s="1"/>
      <c r="L20" s="53" t="s">
        <v>48</v>
      </c>
      <c r="M20" s="53"/>
      <c r="O20" s="52" t="s">
        <v>21</v>
      </c>
      <c r="P20" s="52"/>
      <c r="R20" s="51" t="s">
        <v>22</v>
      </c>
      <c r="S20" s="51"/>
      <c r="U20" s="51"/>
      <c r="V20" s="51"/>
    </row>
    <row r="21" spans="3:22" x14ac:dyDescent="0.2">
      <c r="C21" s="15" t="s">
        <v>17</v>
      </c>
      <c r="D21" s="15"/>
      <c r="E21" s="15"/>
      <c r="F21" s="15"/>
      <c r="G21" s="15">
        <f>P13</f>
        <v>32092</v>
      </c>
      <c r="H21" s="1"/>
      <c r="I21" s="5"/>
      <c r="J21" s="1">
        <v>2983.5</v>
      </c>
      <c r="K21" s="1"/>
      <c r="L21" s="5"/>
      <c r="M21" s="1">
        <v>6080</v>
      </c>
      <c r="O21" s="5">
        <v>13356.75</v>
      </c>
      <c r="P21" s="1" t="s">
        <v>6</v>
      </c>
      <c r="R21" s="5"/>
      <c r="S21" s="5">
        <v>13356.75</v>
      </c>
      <c r="U21" s="5"/>
      <c r="V21" s="5"/>
    </row>
    <row r="22" spans="3:22" x14ac:dyDescent="0.2">
      <c r="C22" s="15" t="s">
        <v>18</v>
      </c>
      <c r="D22" s="15"/>
      <c r="E22" s="15"/>
      <c r="F22" s="15"/>
      <c r="G22" s="15">
        <f>L13</f>
        <v>20877</v>
      </c>
      <c r="H22" s="1"/>
      <c r="I22" s="6"/>
      <c r="J22" s="1"/>
      <c r="K22" s="1"/>
      <c r="L22" s="6"/>
      <c r="M22" s="1"/>
      <c r="O22" s="6">
        <f>S22</f>
        <v>9608.4</v>
      </c>
      <c r="P22" s="1"/>
      <c r="R22" s="6"/>
      <c r="S22" s="1">
        <f>G25</f>
        <v>9608.4</v>
      </c>
      <c r="U22" s="6"/>
      <c r="V22" s="1"/>
    </row>
    <row r="23" spans="3:22" x14ac:dyDescent="0.2">
      <c r="C23" s="15" t="s">
        <v>19</v>
      </c>
      <c r="D23" s="15"/>
      <c r="E23" s="15"/>
      <c r="F23" s="15"/>
      <c r="G23" s="15">
        <f>R13</f>
        <v>1606.6</v>
      </c>
      <c r="H23" s="1"/>
      <c r="I23" s="6"/>
      <c r="J23" s="1"/>
      <c r="K23" s="1"/>
      <c r="L23" s="6"/>
      <c r="M23" s="1"/>
      <c r="O23" s="6"/>
      <c r="P23" s="1"/>
      <c r="R23" s="6"/>
      <c r="S23" s="1"/>
      <c r="U23" s="6"/>
      <c r="V23" s="1"/>
    </row>
    <row r="24" spans="3:22" x14ac:dyDescent="0.2">
      <c r="C24" s="15"/>
      <c r="D24" s="15"/>
      <c r="E24" s="15"/>
      <c r="F24" s="15"/>
      <c r="G24" s="15"/>
      <c r="H24" s="1"/>
      <c r="I24" s="6"/>
      <c r="J24" s="1"/>
      <c r="K24" s="1"/>
      <c r="L24" s="6"/>
      <c r="M24" s="1"/>
      <c r="O24" s="6"/>
      <c r="P24" s="1"/>
      <c r="R24" s="6"/>
      <c r="S24" s="1"/>
      <c r="U24" s="6"/>
      <c r="V24" s="1"/>
    </row>
    <row r="25" spans="3:22" x14ac:dyDescent="0.2">
      <c r="C25" s="15"/>
      <c r="D25" s="15"/>
      <c r="E25" s="15"/>
      <c r="F25" s="15" t="s">
        <v>20</v>
      </c>
      <c r="G25" s="15">
        <f>G21-G22-G23</f>
        <v>9608.4</v>
      </c>
      <c r="H25" s="1"/>
      <c r="I25" s="6"/>
      <c r="J25" s="1"/>
      <c r="K25" s="1"/>
      <c r="L25" s="6"/>
      <c r="M25" s="1"/>
      <c r="O25" s="6"/>
      <c r="P25" s="1"/>
      <c r="R25" s="6"/>
      <c r="S25" s="1"/>
      <c r="U25" s="6"/>
      <c r="V25" s="1"/>
    </row>
    <row r="26" spans="3:22" x14ac:dyDescent="0.2">
      <c r="C26" s="15"/>
      <c r="D26" s="15"/>
      <c r="E26" s="15"/>
      <c r="F26" s="15"/>
      <c r="G26" s="15"/>
      <c r="H26" s="1"/>
      <c r="I26" s="6"/>
      <c r="J26" s="1"/>
      <c r="K26" s="1"/>
      <c r="L26" s="6"/>
      <c r="M26" s="1"/>
      <c r="O26" s="6"/>
      <c r="P26" s="1"/>
      <c r="R26" s="6"/>
      <c r="S26" s="1"/>
      <c r="U26" s="6"/>
      <c r="V26" s="1"/>
    </row>
    <row r="27" spans="3:22" x14ac:dyDescent="0.2">
      <c r="C27" s="15"/>
      <c r="D27" s="15"/>
      <c r="E27" s="15"/>
      <c r="F27" s="15"/>
      <c r="G27" s="15"/>
      <c r="H27" s="1"/>
      <c r="I27" s="6"/>
      <c r="J27" s="1"/>
      <c r="K27" s="1"/>
      <c r="L27" s="6"/>
      <c r="M27" s="1"/>
      <c r="O27" s="6"/>
      <c r="P27" s="1"/>
      <c r="R27" s="6"/>
      <c r="S27" s="1"/>
      <c r="U27" s="6"/>
      <c r="V27" s="1"/>
    </row>
    <row r="28" spans="3:22" x14ac:dyDescent="0.2">
      <c r="C28" s="1"/>
      <c r="D28" s="1"/>
      <c r="E28" s="1"/>
      <c r="F28" s="1"/>
      <c r="G28" s="1"/>
      <c r="H28" s="1"/>
      <c r="I28" s="13">
        <f>I21</f>
        <v>0</v>
      </c>
      <c r="J28" s="13">
        <f>J21</f>
        <v>2983.5</v>
      </c>
      <c r="K28" s="1"/>
      <c r="L28" s="13">
        <f>L21</f>
        <v>0</v>
      </c>
      <c r="M28" s="13">
        <f>M21</f>
        <v>6080</v>
      </c>
      <c r="O28" s="13">
        <f>O21+O22</f>
        <v>22965.15</v>
      </c>
      <c r="P28" s="13" t="str">
        <f>P21</f>
        <v xml:space="preserve"> </v>
      </c>
      <c r="R28" s="13">
        <f>R21</f>
        <v>0</v>
      </c>
      <c r="S28" s="13">
        <f>S21+S22</f>
        <v>22965.15</v>
      </c>
      <c r="U28" s="13"/>
      <c r="V28" s="13"/>
    </row>
    <row r="29" spans="3:22" x14ac:dyDescent="0.2">
      <c r="C29" s="1"/>
      <c r="D29" s="1"/>
      <c r="E29" s="1"/>
      <c r="F29" s="1"/>
      <c r="G29" s="1"/>
      <c r="H29" s="1"/>
      <c r="I29" s="6"/>
      <c r="J29" s="1"/>
      <c r="K29" s="1"/>
      <c r="L29" s="6"/>
      <c r="M29" s="1"/>
      <c r="O29" s="6"/>
      <c r="P29" s="1"/>
      <c r="R29" s="6"/>
      <c r="S29" s="1"/>
      <c r="U29" s="6"/>
      <c r="V29" s="1"/>
    </row>
    <row r="30" spans="3:22" x14ac:dyDescent="0.2">
      <c r="C30" s="1"/>
      <c r="D30" s="1"/>
      <c r="E30" s="1"/>
      <c r="F30" s="1"/>
      <c r="G30" s="1"/>
      <c r="H30" s="1"/>
      <c r="I30" s="6"/>
      <c r="J30" s="15"/>
      <c r="K30" s="1"/>
      <c r="L30" s="6"/>
      <c r="M30" s="15"/>
      <c r="O30" s="6"/>
      <c r="P30" s="15"/>
    </row>
    <row r="31" spans="3:22" x14ac:dyDescent="0.2">
      <c r="C31" s="1"/>
      <c r="D31" s="1"/>
      <c r="E31" s="1"/>
      <c r="F31" s="1"/>
      <c r="G31" s="1"/>
      <c r="H31" s="1"/>
      <c r="I31" s="6"/>
      <c r="J31" s="1"/>
      <c r="K31" s="1"/>
      <c r="L31" s="6"/>
      <c r="M31" s="1"/>
      <c r="O31" s="6"/>
      <c r="P31" s="1"/>
    </row>
    <row r="32" spans="3:22" x14ac:dyDescent="0.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3:13" x14ac:dyDescent="0.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3:13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12">
    <mergeCell ref="U5:V5"/>
    <mergeCell ref="O20:P20"/>
    <mergeCell ref="R20:S20"/>
    <mergeCell ref="C5:D5"/>
    <mergeCell ref="F5:G5"/>
    <mergeCell ref="I5:J5"/>
    <mergeCell ref="L5:M5"/>
    <mergeCell ref="O5:P5"/>
    <mergeCell ref="R5:S5"/>
    <mergeCell ref="L20:M20"/>
    <mergeCell ref="I20:J20"/>
    <mergeCell ref="U20:V2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E4FA-12AD-4950-ACC1-B1B2DAA55727}">
  <dimension ref="C2:M23"/>
  <sheetViews>
    <sheetView topLeftCell="A8" workbookViewId="0">
      <selection activeCell="K15" sqref="K15"/>
    </sheetView>
  </sheetViews>
  <sheetFormatPr defaultRowHeight="15" x14ac:dyDescent="0.2"/>
  <cols>
    <col min="3" max="3" width="3.49609375" style="2" customWidth="1"/>
    <col min="4" max="4" width="21.92578125" customWidth="1"/>
    <col min="5" max="5" width="10.22265625" style="1" bestFit="1" customWidth="1"/>
    <col min="6" max="6" width="10.4921875" style="1" customWidth="1"/>
    <col min="8" max="8" width="12.10546875" customWidth="1"/>
    <col min="9" max="9" width="10.4921875" customWidth="1"/>
    <col min="10" max="10" width="9.28125" style="1" bestFit="1" customWidth="1"/>
    <col min="11" max="11" width="9.953125" customWidth="1"/>
    <col min="12" max="12" width="8.7421875" customWidth="1"/>
    <col min="13" max="13" width="9.28125" bestFit="1" customWidth="1"/>
    <col min="20" max="20" width="10.35546875" bestFit="1" customWidth="1"/>
  </cols>
  <sheetData>
    <row r="2" spans="3:13" x14ac:dyDescent="0.2">
      <c r="C2" s="2">
        <v>1</v>
      </c>
      <c r="D2" t="s">
        <v>27</v>
      </c>
    </row>
    <row r="3" spans="3:13" x14ac:dyDescent="0.2">
      <c r="D3" t="s">
        <v>28</v>
      </c>
    </row>
    <row r="4" spans="3:13" x14ac:dyDescent="0.2">
      <c r="D4" t="s">
        <v>29</v>
      </c>
    </row>
    <row r="6" spans="3:13" x14ac:dyDescent="0.2">
      <c r="C6" s="2">
        <v>2</v>
      </c>
      <c r="D6" t="s">
        <v>30</v>
      </c>
    </row>
    <row r="7" spans="3:13" x14ac:dyDescent="0.2">
      <c r="D7" t="s">
        <v>31</v>
      </c>
      <c r="I7" s="4" t="s">
        <v>36</v>
      </c>
    </row>
    <row r="8" spans="3:13" x14ac:dyDescent="0.2">
      <c r="C8"/>
      <c r="D8" s="2"/>
      <c r="I8">
        <v>27</v>
      </c>
      <c r="J8" s="1">
        <v>351</v>
      </c>
      <c r="K8" s="1">
        <f>I8*J8</f>
        <v>9477</v>
      </c>
    </row>
    <row r="9" spans="3:13" x14ac:dyDescent="0.2">
      <c r="I9" t="s">
        <v>41</v>
      </c>
      <c r="J9" s="1">
        <v>2983.5</v>
      </c>
      <c r="K9" t="s">
        <v>42</v>
      </c>
      <c r="L9" s="34">
        <v>2983.5</v>
      </c>
    </row>
    <row r="10" spans="3:13" x14ac:dyDescent="0.2">
      <c r="K10" s="1"/>
      <c r="L10" s="35"/>
      <c r="M10" s="7"/>
    </row>
    <row r="11" spans="3:13" x14ac:dyDescent="0.2">
      <c r="C11" s="2" t="s">
        <v>32</v>
      </c>
      <c r="D11" t="s">
        <v>35</v>
      </c>
      <c r="E11" s="1">
        <v>9477</v>
      </c>
      <c r="I11" s="4" t="s">
        <v>38</v>
      </c>
    </row>
    <row r="12" spans="3:13" x14ac:dyDescent="0.2">
      <c r="C12" s="2" t="s">
        <v>33</v>
      </c>
      <c r="D12" t="s">
        <v>34</v>
      </c>
      <c r="F12" s="1">
        <v>9477</v>
      </c>
      <c r="I12" s="35">
        <v>0.05</v>
      </c>
      <c r="K12" s="7">
        <f>K8*I12</f>
        <v>473.85</v>
      </c>
    </row>
    <row r="14" spans="3:13" x14ac:dyDescent="0.2">
      <c r="C14" s="2" t="s">
        <v>32</v>
      </c>
      <c r="D14" t="s">
        <v>43</v>
      </c>
      <c r="E14" s="1">
        <v>2983.5</v>
      </c>
      <c r="I14" s="4" t="s">
        <v>47</v>
      </c>
    </row>
    <row r="15" spans="3:13" x14ac:dyDescent="0.2">
      <c r="C15" s="2" t="s">
        <v>45</v>
      </c>
      <c r="D15" t="s">
        <v>46</v>
      </c>
      <c r="E15" s="1">
        <v>2983.5</v>
      </c>
      <c r="I15">
        <v>50</v>
      </c>
      <c r="J15" s="1">
        <v>152</v>
      </c>
      <c r="K15" s="7">
        <f>I15*J15</f>
        <v>7600</v>
      </c>
    </row>
    <row r="16" spans="3:13" x14ac:dyDescent="0.2">
      <c r="C16" s="2" t="s">
        <v>33</v>
      </c>
      <c r="D16" t="s">
        <v>49</v>
      </c>
      <c r="F16" s="1">
        <v>5967</v>
      </c>
      <c r="K16" s="35">
        <v>0.2</v>
      </c>
    </row>
    <row r="17" spans="3:11" x14ac:dyDescent="0.2">
      <c r="K17" s="7">
        <v>1520</v>
      </c>
    </row>
    <row r="18" spans="3:11" x14ac:dyDescent="0.2">
      <c r="C18" s="2" t="s">
        <v>32</v>
      </c>
      <c r="D18" t="s">
        <v>39</v>
      </c>
      <c r="E18" s="1">
        <v>298.35000000000002</v>
      </c>
      <c r="K18" s="7">
        <f>K15-K17</f>
        <v>6080</v>
      </c>
    </row>
    <row r="19" spans="3:11" x14ac:dyDescent="0.2">
      <c r="C19" s="2" t="s">
        <v>33</v>
      </c>
      <c r="D19" t="s">
        <v>40</v>
      </c>
      <c r="F19" s="1">
        <v>298.35000000000002</v>
      </c>
    </row>
    <row r="21" spans="3:11" x14ac:dyDescent="0.2">
      <c r="C21" s="2" t="s">
        <v>32</v>
      </c>
      <c r="D21" t="s">
        <v>34</v>
      </c>
      <c r="E21" s="1">
        <v>7600</v>
      </c>
    </row>
    <row r="22" spans="3:11" x14ac:dyDescent="0.2">
      <c r="C22" s="2" t="s">
        <v>33</v>
      </c>
      <c r="D22" t="s">
        <v>37</v>
      </c>
      <c r="E22" s="1">
        <v>1520</v>
      </c>
    </row>
    <row r="23" spans="3:11" x14ac:dyDescent="0.2">
      <c r="C23" s="2" t="s">
        <v>33</v>
      </c>
      <c r="D23" t="s">
        <v>48</v>
      </c>
      <c r="E23" s="1">
        <v>6080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5000385-13b0-4230-b114-ce599e1fdd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79AA4C3D4DF742A66BFCFC91C7606C" ma:contentTypeVersion="3" ma:contentTypeDescription="Create a new document." ma:contentTypeScope="" ma:versionID="f6a6afe4485db910a94f2cf0324873bd">
  <xsd:schema xmlns:xsd="http://www.w3.org/2001/XMLSchema" xmlns:xs="http://www.w3.org/2001/XMLSchema" xmlns:p="http://schemas.microsoft.com/office/2006/metadata/properties" xmlns:ns2="35000385-13b0-4230-b114-ce599e1fdda3" targetNamespace="http://schemas.microsoft.com/office/2006/metadata/properties" ma:root="true" ma:fieldsID="ba020cbc0a8aca6caed061c520e1b51a" ns2:_="">
    <xsd:import namespace="35000385-13b0-4230-b114-ce599e1fdda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00385-13b0-4230-b114-ce599e1fdda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FE25D1-F4EB-4A41-943E-7F5B5900B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2E517-B655-46F5-8870-07899FC7AAFC}">
  <ds:schemaRefs>
    <ds:schemaRef ds:uri="http://schemas.microsoft.com/office/2006/metadata/properties"/>
    <ds:schemaRef ds:uri="http://www.w3.org/2000/xmlns/"/>
    <ds:schemaRef ds:uri="35000385-13b0-4230-b114-ce599e1fdda3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C9A99238-1328-4B20-B75C-0EEA84CAFB8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5000385-13b0-4230-b114-ce599e1fdd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Estoque</vt:lpstr>
      <vt:lpstr>Razonetes</vt:lpstr>
      <vt:lpstr>Ocorrencias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fernandamanusantos@gmail.com</cp:lastModifiedBy>
  <dcterms:created xsi:type="dcterms:W3CDTF">2021-11-23T22:16:29Z</dcterms:created>
  <dcterms:modified xsi:type="dcterms:W3CDTF">2021-11-27T21:09:56Z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0x010100EB79AA4C3D4DF742A66BFCFC91C7606C</vt:lpwstr>
  </property>
</Properties>
</file>