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codeName="EstaPasta_de_trabalho" autoCompressPictures="0"/>
  <mc:AlternateContent xmlns:mc="http://schemas.openxmlformats.org/markup-compatibility/2006">
    <mc:Choice Requires="x15">
      <x15ac:absPath xmlns:x15ac="http://schemas.microsoft.com/office/spreadsheetml/2010/11/ac" url="C:\Users\Capital0017\Desktop\Materiais\"/>
    </mc:Choice>
  </mc:AlternateContent>
  <xr:revisionPtr revIDLastSave="0" documentId="8_{4CC9BAE5-F77B-B648-98D3-C5B61EED1A84}" xr6:coauthVersionLast="46" xr6:coauthVersionMax="46" xr10:uidLastSave="{00000000-0000-0000-0000-000000000000}"/>
  <bookViews>
    <workbookView xWindow="0" yWindow="0" windowWidth="24000" windowHeight="9330" tabRatio="574" xr2:uid="{00000000-000D-0000-FFFF-FFFF00000000}"/>
  </bookViews>
  <sheets>
    <sheet name="Validação de Dados - Abertura" sheetId="8" r:id="rId1"/>
    <sheet name="Anexos" sheetId="9" state="hidden" r:id="rId2"/>
  </sheets>
  <definedNames>
    <definedName name="LISTACUSTOS">#N/A</definedName>
    <definedName name="LISTAREC">#N/A</definedName>
    <definedName name="PERIODICIDADE">#N/A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6" i="9" l="1"/>
  <c r="I18" i="9"/>
  <c r="I21" i="9"/>
  <c r="I13" i="9"/>
  <c r="I5" i="9"/>
  <c r="I8" i="9"/>
  <c r="F10" i="8"/>
  <c r="F9" i="8"/>
  <c r="F8" i="8"/>
  <c r="C5" i="8"/>
  <c r="C10" i="8"/>
  <c r="C11" i="8"/>
  <c r="F11" i="8"/>
  <c r="C7" i="8"/>
  <c r="I6" i="9"/>
  <c r="I7" i="9"/>
  <c r="I9" i="9"/>
  <c r="I11" i="9"/>
  <c r="I15" i="9"/>
  <c r="C9" i="8"/>
  <c r="C12" i="8"/>
  <c r="I19" i="9"/>
  <c r="I20" i="9"/>
  <c r="I22" i="9"/>
  <c r="I24" i="9"/>
  <c r="I28" i="9"/>
  <c r="C8" i="8"/>
  <c r="C15" i="8"/>
  <c r="C14" i="8"/>
</calcChain>
</file>

<file path=xl/sharedStrings.xml><?xml version="1.0" encoding="utf-8"?>
<sst xmlns="http://schemas.openxmlformats.org/spreadsheetml/2006/main" count="80" uniqueCount="54">
  <si>
    <t>Receita Média Mensal (últimos 12 meses):</t>
  </si>
  <si>
    <t>Pro-Labore Calculado com 28%:</t>
  </si>
  <si>
    <t>Tabela de Tributos no Lucro Presumido</t>
  </si>
  <si>
    <t>ISS</t>
  </si>
  <si>
    <t>PIS</t>
  </si>
  <si>
    <t>COFINS</t>
  </si>
  <si>
    <t>CSLL</t>
  </si>
  <si>
    <t>IR</t>
  </si>
  <si>
    <t>IR - adicional</t>
  </si>
  <si>
    <t>Total</t>
  </si>
  <si>
    <t>Lucro Presumido</t>
  </si>
  <si>
    <t>Anexo III - Serviços não especializados</t>
  </si>
  <si>
    <t>Receita Bruta em 12 Meses (em R$)</t>
  </si>
  <si>
    <t>Apoio</t>
  </si>
  <si>
    <t>Alíquota</t>
  </si>
  <si>
    <t>Valor a Deduzir (em R$)</t>
  </si>
  <si>
    <t>RBT12</t>
  </si>
  <si>
    <t>Até 180.000,00</t>
  </si>
  <si>
    <t>De 180.000,01 a 360.000,00</t>
  </si>
  <si>
    <t>Imposto</t>
  </si>
  <si>
    <t>De 360.000,01 a 720.000,00</t>
  </si>
  <si>
    <t>Parcela a deduzir</t>
  </si>
  <si>
    <t>De 720.000,01 a 1.800.000,00</t>
  </si>
  <si>
    <t>De 1.800.000,01 a 3.600.000,00</t>
  </si>
  <si>
    <t>De 3.600.000,01 a 4.800.000,00</t>
  </si>
  <si>
    <t>Alíquota efetiva</t>
  </si>
  <si>
    <t>ESTOUROU O LIMITE DO SIMPLES NACIONAL</t>
  </si>
  <si>
    <t>Faturamento do mês</t>
  </si>
  <si>
    <t>Guia DAS</t>
  </si>
  <si>
    <t>Anexo V - Demais serviços</t>
  </si>
  <si>
    <r>
      <t>1</t>
    </r>
    <r>
      <rPr>
        <u/>
        <vertAlign val="superscript"/>
        <sz val="11"/>
        <color theme="1"/>
        <rFont val="Arial"/>
        <family val="2"/>
      </rPr>
      <t>a</t>
    </r>
    <r>
      <rPr>
        <sz val="12"/>
        <color theme="1"/>
        <rFont val="Arial"/>
        <family val="2"/>
      </rPr>
      <t> Faixa</t>
    </r>
  </si>
  <si>
    <r>
      <t>2</t>
    </r>
    <r>
      <rPr>
        <u/>
        <vertAlign val="superscript"/>
        <sz val="11"/>
        <color theme="1"/>
        <rFont val="Arial"/>
        <family val="2"/>
      </rPr>
      <t>a</t>
    </r>
    <r>
      <rPr>
        <sz val="12"/>
        <color theme="1"/>
        <rFont val="Arial"/>
        <family val="2"/>
      </rPr>
      <t> Faixa</t>
    </r>
  </si>
  <si>
    <r>
      <t>3</t>
    </r>
    <r>
      <rPr>
        <u/>
        <vertAlign val="superscript"/>
        <sz val="11"/>
        <color theme="1"/>
        <rFont val="Arial"/>
        <family val="2"/>
      </rPr>
      <t>a</t>
    </r>
    <r>
      <rPr>
        <sz val="12"/>
        <color theme="1"/>
        <rFont val="Arial"/>
        <family val="2"/>
      </rPr>
      <t> Faixa</t>
    </r>
  </si>
  <si>
    <r>
      <t>4</t>
    </r>
    <r>
      <rPr>
        <u/>
        <vertAlign val="superscript"/>
        <sz val="11"/>
        <color theme="1"/>
        <rFont val="Arial"/>
        <family val="2"/>
      </rPr>
      <t>a</t>
    </r>
    <r>
      <rPr>
        <sz val="12"/>
        <color theme="1"/>
        <rFont val="Arial"/>
        <family val="2"/>
      </rPr>
      <t> Faixa</t>
    </r>
  </si>
  <si>
    <r>
      <t>5</t>
    </r>
    <r>
      <rPr>
        <u/>
        <vertAlign val="superscript"/>
        <sz val="11"/>
        <color theme="1"/>
        <rFont val="Arial"/>
        <family val="2"/>
      </rPr>
      <t>a</t>
    </r>
    <r>
      <rPr>
        <sz val="12"/>
        <color theme="1"/>
        <rFont val="Arial"/>
        <family val="2"/>
      </rPr>
      <t> Faixa</t>
    </r>
  </si>
  <si>
    <r>
      <t>6</t>
    </r>
    <r>
      <rPr>
        <u/>
        <vertAlign val="superscript"/>
        <sz val="11"/>
        <color theme="1"/>
        <rFont val="Arial"/>
        <family val="2"/>
      </rPr>
      <t>a</t>
    </r>
    <r>
      <rPr>
        <sz val="12"/>
        <color theme="1"/>
        <rFont val="Arial"/>
        <family val="2"/>
      </rPr>
      <t> Faixa</t>
    </r>
  </si>
  <si>
    <t>Simples Anexo V</t>
  </si>
  <si>
    <t>Teto INSS</t>
  </si>
  <si>
    <t>INSS</t>
  </si>
  <si>
    <t>IRPF</t>
  </si>
  <si>
    <t>Base de Cálculo (R$)</t>
  </si>
  <si>
    <t>Alíquota (%)</t>
  </si>
  <si>
    <t>Até 1.903,98</t>
  </si>
  <si>
    <t>De 1.903,99 até 2.826,65</t>
  </si>
  <si>
    <t>De 2.826,66 até 3.751,05</t>
  </si>
  <si>
    <t>De 3.751,06 até 4.664,68</t>
  </si>
  <si>
    <t>Acima de 4.664,68</t>
  </si>
  <si>
    <t>Dedução por dependente:</t>
  </si>
  <si>
    <t>Parcela a Deduzir (R$)</t>
  </si>
  <si>
    <t>DAS Anexo III</t>
  </si>
  <si>
    <t>Total Simples Anexo III com Fator r</t>
  </si>
  <si>
    <t>Anexo III c fator r comparado com Anexo V</t>
  </si>
  <si>
    <t>Anexo III c fator r comparado com Presumido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</si>
</sst>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0"/>
      <name val="Arial"/>
      <family val="2"/>
    </font>
    <font>
      <b/>
      <sz val="18"/>
      <color rgb="FF093863"/>
      <name val="Arial"/>
      <family val="2"/>
    </font>
    <font>
      <sz val="12"/>
      <color rgb="FF385A7B"/>
      <name val="Arial"/>
      <family val="2"/>
    </font>
    <font>
      <b/>
      <sz val="12"/>
      <color rgb="FF385A7B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u/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0" tint="-0.49998474074526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2A1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4983B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3" fontId="0" fillId="0" borderId="0" xfId="0" applyNumberForma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center" vertical="top" wrapText="1"/>
    </xf>
    <xf numFmtId="0" fontId="9" fillId="3" borderId="3" xfId="0" applyFont="1" applyFill="1" applyBorder="1" applyAlignment="1" applyProtection="1">
      <alignment horizontal="right" vertical="center"/>
      <protection locked="0"/>
    </xf>
    <xf numFmtId="0" fontId="6" fillId="5" borderId="0" xfId="0" applyFont="1" applyFill="1" applyAlignment="1">
      <alignment horizontal="right" vertical="center"/>
    </xf>
    <xf numFmtId="165" fontId="8" fillId="4" borderId="0" xfId="0" applyNumberFormat="1" applyFont="1" applyFill="1" applyBorder="1" applyAlignment="1" applyProtection="1">
      <alignment horizontal="right" vertical="center"/>
      <protection locked="0"/>
    </xf>
    <xf numFmtId="165" fontId="8" fillId="4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Alignment="1">
      <alignment vertical="center"/>
    </xf>
    <xf numFmtId="0" fontId="0" fillId="0" borderId="0" xfId="0" applyFill="1" applyBorder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 applyProtection="1">
      <alignment horizontal="center" vertical="top" wrapText="1"/>
    </xf>
    <xf numFmtId="0" fontId="0" fillId="0" borderId="0" xfId="0" applyFill="1" applyBorder="1" applyAlignment="1" applyProtection="1">
      <alignment horizontal="left" vertical="top" wrapText="1"/>
      <protection locked="0"/>
    </xf>
    <xf numFmtId="0" fontId="9" fillId="0" borderId="3" xfId="0" applyFont="1" applyFill="1" applyBorder="1" applyAlignment="1" applyProtection="1">
      <alignment horizontal="right" vertical="center"/>
      <protection locked="0"/>
    </xf>
    <xf numFmtId="0" fontId="9" fillId="0" borderId="4" xfId="0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left" vertical="center" wrapText="1" indent="1"/>
      <protection locked="0"/>
    </xf>
    <xf numFmtId="0" fontId="6" fillId="0" borderId="0" xfId="0" applyFont="1" applyFill="1" applyAlignment="1">
      <alignment horizontal="right" vertical="center"/>
    </xf>
    <xf numFmtId="0" fontId="11" fillId="0" borderId="4" xfId="0" applyFont="1" applyFill="1" applyBorder="1" applyAlignment="1" applyProtection="1">
      <alignment vertical="center"/>
      <protection locked="0"/>
    </xf>
    <xf numFmtId="165" fontId="8" fillId="0" borderId="2" xfId="0" applyNumberFormat="1" applyFont="1" applyFill="1" applyBorder="1" applyAlignment="1" applyProtection="1">
      <alignment horizontal="right" vertical="center"/>
      <protection locked="0"/>
    </xf>
    <xf numFmtId="165" fontId="8" fillId="0" borderId="2" xfId="0" quotePrefix="1" applyNumberFormat="1" applyFont="1" applyFill="1" applyBorder="1" applyAlignment="1" applyProtection="1">
      <alignment horizontal="left" vertical="center"/>
      <protection locked="0"/>
    </xf>
    <xf numFmtId="43" fontId="9" fillId="6" borderId="4" xfId="231" applyFont="1" applyFill="1" applyBorder="1" applyAlignment="1" applyProtection="1">
      <alignment vertical="center"/>
      <protection locked="0"/>
    </xf>
    <xf numFmtId="43" fontId="6" fillId="7" borderId="0" xfId="0" applyNumberFormat="1" applyFont="1" applyFill="1" applyAlignment="1">
      <alignment vertical="center"/>
    </xf>
    <xf numFmtId="164" fontId="13" fillId="0" borderId="0" xfId="234" applyFont="1" applyBorder="1" applyAlignment="1">
      <alignment vertical="center" wrapText="1"/>
    </xf>
    <xf numFmtId="164" fontId="13" fillId="0" borderId="6" xfId="234" applyFont="1" applyBorder="1" applyAlignment="1">
      <alignment vertical="center" wrapText="1"/>
    </xf>
    <xf numFmtId="0" fontId="13" fillId="0" borderId="6" xfId="233" applyFont="1" applyBorder="1" applyAlignment="1">
      <alignment horizontal="center" vertical="center" wrapText="1"/>
    </xf>
    <xf numFmtId="0" fontId="13" fillId="0" borderId="6" xfId="233" applyFont="1" applyBorder="1" applyAlignment="1">
      <alignment vertical="center" wrapText="1"/>
    </xf>
    <xf numFmtId="10" fontId="13" fillId="0" borderId="6" xfId="233" applyNumberFormat="1" applyFont="1" applyBorder="1" applyAlignment="1">
      <alignment horizontal="center" vertical="center" wrapText="1"/>
    </xf>
    <xf numFmtId="44" fontId="13" fillId="0" borderId="6" xfId="235" applyFont="1" applyBorder="1" applyAlignment="1">
      <alignment horizontal="center" vertical="center" wrapText="1"/>
    </xf>
    <xf numFmtId="4" fontId="13" fillId="0" borderId="6" xfId="233" applyNumberFormat="1" applyFont="1" applyBorder="1" applyAlignment="1">
      <alignment horizontal="center" vertical="center" wrapText="1"/>
    </xf>
    <xf numFmtId="0" fontId="13" fillId="0" borderId="0" xfId="233" applyFont="1" applyAlignment="1">
      <alignment vertical="center" wrapText="1"/>
    </xf>
    <xf numFmtId="0" fontId="6" fillId="5" borderId="0" xfId="0" applyFont="1" applyFill="1" applyAlignment="1">
      <alignment horizontal="left" vertical="center"/>
    </xf>
    <xf numFmtId="0" fontId="14" fillId="0" borderId="0" xfId="233" applyFont="1"/>
    <xf numFmtId="0" fontId="15" fillId="0" borderId="0" xfId="233" applyFont="1"/>
    <xf numFmtId="164" fontId="14" fillId="0" borderId="0" xfId="234" applyFont="1"/>
    <xf numFmtId="10" fontId="14" fillId="0" borderId="0" xfId="236" applyNumberFormat="1" applyFont="1"/>
    <xf numFmtId="164" fontId="14" fillId="0" borderId="0" xfId="233" applyNumberFormat="1" applyFont="1"/>
    <xf numFmtId="0" fontId="17" fillId="0" borderId="15" xfId="233" applyFont="1" applyBorder="1"/>
    <xf numFmtId="164" fontId="17" fillId="0" borderId="15" xfId="233" applyNumberFormat="1" applyFont="1" applyBorder="1"/>
    <xf numFmtId="10" fontId="17" fillId="0" borderId="15" xfId="236" applyNumberFormat="1" applyFont="1" applyBorder="1"/>
    <xf numFmtId="0" fontId="15" fillId="0" borderId="6" xfId="233" applyFont="1" applyBorder="1"/>
    <xf numFmtId="0" fontId="14" fillId="0" borderId="6" xfId="233" applyFont="1" applyBorder="1"/>
    <xf numFmtId="0" fontId="17" fillId="0" borderId="0" xfId="233" applyFont="1" applyFill="1" applyBorder="1"/>
    <xf numFmtId="44" fontId="14" fillId="0" borderId="0" xfId="233" applyNumberFormat="1" applyFont="1"/>
    <xf numFmtId="0" fontId="15" fillId="0" borderId="15" xfId="233" applyFont="1" applyBorder="1"/>
    <xf numFmtId="44" fontId="15" fillId="0" borderId="15" xfId="233" applyNumberFormat="1" applyFont="1" applyBorder="1"/>
    <xf numFmtId="165" fontId="9" fillId="4" borderId="0" xfId="0" applyNumberFormat="1" applyFont="1" applyFill="1" applyBorder="1" applyAlignment="1" applyProtection="1">
      <alignment horizontal="right" vertical="center"/>
      <protection locked="0"/>
    </xf>
    <xf numFmtId="165" fontId="9" fillId="4" borderId="0" xfId="0" applyNumberFormat="1" applyFont="1" applyFill="1" applyBorder="1" applyAlignment="1" applyProtection="1">
      <alignment horizontal="left" vertical="center"/>
      <protection locked="0"/>
    </xf>
    <xf numFmtId="165" fontId="9" fillId="6" borderId="0" xfId="0" applyNumberFormat="1" applyFont="1" applyFill="1" applyBorder="1" applyAlignment="1" applyProtection="1">
      <alignment horizontal="right" vertical="center"/>
      <protection locked="0"/>
    </xf>
    <xf numFmtId="165" fontId="9" fillId="6" borderId="0" xfId="0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Fill="1" applyBorder="1" applyAlignment="1" applyProtection="1">
      <alignment horizontal="left" vertical="center" wrapText="1" indent="1"/>
      <protection locked="0"/>
    </xf>
    <xf numFmtId="0" fontId="18" fillId="0" borderId="9" xfId="0" applyFont="1" applyFill="1" applyBorder="1" applyAlignment="1" applyProtection="1">
      <alignment horizontal="center" vertical="center" wrapText="1"/>
      <protection locked="0"/>
    </xf>
    <xf numFmtId="10" fontId="18" fillId="0" borderId="10" xfId="0" applyNumberFormat="1" applyFont="1" applyBorder="1"/>
    <xf numFmtId="0" fontId="18" fillId="0" borderId="11" xfId="0" applyFont="1" applyFill="1" applyBorder="1" applyAlignment="1" applyProtection="1">
      <alignment horizontal="center" vertical="center" wrapText="1"/>
      <protection locked="0"/>
    </xf>
    <xf numFmtId="10" fontId="18" fillId="0" borderId="12" xfId="232" applyNumberFormat="1" applyFont="1" applyBorder="1"/>
    <xf numFmtId="0" fontId="19" fillId="0" borderId="13" xfId="0" applyFont="1" applyFill="1" applyBorder="1" applyAlignment="1" applyProtection="1">
      <alignment horizontal="right" vertical="center" wrapText="1" indent="1"/>
      <protection locked="0"/>
    </xf>
    <xf numFmtId="10" fontId="19" fillId="0" borderId="14" xfId="0" applyNumberFormat="1" applyFont="1" applyFill="1" applyBorder="1" applyAlignment="1" applyProtection="1">
      <alignment horizontal="left" vertical="center" wrapText="1" indent="1"/>
      <protection locked="0"/>
    </xf>
    <xf numFmtId="0" fontId="18" fillId="0" borderId="16" xfId="0" applyFont="1" applyFill="1" applyBorder="1" applyAlignment="1" applyProtection="1">
      <alignment horizontal="left" vertical="center" wrapText="1" indent="1"/>
      <protection locked="0"/>
    </xf>
    <xf numFmtId="43" fontId="18" fillId="0" borderId="17" xfId="231" applyFont="1" applyFill="1" applyBorder="1" applyAlignment="1" applyProtection="1">
      <alignment horizontal="left" vertical="center" wrapText="1" indent="1"/>
      <protection locked="0"/>
    </xf>
    <xf numFmtId="0" fontId="20" fillId="0" borderId="19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center" wrapText="1"/>
    </xf>
    <xf numFmtId="0" fontId="18" fillId="0" borderId="9" xfId="0" applyFont="1" applyFill="1" applyBorder="1" applyAlignment="1">
      <alignment horizontal="left"/>
    </xf>
    <xf numFmtId="44" fontId="18" fillId="0" borderId="0" xfId="235" applyFont="1" applyFill="1" applyBorder="1" applyAlignment="1">
      <alignment horizontal="left"/>
    </xf>
    <xf numFmtId="10" fontId="18" fillId="0" borderId="0" xfId="0" applyNumberFormat="1" applyFont="1" applyFill="1" applyBorder="1" applyAlignment="1">
      <alignment horizontal="center"/>
    </xf>
    <xf numFmtId="44" fontId="18" fillId="0" borderId="10" xfId="235" applyFont="1" applyFill="1" applyBorder="1" applyAlignment="1">
      <alignment horizontal="center"/>
    </xf>
    <xf numFmtId="0" fontId="18" fillId="0" borderId="13" xfId="0" applyFont="1" applyFill="1" applyBorder="1" applyAlignment="1">
      <alignment horizontal="left"/>
    </xf>
    <xf numFmtId="0" fontId="18" fillId="0" borderId="18" xfId="0" applyFont="1" applyFill="1" applyBorder="1"/>
    <xf numFmtId="0" fontId="18" fillId="0" borderId="14" xfId="0" applyFont="1" applyFill="1" applyBorder="1"/>
    <xf numFmtId="0" fontId="7" fillId="2" borderId="1" xfId="0" applyFont="1" applyFill="1" applyBorder="1" applyAlignment="1">
      <alignment horizontal="left" vertical="center" wrapText="1" indent="8"/>
    </xf>
    <xf numFmtId="0" fontId="10" fillId="0" borderId="5" xfId="0" applyFont="1" applyFill="1" applyBorder="1" applyAlignment="1" applyProtection="1">
      <alignment horizontal="center" vertical="center" wrapText="1"/>
      <protection locked="0"/>
    </xf>
    <xf numFmtId="0" fontId="18" fillId="0" borderId="7" xfId="0" applyFont="1" applyFill="1" applyBorder="1" applyAlignment="1" applyProtection="1">
      <alignment horizontal="center" vertical="center" wrapText="1"/>
      <protection locked="0"/>
    </xf>
    <xf numFmtId="0" fontId="18" fillId="0" borderId="8" xfId="0" applyFont="1" applyFill="1" applyBorder="1" applyAlignment="1" applyProtection="1">
      <alignment horizontal="center" vertical="center" wrapText="1"/>
      <protection locked="0"/>
    </xf>
    <xf numFmtId="0" fontId="20" fillId="0" borderId="7" xfId="0" applyFont="1" applyFill="1" applyBorder="1" applyAlignment="1">
      <alignment horizontal="center"/>
    </xf>
    <xf numFmtId="0" fontId="20" fillId="0" borderId="19" xfId="0" applyFont="1" applyFill="1" applyBorder="1" applyAlignment="1">
      <alignment horizontal="center"/>
    </xf>
    <xf numFmtId="0" fontId="13" fillId="0" borderId="6" xfId="233" applyFont="1" applyBorder="1" applyAlignment="1">
      <alignment horizontal="center" vertical="center" wrapText="1"/>
    </xf>
  </cellXfs>
  <cellStyles count="237">
    <cellStyle name="Hiperlink" xfId="61" builtinId="8" hidden="1"/>
    <cellStyle name="Hiperlink" xfId="65" builtinId="8" hidden="1"/>
    <cellStyle name="Hiperlink" xfId="69" builtinId="8" hidden="1"/>
    <cellStyle name="Hiperlink" xfId="73" builtinId="8" hidden="1"/>
    <cellStyle name="Hiperlink" xfId="77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97" builtinId="8" hidden="1"/>
    <cellStyle name="Hiperlink" xfId="101" builtinId="8" hidden="1"/>
    <cellStyle name="Hiperlink" xfId="105" builtinId="8" hidden="1"/>
    <cellStyle name="Hiperlink" xfId="109" builtinId="8" hidden="1"/>
    <cellStyle name="Hiperlink" xfId="113" builtinId="8" hidden="1"/>
    <cellStyle name="Hiperlink" xfId="117" builtinId="8" hidden="1"/>
    <cellStyle name="Hiperlink" xfId="121" builtinId="8" hidden="1"/>
    <cellStyle name="Hiperlink" xfId="125" builtinId="8" hidden="1"/>
    <cellStyle name="Hiperlink" xfId="129" builtinId="8" hidden="1"/>
    <cellStyle name="Hiperlink" xfId="133" builtinId="8" hidden="1"/>
    <cellStyle name="Hiperlink" xfId="137" builtinId="8" hidden="1"/>
    <cellStyle name="Hiperlink" xfId="141" builtinId="8" hidden="1"/>
    <cellStyle name="Hiperlink" xfId="145" builtinId="8" hidden="1"/>
    <cellStyle name="Hiperlink" xfId="149" builtinId="8" hidden="1"/>
    <cellStyle name="Hiperlink" xfId="153" builtinId="8" hidden="1"/>
    <cellStyle name="Hiperlink" xfId="157" builtinId="8" hidden="1"/>
    <cellStyle name="Hiperlink" xfId="161" builtinId="8" hidden="1"/>
    <cellStyle name="Hiperlink" xfId="165" builtinId="8" hidden="1"/>
    <cellStyle name="Hiperlink" xfId="169" builtinId="8" hidden="1"/>
    <cellStyle name="Hiperlink" xfId="173" builtinId="8" hidden="1"/>
    <cellStyle name="Hiperlink" xfId="177" builtinId="8" hidden="1"/>
    <cellStyle name="Hiperlink" xfId="181" builtinId="8" hidden="1"/>
    <cellStyle name="Hiperlink" xfId="185" builtinId="8" hidden="1"/>
    <cellStyle name="Hiperlink" xfId="189" builtinId="8" hidden="1"/>
    <cellStyle name="Hiperlink" xfId="193" builtinId="8" hidden="1"/>
    <cellStyle name="Hiperlink" xfId="197" builtinId="8" hidden="1"/>
    <cellStyle name="Hiperlink" xfId="201" builtinId="8" hidden="1"/>
    <cellStyle name="Hiperlink" xfId="205" builtinId="8" hidden="1"/>
    <cellStyle name="Hiperlink" xfId="209" builtinId="8" hidden="1"/>
    <cellStyle name="Hiperlink" xfId="213" builtinId="8" hidden="1"/>
    <cellStyle name="Hiperlink" xfId="217" builtinId="8" hidden="1"/>
    <cellStyle name="Hiperlink" xfId="221" builtinId="8" hidden="1"/>
    <cellStyle name="Hiperlink" xfId="225" builtinId="8" hidden="1"/>
    <cellStyle name="Hiperlink" xfId="229" builtinId="8" hidden="1"/>
    <cellStyle name="Hiperlink" xfId="227" builtinId="8" hidden="1"/>
    <cellStyle name="Hiperlink" xfId="223" builtinId="8" hidden="1"/>
    <cellStyle name="Hiperlink" xfId="219" builtinId="8" hidden="1"/>
    <cellStyle name="Hiperlink" xfId="215" builtinId="8" hidden="1"/>
    <cellStyle name="Hiperlink" xfId="211" builtinId="8" hidden="1"/>
    <cellStyle name="Hiperlink" xfId="207" builtinId="8" hidden="1"/>
    <cellStyle name="Hiperlink" xfId="203" builtinId="8" hidden="1"/>
    <cellStyle name="Hiperlink" xfId="199" builtinId="8" hidden="1"/>
    <cellStyle name="Hiperlink" xfId="195" builtinId="8" hidden="1"/>
    <cellStyle name="Hiperlink" xfId="191" builtinId="8" hidden="1"/>
    <cellStyle name="Hiperlink" xfId="187" builtinId="8" hidden="1"/>
    <cellStyle name="Hiperlink" xfId="183" builtinId="8" hidden="1"/>
    <cellStyle name="Hiperlink" xfId="179" builtinId="8" hidden="1"/>
    <cellStyle name="Hiperlink" xfId="175" builtinId="8" hidden="1"/>
    <cellStyle name="Hiperlink" xfId="171" builtinId="8" hidden="1"/>
    <cellStyle name="Hiperlink" xfId="167" builtinId="8" hidden="1"/>
    <cellStyle name="Hiperlink" xfId="163" builtinId="8" hidden="1"/>
    <cellStyle name="Hiperlink" xfId="159" builtinId="8" hidden="1"/>
    <cellStyle name="Hiperlink" xfId="155" builtinId="8" hidden="1"/>
    <cellStyle name="Hiperlink" xfId="151" builtinId="8" hidden="1"/>
    <cellStyle name="Hiperlink" xfId="147" builtinId="8" hidden="1"/>
    <cellStyle name="Hiperlink" xfId="143" builtinId="8" hidden="1"/>
    <cellStyle name="Hiperlink" xfId="139" builtinId="8" hidden="1"/>
    <cellStyle name="Hiperlink" xfId="135" builtinId="8" hidden="1"/>
    <cellStyle name="Hiperlink" xfId="131" builtinId="8" hidden="1"/>
    <cellStyle name="Hiperlink" xfId="127" builtinId="8" hidden="1"/>
    <cellStyle name="Hiperlink" xfId="123" builtinId="8" hidden="1"/>
    <cellStyle name="Hiperlink" xfId="119" builtinId="8" hidden="1"/>
    <cellStyle name="Hiperlink" xfId="115" builtinId="8" hidden="1"/>
    <cellStyle name="Hiperlink" xfId="111" builtinId="8" hidden="1"/>
    <cellStyle name="Hiperlink" xfId="107" builtinId="8" hidden="1"/>
    <cellStyle name="Hiperlink" xfId="103" builtinId="8" hidden="1"/>
    <cellStyle name="Hiperlink" xfId="99" builtinId="8" hidden="1"/>
    <cellStyle name="Hiperlink" xfId="95" builtinId="8" hidden="1"/>
    <cellStyle name="Hiperlink" xfId="91" builtinId="8" hidden="1"/>
    <cellStyle name="Hiperlink" xfId="87" builtinId="8" hidden="1"/>
    <cellStyle name="Hiperlink" xfId="83" builtinId="8" hidden="1"/>
    <cellStyle name="Hiperlink" xfId="79" builtinId="8" hidden="1"/>
    <cellStyle name="Hiperlink" xfId="75" builtinId="8" hidden="1"/>
    <cellStyle name="Hiperlink" xfId="71" builtinId="8" hidden="1"/>
    <cellStyle name="Hiperlink" xfId="67" builtinId="8" hidden="1"/>
    <cellStyle name="Hiperlink" xfId="63" builtinId="8" hidden="1"/>
    <cellStyle name="Hiperlink" xfId="59" builtinId="8" hidden="1"/>
    <cellStyle name="Hiperlink" xfId="21" builtinId="8" hidden="1"/>
    <cellStyle name="Hiperlink" xfId="23" builtinId="8" hidden="1"/>
    <cellStyle name="Hiperlink" xfId="25" builtinId="8" hidden="1"/>
    <cellStyle name="Hiperlink" xfId="29" builtinId="8" hidden="1"/>
    <cellStyle name="Hiperlink" xfId="31" builtinId="8" hidden="1"/>
    <cellStyle name="Hiperlink" xfId="33" builtinId="8" hidden="1"/>
    <cellStyle name="Hiperlink" xfId="37" builtinId="8" hidden="1"/>
    <cellStyle name="Hiperlink" xfId="39" builtinId="8" hidden="1"/>
    <cellStyle name="Hiperlink" xfId="41" builtinId="8" hidden="1"/>
    <cellStyle name="Hiperlink" xfId="45" builtinId="8" hidden="1"/>
    <cellStyle name="Hiperlink" xfId="47" builtinId="8" hidden="1"/>
    <cellStyle name="Hiperlink" xfId="49" builtinId="8" hidden="1"/>
    <cellStyle name="Hiperlink" xfId="53" builtinId="8" hidden="1"/>
    <cellStyle name="Hiperlink" xfId="55" builtinId="8" hidden="1"/>
    <cellStyle name="Hiperlink" xfId="57" builtinId="8" hidden="1"/>
    <cellStyle name="Hiperlink" xfId="51" builtinId="8" hidden="1"/>
    <cellStyle name="Hiperlink" xfId="43" builtinId="8" hidden="1"/>
    <cellStyle name="Hiperlink" xfId="35" builtinId="8" hidden="1"/>
    <cellStyle name="Hiperlink" xfId="27" builtinId="8" hidden="1"/>
    <cellStyle name="Hiperlink" xfId="19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5" builtinId="8" hidden="1"/>
    <cellStyle name="Hiperlink" xfId="7" builtinId="8" hidden="1"/>
    <cellStyle name="Hiperlink" xfId="3" builtinId="8" hidden="1"/>
    <cellStyle name="Hiperlink" xfId="1" builtinId="8" hidden="1"/>
    <cellStyle name="Hiperlink Visitado" xfId="98" builtinId="9" hidden="1"/>
    <cellStyle name="Hiperlink Visitado" xfId="100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0" builtinId="9" hidden="1"/>
    <cellStyle name="Hiperlink Visitado" xfId="222" builtinId="9" hidden="1"/>
    <cellStyle name="Hiperlink Visitado" xfId="214" builtinId="9" hidden="1"/>
    <cellStyle name="Hiperlink Visitado" xfId="206" builtinId="9" hidden="1"/>
    <cellStyle name="Hiperlink Visitado" xfId="198" builtinId="9" hidden="1"/>
    <cellStyle name="Hiperlink Visitado" xfId="190" builtinId="9" hidden="1"/>
    <cellStyle name="Hiperlink Visitado" xfId="182" builtinId="9" hidden="1"/>
    <cellStyle name="Hiperlink Visitado" xfId="174" builtinId="9" hidden="1"/>
    <cellStyle name="Hiperlink Visitado" xfId="166" builtinId="9" hidden="1"/>
    <cellStyle name="Hiperlink Visitado" xfId="158" builtinId="9" hidden="1"/>
    <cellStyle name="Hiperlink Visitado" xfId="150" builtinId="9" hidden="1"/>
    <cellStyle name="Hiperlink Visitado" xfId="142" builtinId="9" hidden="1"/>
    <cellStyle name="Hiperlink Visitado" xfId="134" builtinId="9" hidden="1"/>
    <cellStyle name="Hiperlink Visitado" xfId="126" builtinId="9" hidden="1"/>
    <cellStyle name="Hiperlink Visitado" xfId="118" builtinId="9" hidden="1"/>
    <cellStyle name="Hiperlink Visitado" xfId="110" builtinId="9" hidden="1"/>
    <cellStyle name="Hiperlink Visitado" xfId="102" builtinId="9" hidden="1"/>
    <cellStyle name="Hiperlink Visitado" xfId="42" builtinId="9" hidden="1"/>
    <cellStyle name="Hiperlink Visitado" xfId="44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6" builtinId="9" hidden="1"/>
    <cellStyle name="Hiperlink Visitado" xfId="94" builtinId="9" hidden="1"/>
    <cellStyle name="Hiperlink Visitado" xfId="78" builtinId="9" hidden="1"/>
    <cellStyle name="Hiperlink Visitado" xfId="62" builtinId="9" hidden="1"/>
    <cellStyle name="Hiperlink Visitado" xfId="46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30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6" builtinId="9" hidden="1"/>
    <cellStyle name="Hiperlink Visitado" xfId="8" builtinId="9" hidden="1"/>
    <cellStyle name="Hiperlink Visitado" xfId="4" builtinId="9" hidden="1"/>
    <cellStyle name="Hiperlink Visitado" xfId="2" builtinId="9" hidden="1"/>
    <cellStyle name="Moeda 2" xfId="234" xr:uid="{00000000-0005-0000-0000-0000E6000000}"/>
    <cellStyle name="Moeda 3" xfId="235" xr:uid="{00000000-0005-0000-0000-0000E7000000}"/>
    <cellStyle name="Normal" xfId="0" builtinId="0"/>
    <cellStyle name="Normal 2" xfId="233" xr:uid="{00000000-0005-0000-0000-0000E9000000}"/>
    <cellStyle name="Porcentagem" xfId="232" builtinId="5"/>
    <cellStyle name="Porcentagem 2" xfId="236" xr:uid="{00000000-0005-0000-0000-0000EB000000}"/>
    <cellStyle name="Vírgula" xfId="23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57150</xdr:rowOff>
    </xdr:from>
    <xdr:to>
      <xdr:col>0</xdr:col>
      <xdr:colOff>859704</xdr:colOff>
      <xdr:row>0</xdr:row>
      <xdr:rowOff>618067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57150"/>
          <a:ext cx="650154" cy="560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M25"/>
  <sheetViews>
    <sheetView showGridLines="0" tabSelected="1" workbookViewId="0">
      <selection activeCell="C32" sqref="C32"/>
    </sheetView>
  </sheetViews>
  <sheetFormatPr defaultColWidth="10.8515625" defaultRowHeight="15" x14ac:dyDescent="0.2"/>
  <cols>
    <col min="1" max="1" width="14.30078125" style="1" customWidth="1"/>
    <col min="2" max="2" width="46.2421875" style="1" bestFit="1" customWidth="1"/>
    <col min="3" max="3" width="28.484375" style="1" customWidth="1"/>
    <col min="4" max="4" width="15.2890625" style="1" customWidth="1"/>
    <col min="5" max="5" width="23.67578125" style="1" customWidth="1"/>
    <col min="6" max="6" width="18.86328125" style="1" customWidth="1"/>
    <col min="7" max="16384" width="10.8515625" style="1"/>
  </cols>
  <sheetData>
    <row r="1" spans="1:13" s="67" customFormat="1" ht="52.5" customHeight="1" thickBot="1" x14ac:dyDescent="0.25"/>
    <row r="2" spans="1:13" ht="12" customHeight="1" thickTop="1" x14ac:dyDescent="0.2">
      <c r="A2" s="4"/>
      <c r="E2" s="2"/>
    </row>
    <row r="3" spans="1:13" s="10" customFormat="1" ht="23.25" customHeight="1" thickBot="1" x14ac:dyDescent="0.25">
      <c r="A3" s="11"/>
      <c r="B3" s="68"/>
      <c r="C3" s="68"/>
      <c r="E3" s="12"/>
    </row>
    <row r="4" spans="1:13" s="10" customFormat="1" ht="27" customHeight="1" x14ac:dyDescent="0.2">
      <c r="B4" s="5" t="s">
        <v>0</v>
      </c>
      <c r="C4" s="20">
        <v>15000</v>
      </c>
      <c r="D4" s="15"/>
      <c r="E4" s="69" t="s">
        <v>2</v>
      </c>
      <c r="F4" s="70"/>
      <c r="G4" s="49"/>
      <c r="H4" s="49"/>
      <c r="I4" s="15"/>
      <c r="J4" s="15"/>
      <c r="K4" s="15"/>
      <c r="L4" s="15"/>
      <c r="M4" s="15"/>
    </row>
    <row r="5" spans="1:13" s="15" customFormat="1" ht="27" customHeight="1" x14ac:dyDescent="0.2">
      <c r="B5" s="6" t="s">
        <v>1</v>
      </c>
      <c r="C5" s="21">
        <f>C4*28%</f>
        <v>4200</v>
      </c>
      <c r="E5" s="50" t="s">
        <v>3</v>
      </c>
      <c r="F5" s="51">
        <v>0.05</v>
      </c>
      <c r="G5" s="49"/>
      <c r="H5" s="49"/>
    </row>
    <row r="6" spans="1:13" s="10" customFormat="1" ht="27" customHeight="1" x14ac:dyDescent="0.2">
      <c r="B6" s="16"/>
      <c r="C6" s="9"/>
      <c r="D6" s="15"/>
      <c r="E6" s="50" t="s">
        <v>4</v>
      </c>
      <c r="F6" s="51">
        <v>6.4999999999999997E-3</v>
      </c>
      <c r="G6" s="49"/>
      <c r="H6" s="49"/>
      <c r="I6" s="15"/>
      <c r="J6" s="15"/>
      <c r="K6" s="15"/>
      <c r="L6" s="15"/>
      <c r="M6" s="15"/>
    </row>
    <row r="7" spans="1:13" s="10" customFormat="1" ht="27" customHeight="1" x14ac:dyDescent="0.2">
      <c r="B7" s="6" t="s">
        <v>10</v>
      </c>
      <c r="C7" s="21">
        <f>C4*F11</f>
        <v>2449.5</v>
      </c>
      <c r="D7" s="15"/>
      <c r="E7" s="50" t="s">
        <v>5</v>
      </c>
      <c r="F7" s="51">
        <v>0.03</v>
      </c>
      <c r="G7" s="49"/>
      <c r="H7" s="49"/>
      <c r="I7" s="15"/>
      <c r="J7" s="15"/>
      <c r="K7" s="15"/>
      <c r="L7" s="15"/>
      <c r="M7" s="15"/>
    </row>
    <row r="8" spans="1:13" s="10" customFormat="1" ht="27" customHeight="1" x14ac:dyDescent="0.2">
      <c r="B8" s="6" t="s">
        <v>36</v>
      </c>
      <c r="C8" s="21">
        <f>Anexos!I28</f>
        <v>2325</v>
      </c>
      <c r="D8" s="15"/>
      <c r="E8" s="50" t="s">
        <v>6</v>
      </c>
      <c r="F8" s="51">
        <f>32%*9%</f>
        <v>2.8799999999999999E-2</v>
      </c>
      <c r="G8" s="49"/>
      <c r="H8" s="49"/>
      <c r="I8" s="15"/>
      <c r="J8" s="15"/>
      <c r="K8" s="15"/>
      <c r="L8" s="15"/>
      <c r="M8" s="15"/>
    </row>
    <row r="9" spans="1:13" s="10" customFormat="1" ht="27" customHeight="1" x14ac:dyDescent="0.2">
      <c r="B9" s="7" t="s">
        <v>49</v>
      </c>
      <c r="C9" s="8">
        <f>Anexos!I15</f>
        <v>900</v>
      </c>
      <c r="D9" s="15"/>
      <c r="E9" s="50" t="s">
        <v>7</v>
      </c>
      <c r="F9" s="51">
        <f>32%*15%</f>
        <v>4.8000000000000001E-2</v>
      </c>
      <c r="G9" s="49"/>
      <c r="H9" s="49"/>
      <c r="I9" s="15"/>
      <c r="J9" s="15"/>
      <c r="K9" s="15"/>
      <c r="L9" s="15"/>
      <c r="M9" s="15"/>
    </row>
    <row r="10" spans="1:13" s="10" customFormat="1" ht="27" customHeight="1" x14ac:dyDescent="0.2">
      <c r="B10" s="7" t="s">
        <v>38</v>
      </c>
      <c r="C10" s="8">
        <f>IF(C5*11%&gt;F13,F13,C5*11%)</f>
        <v>462</v>
      </c>
      <c r="D10" s="15"/>
      <c r="E10" s="52" t="s">
        <v>8</v>
      </c>
      <c r="F10" s="53">
        <f>(IF((((C4*32%)-20000)*10%)&lt;0,0,(((C4*32%)-20000)*10%)))/C4</f>
        <v>0</v>
      </c>
      <c r="G10" s="49"/>
      <c r="H10" s="49"/>
      <c r="I10" s="15"/>
      <c r="J10" s="15"/>
      <c r="K10" s="15"/>
      <c r="L10" s="15"/>
      <c r="M10" s="15"/>
    </row>
    <row r="11" spans="1:13" s="10" customFormat="1" ht="27" customHeight="1" thickBot="1" x14ac:dyDescent="0.25">
      <c r="B11" s="7" t="s">
        <v>39</v>
      </c>
      <c r="C11" s="8" t="e">
        <f>IF((VLOOKUP(C5-C10,$F$16:$H$20,2,TRUE))*((C5-C10)-(#REF!*F21))-VLOOKUP(C5-C10,$F$16:$H$20,3,TRUE)&lt;0,0,(VLOOKUP(C5-C10,$F$16:$H$20,2,TRUE))*((C5-C10)-(#REF!*F21))-VLOOKUP(C5-C10,$F$16:$H$20,3,TRUE))</f>
        <v>#REF!</v>
      </c>
      <c r="D11" s="15"/>
      <c r="E11" s="54" t="s">
        <v>9</v>
      </c>
      <c r="F11" s="55">
        <f>SUM(F5:F10)</f>
        <v>0.1633</v>
      </c>
      <c r="G11" s="49"/>
      <c r="H11" s="49"/>
      <c r="I11" s="15"/>
      <c r="J11" s="15"/>
      <c r="K11" s="15"/>
      <c r="L11" s="15"/>
      <c r="M11" s="15"/>
    </row>
    <row r="12" spans="1:13" s="10" customFormat="1" ht="27" customHeight="1" thickBot="1" x14ac:dyDescent="0.25">
      <c r="B12" s="45" t="s">
        <v>50</v>
      </c>
      <c r="C12" s="46" t="e">
        <f>SUM(C9:C11)</f>
        <v>#REF!</v>
      </c>
      <c r="D12" s="15"/>
      <c r="E12" s="49"/>
      <c r="F12" s="49"/>
      <c r="G12" s="49"/>
      <c r="H12" s="49"/>
      <c r="I12" s="15"/>
      <c r="J12" s="15"/>
      <c r="K12" s="15"/>
      <c r="L12" s="15"/>
      <c r="M12" s="15"/>
    </row>
    <row r="13" spans="1:13" s="10" customFormat="1" ht="27" customHeight="1" thickBot="1" x14ac:dyDescent="0.25">
      <c r="B13" s="13"/>
      <c r="C13" s="14"/>
      <c r="D13" s="15"/>
      <c r="E13" s="56" t="s">
        <v>37</v>
      </c>
      <c r="F13" s="57">
        <v>621.04</v>
      </c>
      <c r="G13" s="49"/>
      <c r="H13" s="49"/>
      <c r="I13" s="15"/>
      <c r="J13" s="15"/>
      <c r="K13" s="15"/>
      <c r="L13" s="15"/>
      <c r="M13" s="15"/>
    </row>
    <row r="14" spans="1:13" s="10" customFormat="1" ht="27" customHeight="1" thickBot="1" x14ac:dyDescent="0.25">
      <c r="B14" s="47" t="s">
        <v>51</v>
      </c>
      <c r="C14" s="48" t="e">
        <f>C12-C8</f>
        <v>#REF!</v>
      </c>
      <c r="D14" s="15"/>
      <c r="E14" s="49"/>
      <c r="F14" s="49"/>
      <c r="G14" s="49"/>
      <c r="H14" s="49"/>
      <c r="I14" s="15"/>
      <c r="J14" s="15"/>
      <c r="K14" s="15"/>
      <c r="L14" s="15"/>
      <c r="M14" s="15"/>
    </row>
    <row r="15" spans="1:13" s="10" customFormat="1" ht="27" customHeight="1" x14ac:dyDescent="0.15">
      <c r="B15" s="47" t="s">
        <v>52</v>
      </c>
      <c r="C15" s="48" t="e">
        <f>C12-C7</f>
        <v>#REF!</v>
      </c>
      <c r="D15" s="15"/>
      <c r="E15" s="71" t="s">
        <v>40</v>
      </c>
      <c r="F15" s="72"/>
      <c r="G15" s="58" t="s">
        <v>41</v>
      </c>
      <c r="H15" s="59" t="s">
        <v>48</v>
      </c>
      <c r="I15" s="15"/>
      <c r="J15" s="15"/>
      <c r="K15" s="15"/>
      <c r="L15" s="15"/>
      <c r="M15" s="15"/>
    </row>
    <row r="16" spans="1:13" s="10" customFormat="1" ht="27" customHeight="1" x14ac:dyDescent="0.2">
      <c r="B16" s="13"/>
      <c r="C16" s="17"/>
      <c r="D16" s="15"/>
      <c r="E16" s="60" t="s">
        <v>42</v>
      </c>
      <c r="F16" s="61">
        <v>0</v>
      </c>
      <c r="G16" s="62">
        <v>0</v>
      </c>
      <c r="H16" s="63">
        <v>0</v>
      </c>
      <c r="I16" s="15"/>
      <c r="J16" s="15"/>
      <c r="K16" s="15"/>
      <c r="L16" s="15"/>
      <c r="M16" s="15"/>
    </row>
    <row r="17" spans="2:13" s="10" customFormat="1" ht="27" customHeight="1" x14ac:dyDescent="0.2">
      <c r="B17" s="13"/>
      <c r="C17" s="17"/>
      <c r="D17" s="15"/>
      <c r="E17" s="60" t="s">
        <v>43</v>
      </c>
      <c r="F17" s="61">
        <v>1903.98</v>
      </c>
      <c r="G17" s="62">
        <v>7.4999999999999997E-2</v>
      </c>
      <c r="H17" s="63">
        <v>142.80000000000001</v>
      </c>
      <c r="I17" s="15"/>
      <c r="J17" s="15"/>
      <c r="K17" s="15"/>
      <c r="L17" s="15"/>
      <c r="M17" s="15"/>
    </row>
    <row r="18" spans="2:13" s="10" customFormat="1" ht="27" customHeight="1" x14ac:dyDescent="0.2">
      <c r="B18" s="13"/>
      <c r="C18" s="17"/>
      <c r="D18" s="15"/>
      <c r="E18" s="60" t="s">
        <v>44</v>
      </c>
      <c r="F18" s="61">
        <v>2826.66</v>
      </c>
      <c r="G18" s="62">
        <v>0.15</v>
      </c>
      <c r="H18" s="63">
        <v>354.8</v>
      </c>
      <c r="I18" s="15"/>
      <c r="J18" s="15"/>
      <c r="K18" s="15"/>
      <c r="L18" s="15"/>
      <c r="M18" s="15"/>
    </row>
    <row r="19" spans="2:13" s="10" customFormat="1" ht="27" customHeight="1" x14ac:dyDescent="0.2">
      <c r="B19" s="13"/>
      <c r="C19" s="17"/>
      <c r="D19" s="15"/>
      <c r="E19" s="60" t="s">
        <v>45</v>
      </c>
      <c r="F19" s="61">
        <v>3751.06</v>
      </c>
      <c r="G19" s="62">
        <v>0.22500000000000001</v>
      </c>
      <c r="H19" s="63">
        <v>636.13</v>
      </c>
      <c r="I19" s="15"/>
      <c r="J19" s="15"/>
      <c r="K19" s="15"/>
      <c r="L19" s="15"/>
      <c r="M19" s="15"/>
    </row>
    <row r="20" spans="2:13" s="15" customFormat="1" ht="27" customHeight="1" x14ac:dyDescent="0.2">
      <c r="B20" s="18"/>
      <c r="C20" s="19"/>
      <c r="E20" s="60" t="s">
        <v>46</v>
      </c>
      <c r="F20" s="61">
        <v>4664.68</v>
      </c>
      <c r="G20" s="62">
        <v>0.27500000000000002</v>
      </c>
      <c r="H20" s="63">
        <v>869.36</v>
      </c>
    </row>
    <row r="21" spans="2:13" s="15" customFormat="1" ht="27" customHeight="1" thickBot="1" x14ac:dyDescent="0.25">
      <c r="B21" s="16"/>
      <c r="C21" s="9"/>
      <c r="E21" s="64" t="s">
        <v>47</v>
      </c>
      <c r="F21" s="65">
        <v>189.59</v>
      </c>
      <c r="G21" s="65"/>
      <c r="H21" s="66"/>
    </row>
    <row r="23" spans="2:13" x14ac:dyDescent="0.2">
      <c r="C23" s="3"/>
      <c r="D23" s="3"/>
      <c r="E23" s="3"/>
      <c r="F23" s="3"/>
      <c r="G23" s="3"/>
      <c r="H23" s="3"/>
    </row>
    <row r="25" spans="2:13" x14ac:dyDescent="0.2">
      <c r="C25" s="3"/>
    </row>
  </sheetData>
  <sheetProtection selectLockedCells="1" selectUnlockedCells="1"/>
  <dataConsolidate/>
  <mergeCells count="4">
    <mergeCell ref="A1:XFD1"/>
    <mergeCell ref="B3:C3"/>
    <mergeCell ref="E4:F4"/>
    <mergeCell ref="E15:F15"/>
  </mergeCells>
  <dataValidations count="1">
    <dataValidation type="list" allowBlank="1" showInputMessage="1" showErrorMessage="1" sqref="F5" xr:uid="{00000000-0002-0000-0000-000000000000}">
      <mc:AlternateContent xmlns:x12ac="http://schemas.microsoft.com/office/spreadsheetml/2011/1/ac" xmlns:mc="http://schemas.openxmlformats.org/markup-compatibility/2006">
        <mc:Choice Requires="x12ac">
          <x12ac:list>2%,"2,90%",3%,5%</x12ac:list>
        </mc:Choice>
        <mc:Fallback>
          <formula1>"2%,2,90%,3%,5%"</formula1>
        </mc:Fallback>
      </mc:AlternateContent>
    </dataValidation>
  </dataValidations>
  <pageMargins left="0.75" right="0.75" top="1" bottom="1" header="0.5" footer="0.5"/>
  <pageSetup paperSize="9" orientation="portrait" horizontalDpi="300" verticalDpi="30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6"/>
  <sheetViews>
    <sheetView showGridLines="0" workbookViewId="0">
      <selection activeCell="E31" sqref="E31"/>
    </sheetView>
  </sheetViews>
  <sheetFormatPr defaultColWidth="8.01171875" defaultRowHeight="13.5" x14ac:dyDescent="0.15"/>
  <cols>
    <col min="1" max="1" width="1.4765625" style="31" customWidth="1"/>
    <col min="2" max="2" width="12.82421875" style="31" customWidth="1"/>
    <col min="3" max="3" width="27.8671875" style="31" customWidth="1"/>
    <col min="4" max="4" width="24.5390625" style="31" customWidth="1"/>
    <col min="5" max="5" width="10.109375" style="31" customWidth="1"/>
    <col min="6" max="6" width="18.6171875" style="31" bestFit="1" customWidth="1"/>
    <col min="7" max="7" width="12.08203125" style="31" customWidth="1"/>
    <col min="8" max="8" width="21.33203125" style="31" customWidth="1"/>
    <col min="9" max="9" width="14.1796875" style="31" bestFit="1" customWidth="1"/>
    <col min="10" max="10" width="8.01171875" style="31"/>
    <col min="11" max="11" width="10.234375" style="31" bestFit="1" customWidth="1"/>
    <col min="12" max="12" width="12.453125" style="31" bestFit="1" customWidth="1"/>
    <col min="13" max="13" width="8.01171875" style="31"/>
    <col min="14" max="14" width="11.58984375" style="31" bestFit="1" customWidth="1"/>
    <col min="15" max="16384" width="8.01171875" style="31"/>
  </cols>
  <sheetData>
    <row r="1" spans="2:9" x14ac:dyDescent="0.15">
      <c r="D1" s="22"/>
      <c r="E1" s="32"/>
    </row>
    <row r="2" spans="2:9" x14ac:dyDescent="0.15">
      <c r="D2" s="22"/>
      <c r="E2" s="32"/>
    </row>
    <row r="3" spans="2:9" x14ac:dyDescent="0.15">
      <c r="D3" s="22"/>
      <c r="E3" s="32"/>
    </row>
    <row r="4" spans="2:9" ht="14.25" x14ac:dyDescent="0.15">
      <c r="B4" s="30"/>
      <c r="C4" s="30" t="s">
        <v>11</v>
      </c>
      <c r="D4" s="30"/>
      <c r="E4" s="30"/>
      <c r="F4" s="30"/>
    </row>
    <row r="5" spans="2:9" x14ac:dyDescent="0.15">
      <c r="B5" s="73" t="s">
        <v>12</v>
      </c>
      <c r="C5" s="73"/>
      <c r="D5" s="23" t="s">
        <v>13</v>
      </c>
      <c r="E5" s="24" t="s">
        <v>14</v>
      </c>
      <c r="F5" s="24" t="s">
        <v>15</v>
      </c>
      <c r="H5" s="31" t="s">
        <v>16</v>
      </c>
      <c r="I5" s="33">
        <f>'Validação de Dados - Abertura'!C4*12</f>
        <v>180000</v>
      </c>
    </row>
    <row r="6" spans="2:9" ht="18" x14ac:dyDescent="0.15">
      <c r="B6" s="25" t="s">
        <v>30</v>
      </c>
      <c r="C6" s="25" t="s">
        <v>17</v>
      </c>
      <c r="D6" s="23">
        <v>0</v>
      </c>
      <c r="E6" s="26">
        <v>0.06</v>
      </c>
      <c r="F6" s="27">
        <v>0</v>
      </c>
      <c r="H6" s="31" t="s">
        <v>14</v>
      </c>
      <c r="I6" s="34">
        <f>VLOOKUP($I5,$D$6:$E$12,2,TRUE)</f>
        <v>0.06</v>
      </c>
    </row>
    <row r="7" spans="2:9" ht="18" x14ac:dyDescent="0.15">
      <c r="B7" s="25" t="s">
        <v>31</v>
      </c>
      <c r="C7" s="25" t="s">
        <v>18</v>
      </c>
      <c r="D7" s="23">
        <v>180000.01</v>
      </c>
      <c r="E7" s="26">
        <v>0.112</v>
      </c>
      <c r="F7" s="28">
        <v>9360</v>
      </c>
      <c r="H7" s="31" t="s">
        <v>19</v>
      </c>
      <c r="I7" s="35">
        <f>I5*I6</f>
        <v>10800</v>
      </c>
    </row>
    <row r="8" spans="2:9" ht="18" x14ac:dyDescent="0.15">
      <c r="B8" s="25" t="s">
        <v>32</v>
      </c>
      <c r="C8" s="25" t="s">
        <v>20</v>
      </c>
      <c r="D8" s="23">
        <v>360000.01</v>
      </c>
      <c r="E8" s="26">
        <v>0.13500000000000001</v>
      </c>
      <c r="F8" s="28">
        <v>17640</v>
      </c>
      <c r="H8" s="31" t="s">
        <v>21</v>
      </c>
      <c r="I8" s="33">
        <f>VLOOKUP($I5,$D$6:$F$12,3,TRUE)</f>
        <v>0</v>
      </c>
    </row>
    <row r="9" spans="2:9" ht="18.75" thickBot="1" x14ac:dyDescent="0.2">
      <c r="B9" s="25" t="s">
        <v>33</v>
      </c>
      <c r="C9" s="25" t="s">
        <v>22</v>
      </c>
      <c r="D9" s="23">
        <v>720000.01</v>
      </c>
      <c r="E9" s="26">
        <v>0.16</v>
      </c>
      <c r="F9" s="28">
        <v>35640</v>
      </c>
      <c r="H9" s="36" t="s">
        <v>19</v>
      </c>
      <c r="I9" s="37">
        <f>I7-I8</f>
        <v>10800</v>
      </c>
    </row>
    <row r="10" spans="2:9" ht="18" x14ac:dyDescent="0.15">
      <c r="B10" s="25" t="s">
        <v>34</v>
      </c>
      <c r="C10" s="25" t="s">
        <v>23</v>
      </c>
      <c r="D10" s="23">
        <v>1800000.01</v>
      </c>
      <c r="E10" s="26">
        <v>0.21</v>
      </c>
      <c r="F10" s="28">
        <v>125640</v>
      </c>
    </row>
    <row r="11" spans="2:9" ht="18.75" thickBot="1" x14ac:dyDescent="0.2">
      <c r="B11" s="25" t="s">
        <v>35</v>
      </c>
      <c r="C11" s="25" t="s">
        <v>24</v>
      </c>
      <c r="D11" s="23">
        <v>3600000.01</v>
      </c>
      <c r="E11" s="26">
        <v>0.33</v>
      </c>
      <c r="F11" s="28">
        <v>648000</v>
      </c>
      <c r="H11" s="36" t="s">
        <v>25</v>
      </c>
      <c r="I11" s="38">
        <f>I9/I5</f>
        <v>0.06</v>
      </c>
    </row>
    <row r="12" spans="2:9" x14ac:dyDescent="0.15">
      <c r="D12" s="23">
        <v>4800000.01</v>
      </c>
      <c r="E12" s="39" t="s">
        <v>26</v>
      </c>
      <c r="F12" s="40"/>
    </row>
    <row r="13" spans="2:9" x14ac:dyDescent="0.15">
      <c r="D13" s="22"/>
      <c r="E13" s="32"/>
      <c r="H13" s="41" t="s">
        <v>27</v>
      </c>
      <c r="I13" s="42">
        <f>'Validação de Dados - Abertura'!C4</f>
        <v>15000</v>
      </c>
    </row>
    <row r="14" spans="2:9" x14ac:dyDescent="0.15">
      <c r="D14" s="22"/>
      <c r="E14" s="32"/>
    </row>
    <row r="15" spans="2:9" ht="14.25" thickBot="1" x14ac:dyDescent="0.2">
      <c r="D15" s="22"/>
      <c r="E15" s="32"/>
      <c r="H15" s="43" t="s">
        <v>28</v>
      </c>
      <c r="I15" s="44">
        <f>I13*I11</f>
        <v>900</v>
      </c>
    </row>
    <row r="16" spans="2:9" x14ac:dyDescent="0.15">
      <c r="D16" s="22"/>
      <c r="E16" s="32"/>
    </row>
    <row r="17" spans="2:11" ht="14.25" x14ac:dyDescent="0.15">
      <c r="B17" s="30"/>
      <c r="C17" s="30" t="s">
        <v>29</v>
      </c>
      <c r="D17" s="30"/>
      <c r="E17" s="30"/>
      <c r="F17" s="30"/>
    </row>
    <row r="18" spans="2:11" x14ac:dyDescent="0.15">
      <c r="B18" s="73" t="s">
        <v>12</v>
      </c>
      <c r="C18" s="73"/>
      <c r="D18" s="23" t="s">
        <v>13</v>
      </c>
      <c r="E18" s="24" t="s">
        <v>14</v>
      </c>
      <c r="F18" s="24" t="s">
        <v>15</v>
      </c>
      <c r="H18" s="31" t="s">
        <v>16</v>
      </c>
      <c r="I18" s="33">
        <f>'Validação de Dados - Abertura'!C4*12</f>
        <v>180000</v>
      </c>
    </row>
    <row r="19" spans="2:11" ht="18" x14ac:dyDescent="0.15">
      <c r="B19" s="25" t="s">
        <v>30</v>
      </c>
      <c r="C19" s="25" t="s">
        <v>17</v>
      </c>
      <c r="D19" s="23">
        <v>0</v>
      </c>
      <c r="E19" s="26">
        <v>0.155</v>
      </c>
      <c r="F19" s="27">
        <v>0</v>
      </c>
      <c r="H19" s="31" t="s">
        <v>14</v>
      </c>
      <c r="I19" s="34">
        <f>VLOOKUP($I18,$D$19:$E$25,2,TRUE)</f>
        <v>0.155</v>
      </c>
    </row>
    <row r="20" spans="2:11" ht="18" x14ac:dyDescent="0.15">
      <c r="B20" s="25" t="s">
        <v>31</v>
      </c>
      <c r="C20" s="25" t="s">
        <v>18</v>
      </c>
      <c r="D20" s="23">
        <v>180000.01</v>
      </c>
      <c r="E20" s="26">
        <v>0.18</v>
      </c>
      <c r="F20" s="28">
        <v>4500</v>
      </c>
      <c r="H20" s="31" t="s">
        <v>19</v>
      </c>
      <c r="I20" s="35">
        <f>I18*I19</f>
        <v>27900</v>
      </c>
    </row>
    <row r="21" spans="2:11" ht="18" x14ac:dyDescent="0.15">
      <c r="B21" s="25" t="s">
        <v>32</v>
      </c>
      <c r="C21" s="25" t="s">
        <v>20</v>
      </c>
      <c r="D21" s="23">
        <v>360000.01</v>
      </c>
      <c r="E21" s="26">
        <v>0.19500000000000001</v>
      </c>
      <c r="F21" s="28">
        <v>9900</v>
      </c>
      <c r="H21" s="31" t="s">
        <v>21</v>
      </c>
      <c r="I21" s="33">
        <f>VLOOKUP($I18,$D$19:$F$25,3,TRUE)</f>
        <v>0</v>
      </c>
    </row>
    <row r="22" spans="2:11" ht="18.75" thickBot="1" x14ac:dyDescent="0.2">
      <c r="B22" s="25" t="s">
        <v>33</v>
      </c>
      <c r="C22" s="25" t="s">
        <v>22</v>
      </c>
      <c r="D22" s="23">
        <v>720000.01</v>
      </c>
      <c r="E22" s="26">
        <v>0.20499999999999999</v>
      </c>
      <c r="F22" s="28">
        <v>17100</v>
      </c>
      <c r="H22" s="36" t="s">
        <v>19</v>
      </c>
      <c r="I22" s="37">
        <f>I20-I21</f>
        <v>27900</v>
      </c>
    </row>
    <row r="23" spans="2:11" ht="18" x14ac:dyDescent="0.15">
      <c r="B23" s="25" t="s">
        <v>34</v>
      </c>
      <c r="C23" s="25" t="s">
        <v>23</v>
      </c>
      <c r="D23" s="23">
        <v>1800000.01</v>
      </c>
      <c r="E23" s="26">
        <v>0.23</v>
      </c>
      <c r="F23" s="28">
        <v>62100</v>
      </c>
    </row>
    <row r="24" spans="2:11" ht="18.75" thickBot="1" x14ac:dyDescent="0.2">
      <c r="B24" s="25" t="s">
        <v>35</v>
      </c>
      <c r="C24" s="25" t="s">
        <v>24</v>
      </c>
      <c r="D24" s="23">
        <v>3600000.01</v>
      </c>
      <c r="E24" s="26">
        <v>0.30499999999999999</v>
      </c>
      <c r="F24" s="28">
        <v>540000</v>
      </c>
      <c r="H24" s="36" t="s">
        <v>25</v>
      </c>
      <c r="I24" s="38">
        <f>I22/I18</f>
        <v>0.155</v>
      </c>
    </row>
    <row r="25" spans="2:11" x14ac:dyDescent="0.15">
      <c r="D25" s="23">
        <v>4800000.01</v>
      </c>
      <c r="E25" s="39" t="s">
        <v>26</v>
      </c>
      <c r="F25" s="40"/>
    </row>
    <row r="26" spans="2:11" x14ac:dyDescent="0.15">
      <c r="H26" s="41" t="s">
        <v>27</v>
      </c>
      <c r="I26" s="42">
        <f>'Validação de Dados - Abertura'!C4</f>
        <v>15000</v>
      </c>
    </row>
    <row r="28" spans="2:11" ht="14.25" thickBot="1" x14ac:dyDescent="0.2">
      <c r="H28" s="43" t="s">
        <v>28</v>
      </c>
      <c r="I28" s="44">
        <f>I26*I24</f>
        <v>2325</v>
      </c>
      <c r="K28" s="42"/>
    </row>
    <row r="30" spans="2:11" x14ac:dyDescent="0.15">
      <c r="I30" s="42"/>
    </row>
    <row r="36" spans="3:3" x14ac:dyDescent="0.15">
      <c r="C36" s="29"/>
    </row>
  </sheetData>
  <mergeCells count="2">
    <mergeCell ref="B5:C5"/>
    <mergeCell ref="B18:C1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Validação de Dados - Abertura</vt:lpstr>
      <vt:lpstr>Anexos</vt:lpstr>
    </vt:vector>
  </TitlesOfParts>
  <Company>LUZ Consultoria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Vianna Ávila</dc:creator>
  <cp:lastModifiedBy>Capital0017</cp:lastModifiedBy>
  <dcterms:created xsi:type="dcterms:W3CDTF">2012-02-02T12:33:38Z</dcterms:created>
  <dcterms:modified xsi:type="dcterms:W3CDTF">2019-08-10T19:09:39Z</dcterms:modified>
</cp:coreProperties>
</file>