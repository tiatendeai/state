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\OneDrive\Área de Trabalho\PLANILHAS GRÁTIS GUI\PLANILHAS DIVERSAS GRÁTIS\"/>
    </mc:Choice>
  </mc:AlternateContent>
  <bookViews>
    <workbookView xWindow="0" yWindow="0" windowWidth="16785" windowHeight="2490" tabRatio="761" activeTab="1"/>
  </bookViews>
  <sheets>
    <sheet name="PORCENTAGEM" sheetId="1" r:id="rId1"/>
    <sheet name="JUROS SIMPLES" sheetId="2" r:id="rId2"/>
    <sheet name="JUROS COMPOS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0" i="3" l="1"/>
  <c r="E41" i="3"/>
  <c r="E23" i="3"/>
  <c r="E32" i="3"/>
  <c r="E13" i="3" l="1"/>
  <c r="E14" i="3"/>
  <c r="E51" i="2"/>
  <c r="E42" i="2"/>
  <c r="E33" i="2"/>
  <c r="E24" i="2"/>
  <c r="E13" i="2"/>
  <c r="E15" i="2"/>
  <c r="E14" i="2"/>
  <c r="E39" i="1"/>
  <c r="D35" i="1"/>
  <c r="E30" i="1"/>
  <c r="D26" i="1"/>
  <c r="D17" i="1" l="1"/>
  <c r="D8" i="1"/>
  <c r="E21" i="1"/>
  <c r="E12" i="1"/>
</calcChain>
</file>

<file path=xl/sharedStrings.xml><?xml version="1.0" encoding="utf-8"?>
<sst xmlns="http://schemas.openxmlformats.org/spreadsheetml/2006/main" count="79" uniqueCount="28">
  <si>
    <t>Percentual</t>
  </si>
  <si>
    <t>Valor A</t>
  </si>
  <si>
    <t>Valor B</t>
  </si>
  <si>
    <t>Porcentagem Simples</t>
  </si>
  <si>
    <t>Valor antigo</t>
  </si>
  <si>
    <t>Valor novo</t>
  </si>
  <si>
    <t>Percentual entre valores</t>
  </si>
  <si>
    <t>Aumento Percentual</t>
  </si>
  <si>
    <t>Redução Percentual</t>
  </si>
  <si>
    <t>Investimento Inicial</t>
  </si>
  <si>
    <t>Taxa de Juros</t>
  </si>
  <si>
    <t>Anos</t>
  </si>
  <si>
    <t>Valor Futuro</t>
  </si>
  <si>
    <t>Juros Total</t>
  </si>
  <si>
    <t>Juros ao ano</t>
  </si>
  <si>
    <t>Juros Simples</t>
  </si>
  <si>
    <t>Juros Simples - Valor Futuro</t>
  </si>
  <si>
    <t>Valor Presente</t>
  </si>
  <si>
    <t>Resultado:</t>
  </si>
  <si>
    <t>Juros Simples - Valor Presente</t>
  </si>
  <si>
    <t>Juros Simples - Taxa de juros</t>
  </si>
  <si>
    <t>Juros Simples - Número de Períodos</t>
  </si>
  <si>
    <t>Juros Composto</t>
  </si>
  <si>
    <t>Juros Composto - Valor Futuro</t>
  </si>
  <si>
    <t>Juros Composto - Valor Presente</t>
  </si>
  <si>
    <t>Juros Composto - Taxa de juros</t>
  </si>
  <si>
    <t>Juros Composto - Número de Períodos</t>
  </si>
  <si>
    <t>Núm. Períodos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</si>
</sst>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34998626667073579"/>
      <name val="Bahnschrift Light SemiCondensed"/>
      <family val="2"/>
    </font>
    <font>
      <sz val="14"/>
      <color theme="1"/>
      <name val="Calibri"/>
      <family val="2"/>
      <scheme val="minor"/>
    </font>
    <font>
      <sz val="14"/>
      <color theme="0" tint="-0.499984740745262"/>
      <name val="Bahnschrift Light SemiCondensed"/>
      <family val="2"/>
    </font>
    <font>
      <sz val="12"/>
      <color theme="0" tint="-0.499984740745262"/>
      <name val="Bahnschrift Light SemiCondensed"/>
      <family val="2"/>
    </font>
    <font>
      <b/>
      <sz val="12"/>
      <color theme="0"/>
      <name val="Bahnschrift Light Semi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Border="1"/>
    <xf numFmtId="0" fontId="2" fillId="5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4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9" fontId="2" fillId="5" borderId="0" xfId="1" applyFont="1" applyFill="1" applyBorder="1" applyAlignment="1">
      <alignment horizontal="center" vertical="center"/>
    </xf>
    <xf numFmtId="0" fontId="0" fillId="2" borderId="0" xfId="0" applyFill="1" applyBorder="1"/>
    <xf numFmtId="0" fontId="3" fillId="2" borderId="0" xfId="0" applyFont="1" applyFill="1"/>
    <xf numFmtId="0" fontId="3" fillId="4" borderId="4" xfId="0" applyFont="1" applyFill="1" applyBorder="1"/>
    <xf numFmtId="0" fontId="3" fillId="2" borderId="0" xfId="0" applyFont="1" applyFill="1" applyBorder="1"/>
    <xf numFmtId="0" fontId="3" fillId="4" borderId="0" xfId="0" applyFont="1" applyFill="1" applyBorder="1"/>
    <xf numFmtId="9" fontId="3" fillId="4" borderId="0" xfId="0" applyNumberFormat="1" applyFont="1" applyFill="1" applyBorder="1"/>
    <xf numFmtId="0" fontId="3" fillId="4" borderId="5" xfId="0" applyFont="1" applyFill="1" applyBorder="1"/>
    <xf numFmtId="0" fontId="3" fillId="0" borderId="0" xfId="0" applyFont="1"/>
    <xf numFmtId="0" fontId="4" fillId="2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42" fontId="2" fillId="5" borderId="0" xfId="1" applyNumberFormat="1" applyFont="1" applyFill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center" vertical="center"/>
    </xf>
    <xf numFmtId="44" fontId="2" fillId="2" borderId="0" xfId="0" applyNumberFormat="1" applyFont="1" applyFill="1" applyBorder="1" applyAlignment="1">
      <alignment horizontal="center" vertical="center"/>
    </xf>
    <xf numFmtId="10" fontId="2" fillId="2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42" fontId="2" fillId="5" borderId="9" xfId="1" applyNumberFormat="1" applyFont="1" applyFill="1" applyBorder="1" applyAlignment="1">
      <alignment horizontal="center" vertical="center"/>
    </xf>
    <xf numFmtId="10" fontId="2" fillId="5" borderId="9" xfId="0" applyNumberFormat="1" applyFont="1" applyFill="1" applyBorder="1" applyAlignment="1">
      <alignment horizontal="center" vertical="center"/>
    </xf>
    <xf numFmtId="0" fontId="2" fillId="5" borderId="9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indent="1"/>
    </xf>
    <xf numFmtId="0" fontId="2" fillId="2" borderId="11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4" fillId="2" borderId="13" xfId="0" applyFont="1" applyFill="1" applyBorder="1" applyAlignment="1">
      <alignment horizontal="left" vertical="center" indent="1"/>
    </xf>
    <xf numFmtId="2" fontId="2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/>
    <xf numFmtId="10" fontId="2" fillId="2" borderId="14" xfId="0" applyNumberFormat="1" applyFont="1" applyFill="1" applyBorder="1" applyAlignment="1">
      <alignment horizontal="center" vertical="center"/>
    </xf>
    <xf numFmtId="44" fontId="2" fillId="2" borderId="14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indent="1"/>
    </xf>
    <xf numFmtId="0" fontId="3" fillId="2" borderId="17" xfId="0" applyFont="1" applyFill="1" applyBorder="1"/>
    <xf numFmtId="8" fontId="2" fillId="2" borderId="14" xfId="0" applyNumberFormat="1" applyFont="1" applyFill="1" applyBorder="1" applyAlignment="1">
      <alignment horizontal="center" vertical="center"/>
    </xf>
    <xf numFmtId="164" fontId="2" fillId="5" borderId="9" xfId="1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inden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martplanilhas.com.br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martplanilhas.com.br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martplanilhas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1036320</xdr:colOff>
      <xdr:row>1</xdr:row>
      <xdr:rowOff>181270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8D56AD2-0204-460B-ADF9-9F147E5E5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83080" cy="364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1036320</xdr:colOff>
      <xdr:row>1</xdr:row>
      <xdr:rowOff>181270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FDFB98F-EA02-4EA2-90D0-08438CD60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83080" cy="364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1036320</xdr:colOff>
      <xdr:row>1</xdr:row>
      <xdr:rowOff>181270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2949A0C-170F-4292-A37E-9C7A99DE3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83080" cy="36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AC111"/>
  <sheetViews>
    <sheetView workbookViewId="0">
      <pane ySplit="2" topLeftCell="A29" activePane="bottomLeft" state="frozen"/>
      <selection pane="bottomLeft" activeCell="C6" sqref="C6:M40"/>
    </sheetView>
  </sheetViews>
  <sheetFormatPr defaultColWidth="0" defaultRowHeight="15" zeroHeight="1" x14ac:dyDescent="0.25"/>
  <cols>
    <col min="1" max="1" width="4.85546875" customWidth="1"/>
    <col min="2" max="3" width="3" customWidth="1"/>
    <col min="4" max="4" width="18.28515625" customWidth="1"/>
    <col min="5" max="5" width="11.7109375" customWidth="1"/>
    <col min="6" max="6" width="8.85546875" customWidth="1"/>
    <col min="7" max="7" width="18.42578125" customWidth="1"/>
    <col min="8" max="8" width="11.42578125" customWidth="1"/>
    <col min="9" max="9" width="4.5703125" customWidth="1"/>
    <col min="10" max="10" width="8.85546875" customWidth="1"/>
    <col min="11" max="11" width="13.28515625" customWidth="1"/>
    <col min="12" max="12" width="15" customWidth="1"/>
    <col min="13" max="29" width="8.85546875" customWidth="1"/>
    <col min="30" max="16384" width="8.85546875" hidden="1"/>
  </cols>
  <sheetData>
    <row r="1" spans="1:2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1" customHeight="1" x14ac:dyDescent="0.25">
      <c r="A6" s="1"/>
      <c r="B6" s="1"/>
      <c r="C6" s="54" t="s">
        <v>3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1"/>
      <c r="B7" s="1"/>
      <c r="C7" s="6"/>
      <c r="D7" s="16"/>
      <c r="E7" s="7"/>
      <c r="F7" s="7"/>
      <c r="G7" s="7"/>
      <c r="H7" s="7"/>
      <c r="I7" s="7"/>
      <c r="J7" s="7"/>
      <c r="K7" s="7"/>
      <c r="L7" s="7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6.899999999999999" customHeight="1" x14ac:dyDescent="0.25">
      <c r="A8" s="1"/>
      <c r="B8" s="1"/>
      <c r="C8" s="9"/>
      <c r="D8" s="29" t="str">
        <f>"Quanto é "&amp;TEXT(E10,"0%")&amp;" de "&amp;H10&amp;"?"</f>
        <v>Quanto é 25% de 250?</v>
      </c>
      <c r="E8" s="19"/>
      <c r="F8" s="19"/>
      <c r="G8" s="19"/>
      <c r="H8" s="19"/>
      <c r="I8" s="3"/>
      <c r="J8" s="3"/>
      <c r="K8" s="3"/>
      <c r="L8" s="3"/>
      <c r="M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9" customHeight="1" x14ac:dyDescent="0.25">
      <c r="A9" s="1"/>
      <c r="B9" s="1"/>
      <c r="C9" s="9"/>
      <c r="D9" s="5"/>
      <c r="E9" s="3"/>
      <c r="F9" s="3"/>
      <c r="G9" s="3"/>
      <c r="H9" s="3"/>
      <c r="I9" s="3"/>
      <c r="J9" s="3"/>
      <c r="K9" s="3"/>
      <c r="L9" s="3"/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/>
      <c r="B10" s="1"/>
      <c r="C10" s="11"/>
      <c r="D10" s="28" t="s">
        <v>0</v>
      </c>
      <c r="E10" s="18">
        <v>0.25</v>
      </c>
      <c r="F10" s="5"/>
      <c r="G10" s="28" t="s">
        <v>0</v>
      </c>
      <c r="H10" s="4">
        <v>250</v>
      </c>
      <c r="I10" s="5"/>
      <c r="J10" s="3"/>
      <c r="K10" s="5"/>
      <c r="L10" s="5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1"/>
      <c r="C11" s="11"/>
      <c r="D11" s="3"/>
      <c r="E11" s="3"/>
      <c r="F11" s="3"/>
      <c r="G11" s="3"/>
      <c r="H11" s="3"/>
      <c r="I11" s="3"/>
      <c r="J11" s="3"/>
      <c r="K11" s="3"/>
      <c r="L11" s="3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s="26" customFormat="1" ht="26.45" customHeight="1" x14ac:dyDescent="0.3">
      <c r="A12" s="20"/>
      <c r="B12" s="20"/>
      <c r="C12" s="21"/>
      <c r="D12" s="27" t="s">
        <v>18</v>
      </c>
      <c r="E12" s="17">
        <f>H10*E10</f>
        <v>62.5</v>
      </c>
      <c r="F12" s="22"/>
      <c r="G12" s="3"/>
      <c r="H12" s="3"/>
      <c r="I12" s="23"/>
      <c r="J12" s="24"/>
      <c r="K12" s="23"/>
      <c r="L12" s="23"/>
      <c r="M12" s="25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x14ac:dyDescent="0.25">
      <c r="A13" s="1"/>
      <c r="B13" s="1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0.45" customHeight="1" x14ac:dyDescent="0.25">
      <c r="A15" s="1"/>
      <c r="B15" s="1"/>
      <c r="C15" s="54" t="s">
        <v>6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1"/>
      <c r="C16" s="6"/>
      <c r="D16" s="16"/>
      <c r="E16" s="7"/>
      <c r="F16" s="7"/>
      <c r="G16" s="7"/>
      <c r="H16" s="7"/>
      <c r="I16" s="7"/>
      <c r="J16" s="7"/>
      <c r="K16" s="7"/>
      <c r="L16" s="7"/>
      <c r="M16" s="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1"/>
      <c r="C17" s="9"/>
      <c r="D17" s="29" t="str">
        <f>"O valor "&amp;E19&amp;" representa quantos porcento de "&amp;H19&amp;"?"</f>
        <v>O valor 100 representa quantos porcento de 400?</v>
      </c>
      <c r="E17" s="19"/>
      <c r="F17" s="19"/>
      <c r="G17" s="19"/>
      <c r="H17" s="19"/>
      <c r="I17" s="3"/>
      <c r="J17" s="3"/>
      <c r="K17" s="3"/>
      <c r="L17" s="3"/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1"/>
      <c r="C18" s="9"/>
      <c r="D18" s="5"/>
      <c r="E18" s="3"/>
      <c r="F18" s="3"/>
      <c r="G18" s="3"/>
      <c r="H18" s="3"/>
      <c r="I18" s="3"/>
      <c r="J18" s="3"/>
      <c r="K18" s="3"/>
      <c r="L18" s="3"/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1"/>
      <c r="C19" s="11"/>
      <c r="D19" s="28" t="s">
        <v>1</v>
      </c>
      <c r="E19" s="4">
        <v>100</v>
      </c>
      <c r="F19" s="5"/>
      <c r="G19" s="28" t="s">
        <v>2</v>
      </c>
      <c r="H19" s="4">
        <v>400</v>
      </c>
      <c r="I19" s="5"/>
      <c r="J19" s="3"/>
      <c r="K19" s="5"/>
      <c r="L19" s="5"/>
      <c r="M19" s="1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1"/>
      <c r="C20" s="11"/>
      <c r="D20" s="3"/>
      <c r="E20" s="3"/>
      <c r="F20" s="3"/>
      <c r="G20" s="3"/>
      <c r="H20" s="3"/>
      <c r="I20" s="3"/>
      <c r="J20" s="3"/>
      <c r="K20" s="3"/>
      <c r="L20" s="3"/>
      <c r="M20" s="1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8.75" x14ac:dyDescent="0.3">
      <c r="A21" s="1"/>
      <c r="B21" s="1"/>
      <c r="C21" s="21"/>
      <c r="D21" s="27" t="s">
        <v>18</v>
      </c>
      <c r="E21" s="30">
        <f>E19/H19</f>
        <v>0.25</v>
      </c>
      <c r="F21" s="22"/>
      <c r="G21" s="3"/>
      <c r="H21" s="3"/>
      <c r="I21" s="23"/>
      <c r="J21" s="24"/>
      <c r="K21" s="23"/>
      <c r="L21" s="23"/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1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0.45" customHeight="1" x14ac:dyDescent="0.25">
      <c r="A24" s="1"/>
      <c r="B24" s="1"/>
      <c r="C24" s="54" t="s">
        <v>7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1"/>
      <c r="C25" s="6"/>
      <c r="D25" s="16"/>
      <c r="E25" s="7"/>
      <c r="F25" s="7"/>
      <c r="G25" s="7"/>
      <c r="H25" s="7"/>
      <c r="I25" s="7"/>
      <c r="J25" s="7"/>
      <c r="K25" s="7"/>
      <c r="L25" s="7"/>
      <c r="M25" s="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1"/>
      <c r="C26" s="9"/>
      <c r="D26" s="29" t="str">
        <f>"O valor "&amp;E28&amp;" teve um aumente de "&amp;TEXT(H28,"0%")</f>
        <v>O valor 850 teve um aumente de 30%</v>
      </c>
      <c r="E26" s="19"/>
      <c r="F26" s="19"/>
      <c r="G26" s="19"/>
      <c r="H26" s="19"/>
      <c r="I26" s="3"/>
      <c r="J26" s="3"/>
      <c r="K26" s="3"/>
      <c r="L26" s="3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1"/>
      <c r="C27" s="9"/>
      <c r="D27" s="5"/>
      <c r="E27" s="3"/>
      <c r="F27" s="3"/>
      <c r="G27" s="3"/>
      <c r="H27" s="3"/>
      <c r="I27" s="3"/>
      <c r="J27" s="3"/>
      <c r="K27" s="3"/>
      <c r="L27" s="3"/>
      <c r="M27" s="1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1"/>
      <c r="C28" s="11"/>
      <c r="D28" s="28" t="s">
        <v>4</v>
      </c>
      <c r="E28" s="4">
        <v>850</v>
      </c>
      <c r="F28" s="5"/>
      <c r="G28" s="28" t="s">
        <v>5</v>
      </c>
      <c r="H28" s="18">
        <v>0.3</v>
      </c>
      <c r="I28" s="5"/>
      <c r="J28" s="3"/>
      <c r="K28" s="5"/>
      <c r="L28" s="5"/>
      <c r="M28" s="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1"/>
      <c r="C29" s="11"/>
      <c r="D29" s="3"/>
      <c r="E29" s="3"/>
      <c r="F29" s="3"/>
      <c r="G29" s="3"/>
      <c r="H29" s="3"/>
      <c r="I29" s="3"/>
      <c r="J29" s="3"/>
      <c r="K29" s="3"/>
      <c r="L29" s="3"/>
      <c r="M29" s="1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8.75" x14ac:dyDescent="0.3">
      <c r="A30" s="1"/>
      <c r="B30" s="1"/>
      <c r="C30" s="21"/>
      <c r="D30" s="27" t="s">
        <v>18</v>
      </c>
      <c r="E30" s="31">
        <f>E28*(1+H28)</f>
        <v>1105</v>
      </c>
      <c r="F30" s="22"/>
      <c r="G30" s="3"/>
      <c r="H30" s="3"/>
      <c r="I30" s="23"/>
      <c r="J30" s="24"/>
      <c r="K30" s="23"/>
      <c r="L30" s="23"/>
      <c r="M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1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20.45" customHeight="1" x14ac:dyDescent="0.25">
      <c r="A33" s="1"/>
      <c r="B33" s="1"/>
      <c r="C33" s="54" t="s">
        <v>8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1"/>
      <c r="C34" s="6"/>
      <c r="D34" s="16"/>
      <c r="E34" s="7"/>
      <c r="F34" s="7"/>
      <c r="G34" s="7"/>
      <c r="H34" s="7"/>
      <c r="I34" s="7"/>
      <c r="J34" s="7"/>
      <c r="K34" s="7"/>
      <c r="L34" s="7"/>
      <c r="M34" s="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1"/>
      <c r="C35" s="9"/>
      <c r="D35" s="29" t="str">
        <f>"O valor "&amp;E37&amp;" teve uma redução de "&amp;TEXT(H37,"0%")</f>
        <v>O valor 850 teve uma redução de 10%</v>
      </c>
      <c r="E35" s="19"/>
      <c r="F35" s="19"/>
      <c r="G35" s="19"/>
      <c r="H35" s="19"/>
      <c r="I35" s="3"/>
      <c r="J35" s="3"/>
      <c r="K35" s="3"/>
      <c r="L35" s="3"/>
      <c r="M35" s="1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1"/>
      <c r="C36" s="9"/>
      <c r="D36" s="5"/>
      <c r="E36" s="3"/>
      <c r="F36" s="3"/>
      <c r="G36" s="3"/>
      <c r="H36" s="3"/>
      <c r="I36" s="3"/>
      <c r="J36" s="3"/>
      <c r="K36" s="3"/>
      <c r="L36" s="3"/>
      <c r="M36" s="1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1"/>
      <c r="C37" s="11"/>
      <c r="D37" s="28" t="s">
        <v>4</v>
      </c>
      <c r="E37" s="4">
        <v>850</v>
      </c>
      <c r="F37" s="5"/>
      <c r="G37" s="28" t="s">
        <v>5</v>
      </c>
      <c r="H37" s="18">
        <v>0.1</v>
      </c>
      <c r="I37" s="5"/>
      <c r="J37" s="3"/>
      <c r="K37" s="5"/>
      <c r="L37" s="5"/>
      <c r="M37" s="1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/>
      <c r="B38" s="1"/>
      <c r="C38" s="11"/>
      <c r="D38" s="3"/>
      <c r="E38" s="3"/>
      <c r="F38" s="3"/>
      <c r="G38" s="3"/>
      <c r="H38" s="3"/>
      <c r="I38" s="3"/>
      <c r="J38" s="3"/>
      <c r="K38" s="3"/>
      <c r="L38" s="3"/>
      <c r="M38" s="1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8.75" x14ac:dyDescent="0.3">
      <c r="A39" s="1"/>
      <c r="B39" s="1"/>
      <c r="C39" s="21"/>
      <c r="D39" s="27" t="s">
        <v>18</v>
      </c>
      <c r="E39" s="31">
        <f>E37*(1-H37)</f>
        <v>765</v>
      </c>
      <c r="F39" s="22"/>
      <c r="G39" s="3"/>
      <c r="H39" s="3"/>
      <c r="I39" s="23"/>
      <c r="J39" s="24"/>
      <c r="K39" s="23"/>
      <c r="L39" s="23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/>
      <c r="B40" s="1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idden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idden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idden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idden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idden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idden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idden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idden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idden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idden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idden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idden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idden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idden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idden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idden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idden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idden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idden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idden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idden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idden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idden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idden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idden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idden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idden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idden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idden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idden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idden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idden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idden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idden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idden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idden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idden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idden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idden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idden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idden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idden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idden="1" x14ac:dyDescent="0.25"/>
    <row r="96" spans="1:29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</sheetData>
  <mergeCells count="4">
    <mergeCell ref="C6:M6"/>
    <mergeCell ref="C24:M24"/>
    <mergeCell ref="C15:M15"/>
    <mergeCell ref="C33:M33"/>
  </mergeCells>
  <pageMargins left="0.511811024" right="0.511811024" top="0.78740157499999996" bottom="0.78740157499999996" header="0.31496062000000002" footer="0.31496062000000002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7"/>
  <sheetViews>
    <sheetView tabSelected="1" workbookViewId="0">
      <pane ySplit="2" topLeftCell="A45" activePane="bottomLeft" state="frozen"/>
      <selection pane="bottomLeft" activeCell="F47" sqref="F47"/>
    </sheetView>
  </sheetViews>
  <sheetFormatPr defaultColWidth="0" defaultRowHeight="15" zeroHeight="1" x14ac:dyDescent="0.25"/>
  <cols>
    <col min="1" max="1" width="4.85546875" customWidth="1"/>
    <col min="2" max="3" width="3" customWidth="1"/>
    <col min="4" max="4" width="18.28515625" customWidth="1"/>
    <col min="5" max="5" width="14.28515625" customWidth="1"/>
    <col min="6" max="6" width="8.85546875" customWidth="1"/>
    <col min="7" max="7" width="18.42578125" customWidth="1"/>
    <col min="8" max="8" width="11.42578125" customWidth="1"/>
    <col min="9" max="9" width="4.5703125" customWidth="1"/>
    <col min="10" max="10" width="8.85546875" customWidth="1"/>
    <col min="11" max="11" width="13.28515625" customWidth="1"/>
    <col min="12" max="12" width="15" customWidth="1"/>
    <col min="13" max="29" width="8.85546875" customWidth="1"/>
    <col min="30" max="16384" width="8.85546875" hidden="1"/>
  </cols>
  <sheetData>
    <row r="1" spans="1:2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1" customHeight="1" x14ac:dyDescent="0.25">
      <c r="A6" s="1"/>
      <c r="B6" s="1"/>
      <c r="C6" s="54" t="s">
        <v>15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1"/>
      <c r="B7" s="1"/>
      <c r="C7" s="6"/>
      <c r="D7" s="16"/>
      <c r="E7" s="7"/>
      <c r="F7" s="7"/>
      <c r="G7" s="7"/>
      <c r="H7" s="7"/>
      <c r="I7" s="7"/>
      <c r="J7" s="7"/>
      <c r="K7" s="7"/>
      <c r="L7" s="7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9" customHeight="1" x14ac:dyDescent="0.25">
      <c r="A8" s="1"/>
      <c r="B8" s="1"/>
      <c r="C8" s="9"/>
      <c r="D8" s="5"/>
      <c r="E8" s="3"/>
      <c r="F8" s="3"/>
      <c r="G8" s="3"/>
      <c r="H8" s="3"/>
      <c r="I8" s="3"/>
      <c r="J8" s="3"/>
      <c r="K8" s="3"/>
      <c r="L8" s="3"/>
      <c r="M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"/>
      <c r="B9" s="1"/>
      <c r="C9" s="11"/>
      <c r="D9" s="28" t="s">
        <v>9</v>
      </c>
      <c r="E9" s="32">
        <v>1000</v>
      </c>
      <c r="F9" s="5"/>
      <c r="G9" s="28" t="s">
        <v>10</v>
      </c>
      <c r="H9" s="33">
        <v>0.1</v>
      </c>
      <c r="I9" s="5"/>
      <c r="J9" s="3"/>
      <c r="K9" s="28" t="s">
        <v>11</v>
      </c>
      <c r="L9" s="34">
        <v>5</v>
      </c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/>
      <c r="B10" s="1"/>
      <c r="C10" s="11"/>
      <c r="D10" s="3"/>
      <c r="E10" s="3"/>
      <c r="F10" s="3"/>
      <c r="G10" s="3"/>
      <c r="H10" s="3"/>
      <c r="I10" s="3"/>
      <c r="J10" s="3"/>
      <c r="K10" s="3"/>
      <c r="L10" s="3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1"/>
      <c r="C11" s="11"/>
      <c r="D11" s="3"/>
      <c r="E11" s="3"/>
      <c r="F11" s="3"/>
      <c r="G11" s="3"/>
      <c r="H11" s="3"/>
      <c r="I11" s="3"/>
      <c r="J11" s="3"/>
      <c r="K11" s="3"/>
      <c r="L11" s="3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s="26" customFormat="1" ht="26.45" customHeight="1" x14ac:dyDescent="0.3">
      <c r="A12" s="20"/>
      <c r="B12" s="20"/>
      <c r="C12" s="21"/>
      <c r="D12" s="27" t="s">
        <v>18</v>
      </c>
      <c r="E12" s="17"/>
      <c r="F12" s="22"/>
      <c r="G12" s="3"/>
      <c r="H12" s="3"/>
      <c r="I12" s="23"/>
      <c r="J12" s="24"/>
      <c r="K12" s="23"/>
      <c r="L12" s="23"/>
      <c r="M12" s="25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6" customFormat="1" ht="26.45" customHeight="1" x14ac:dyDescent="0.3">
      <c r="A13" s="20"/>
      <c r="B13" s="20"/>
      <c r="C13" s="21"/>
      <c r="D13" s="27" t="s">
        <v>12</v>
      </c>
      <c r="E13" s="35">
        <f>E9*(1+(H9*L9))</f>
        <v>1500</v>
      </c>
      <c r="F13" s="22"/>
      <c r="G13" s="3"/>
      <c r="H13" s="3"/>
      <c r="I13" s="23"/>
      <c r="J13" s="24"/>
      <c r="K13" s="23"/>
      <c r="L13" s="23"/>
      <c r="M13" s="25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s="26" customFormat="1" ht="26.45" customHeight="1" x14ac:dyDescent="0.3">
      <c r="A14" s="20"/>
      <c r="B14" s="20"/>
      <c r="C14" s="21"/>
      <c r="D14" s="27" t="s">
        <v>13</v>
      </c>
      <c r="E14" s="35">
        <f>E13-E9</f>
        <v>500</v>
      </c>
      <c r="F14" s="22"/>
      <c r="G14" s="3"/>
      <c r="H14" s="3"/>
      <c r="I14" s="23"/>
      <c r="J14" s="24"/>
      <c r="K14" s="23"/>
      <c r="L14" s="23"/>
      <c r="M14" s="25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s="26" customFormat="1" ht="26.45" customHeight="1" x14ac:dyDescent="0.3">
      <c r="A15" s="20"/>
      <c r="B15" s="20"/>
      <c r="C15" s="21"/>
      <c r="D15" s="27" t="s">
        <v>14</v>
      </c>
      <c r="E15" s="35">
        <f>E9*H9</f>
        <v>100</v>
      </c>
      <c r="F15" s="22"/>
      <c r="G15" s="3"/>
      <c r="H15" s="3"/>
      <c r="I15" s="23"/>
      <c r="J15" s="24"/>
      <c r="K15" s="23"/>
      <c r="L15" s="23"/>
      <c r="M15" s="25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x14ac:dyDescent="0.25">
      <c r="A16" s="1"/>
      <c r="B16" s="1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1"/>
      <c r="C18" s="54" t="s">
        <v>16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1"/>
      <c r="C19" s="6"/>
      <c r="D19" s="16"/>
      <c r="E19" s="7"/>
      <c r="F19" s="7"/>
      <c r="G19" s="7"/>
      <c r="H19" s="7"/>
      <c r="I19" s="7"/>
      <c r="J19" s="7"/>
      <c r="K19" s="7"/>
      <c r="L19" s="7"/>
      <c r="M19" s="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1"/>
      <c r="C20" s="9"/>
      <c r="D20" s="5"/>
      <c r="E20" s="3"/>
      <c r="F20" s="3"/>
      <c r="G20" s="3"/>
      <c r="H20" s="3"/>
      <c r="I20" s="3"/>
      <c r="J20" s="3"/>
      <c r="K20" s="3"/>
      <c r="L20" s="3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1"/>
      <c r="C21" s="11"/>
      <c r="D21" s="28" t="s">
        <v>17</v>
      </c>
      <c r="E21" s="32">
        <v>1000</v>
      </c>
      <c r="F21" s="5"/>
      <c r="G21" s="28" t="s">
        <v>10</v>
      </c>
      <c r="H21" s="33">
        <v>0.1</v>
      </c>
      <c r="I21" s="5"/>
      <c r="J21" s="3"/>
      <c r="K21" s="28" t="s">
        <v>11</v>
      </c>
      <c r="L21" s="34">
        <v>5</v>
      </c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1"/>
      <c r="C22" s="11"/>
      <c r="D22" s="3"/>
      <c r="E22" s="3"/>
      <c r="F22" s="3"/>
      <c r="G22" s="3"/>
      <c r="H22" s="3"/>
      <c r="I22" s="3"/>
      <c r="J22" s="3"/>
      <c r="K22" s="3"/>
      <c r="L22" s="3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8.75" x14ac:dyDescent="0.3">
      <c r="A23" s="1"/>
      <c r="B23" s="1"/>
      <c r="C23" s="11"/>
      <c r="D23" s="27" t="s">
        <v>18</v>
      </c>
      <c r="E23" s="17"/>
      <c r="F23" s="22"/>
      <c r="G23" s="3"/>
      <c r="H23" s="3"/>
      <c r="I23" s="3"/>
      <c r="J23" s="3"/>
      <c r="K23" s="3"/>
      <c r="L23" s="3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8.75" x14ac:dyDescent="0.3">
      <c r="A24" s="1"/>
      <c r="B24" s="1"/>
      <c r="C24" s="11"/>
      <c r="D24" s="27" t="s">
        <v>12</v>
      </c>
      <c r="E24" s="35">
        <f>E21*(1+(H21*L21))</f>
        <v>1500</v>
      </c>
      <c r="F24" s="22"/>
      <c r="G24" s="3"/>
      <c r="H24" s="3"/>
      <c r="I24" s="3"/>
      <c r="J24" s="3"/>
      <c r="K24" s="3"/>
      <c r="L24" s="3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1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1"/>
      <c r="C27" s="54" t="s">
        <v>19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1"/>
      <c r="C28" s="6"/>
      <c r="D28" s="16"/>
      <c r="E28" s="7"/>
      <c r="F28" s="7"/>
      <c r="G28" s="7"/>
      <c r="H28" s="7"/>
      <c r="I28" s="7"/>
      <c r="J28" s="7"/>
      <c r="K28" s="7"/>
      <c r="L28" s="7"/>
      <c r="M28" s="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1"/>
      <c r="C29" s="9"/>
      <c r="D29" s="5"/>
      <c r="E29" s="3"/>
      <c r="F29" s="3"/>
      <c r="G29" s="3"/>
      <c r="H29" s="3"/>
      <c r="I29" s="3"/>
      <c r="J29" s="3"/>
      <c r="K29" s="3"/>
      <c r="L29" s="3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1"/>
      <c r="C30" s="11"/>
      <c r="D30" s="28" t="s">
        <v>12</v>
      </c>
      <c r="E30" s="32">
        <v>2500</v>
      </c>
      <c r="F30" s="5"/>
      <c r="G30" s="28" t="s">
        <v>10</v>
      </c>
      <c r="H30" s="33">
        <v>0.12</v>
      </c>
      <c r="I30" s="5"/>
      <c r="J30" s="3"/>
      <c r="K30" s="28" t="s">
        <v>11</v>
      </c>
      <c r="L30" s="34">
        <v>60</v>
      </c>
      <c r="M30" s="1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1"/>
      <c r="C31" s="11"/>
      <c r="D31" s="3"/>
      <c r="E31" s="3"/>
      <c r="F31" s="3"/>
      <c r="G31" s="3"/>
      <c r="H31" s="3"/>
      <c r="I31" s="3"/>
      <c r="J31" s="3"/>
      <c r="K31" s="3"/>
      <c r="L31" s="3"/>
      <c r="M31" s="1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.75" x14ac:dyDescent="0.3">
      <c r="A32" s="1"/>
      <c r="B32" s="1"/>
      <c r="C32" s="11"/>
      <c r="D32" s="27" t="s">
        <v>18</v>
      </c>
      <c r="E32" s="17"/>
      <c r="F32" s="22"/>
      <c r="G32" s="3"/>
      <c r="H32" s="3"/>
      <c r="I32" s="3"/>
      <c r="J32" s="3"/>
      <c r="K32" s="3"/>
      <c r="L32" s="3"/>
      <c r="M32" s="1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.75" x14ac:dyDescent="0.3">
      <c r="A33" s="1"/>
      <c r="B33" s="1"/>
      <c r="C33" s="11"/>
      <c r="D33" s="27" t="s">
        <v>17</v>
      </c>
      <c r="E33" s="35">
        <f>E30/(1+(H30*L30))</f>
        <v>304.87804878048786</v>
      </c>
      <c r="F33" s="22"/>
      <c r="G33" s="3"/>
      <c r="H33" s="3"/>
      <c r="I33" s="3"/>
      <c r="J33" s="3"/>
      <c r="K33" s="3"/>
      <c r="L33" s="3"/>
      <c r="M33" s="1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1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1"/>
      <c r="C36" s="54" t="s">
        <v>20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1"/>
      <c r="C37" s="6"/>
      <c r="D37" s="16"/>
      <c r="E37" s="7"/>
      <c r="F37" s="7"/>
      <c r="G37" s="7"/>
      <c r="H37" s="7"/>
      <c r="I37" s="7"/>
      <c r="J37" s="7"/>
      <c r="K37" s="7"/>
      <c r="L37" s="7"/>
      <c r="M37" s="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/>
      <c r="B38" s="1"/>
      <c r="C38" s="9"/>
      <c r="D38" s="5"/>
      <c r="E38" s="3"/>
      <c r="F38" s="3"/>
      <c r="G38" s="3"/>
      <c r="H38" s="3"/>
      <c r="I38" s="3"/>
      <c r="J38" s="3"/>
      <c r="K38" s="3"/>
      <c r="L38" s="3"/>
      <c r="M38" s="1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"/>
      <c r="B39" s="1"/>
      <c r="C39" s="11"/>
      <c r="D39" s="28" t="s">
        <v>17</v>
      </c>
      <c r="E39" s="32">
        <v>1000</v>
      </c>
      <c r="F39" s="5"/>
      <c r="G39" s="28" t="s">
        <v>12</v>
      </c>
      <c r="H39" s="32">
        <v>1150</v>
      </c>
      <c r="I39" s="5"/>
      <c r="J39" s="3"/>
      <c r="K39" s="28" t="s">
        <v>11</v>
      </c>
      <c r="L39" s="34">
        <v>3</v>
      </c>
      <c r="M39" s="1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/>
      <c r="B40" s="1"/>
      <c r="C40" s="11"/>
      <c r="D40" s="3"/>
      <c r="E40" s="3"/>
      <c r="F40" s="3"/>
      <c r="G40" s="3"/>
      <c r="H40" s="3"/>
      <c r="I40" s="3"/>
      <c r="J40" s="3"/>
      <c r="K40" s="3"/>
      <c r="L40" s="3"/>
      <c r="M40" s="1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8.75" x14ac:dyDescent="0.3">
      <c r="A41" s="1"/>
      <c r="B41" s="1"/>
      <c r="C41" s="11"/>
      <c r="D41" s="27" t="s">
        <v>18</v>
      </c>
      <c r="E41" s="17"/>
      <c r="F41" s="22"/>
      <c r="G41" s="3"/>
      <c r="H41" s="3"/>
      <c r="I41" s="3"/>
      <c r="J41" s="3"/>
      <c r="K41" s="3"/>
      <c r="L41" s="3"/>
      <c r="M41" s="1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8.75" x14ac:dyDescent="0.3">
      <c r="A42" s="1"/>
      <c r="B42" s="1"/>
      <c r="C42" s="11"/>
      <c r="D42" s="27" t="s">
        <v>10</v>
      </c>
      <c r="E42" s="36">
        <f>(H39-E39)/(L39*1000)</f>
        <v>0.05</v>
      </c>
      <c r="F42" s="22"/>
      <c r="G42" s="3"/>
      <c r="H42" s="3"/>
      <c r="I42" s="3"/>
      <c r="J42" s="3"/>
      <c r="K42" s="3"/>
      <c r="L42" s="3"/>
      <c r="M42" s="1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1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1"/>
      <c r="C45" s="54" t="s">
        <v>21</v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1"/>
      <c r="C46" s="6"/>
      <c r="D46" s="16"/>
      <c r="E46" s="7"/>
      <c r="F46" s="7"/>
      <c r="G46" s="7"/>
      <c r="H46" s="7"/>
      <c r="I46" s="7"/>
      <c r="J46" s="7"/>
      <c r="K46" s="7"/>
      <c r="L46" s="7"/>
      <c r="M46" s="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1"/>
      <c r="C47" s="9"/>
      <c r="D47" s="5"/>
      <c r="E47" s="3"/>
      <c r="F47" s="3"/>
      <c r="G47" s="3"/>
      <c r="H47" s="3"/>
      <c r="I47" s="3"/>
      <c r="J47" s="3"/>
      <c r="K47" s="3"/>
      <c r="L47" s="3"/>
      <c r="M47" s="1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1"/>
      <c r="C48" s="11"/>
      <c r="D48" s="28" t="s">
        <v>17</v>
      </c>
      <c r="E48" s="32">
        <v>1000</v>
      </c>
      <c r="F48" s="5"/>
      <c r="G48" s="28" t="s">
        <v>12</v>
      </c>
      <c r="H48" s="32">
        <v>1157.6300000000001</v>
      </c>
      <c r="I48" s="5"/>
      <c r="J48" s="3"/>
      <c r="K48" s="28" t="s">
        <v>10</v>
      </c>
      <c r="L48" s="33">
        <v>0.05</v>
      </c>
      <c r="M48" s="1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1"/>
      <c r="C49" s="11"/>
      <c r="D49" s="3"/>
      <c r="E49" s="3"/>
      <c r="F49" s="3"/>
      <c r="G49" s="3"/>
      <c r="H49" s="3"/>
      <c r="I49" s="3"/>
      <c r="J49" s="3"/>
      <c r="K49" s="3"/>
      <c r="L49" s="3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8.75" x14ac:dyDescent="0.3">
      <c r="A50" s="1"/>
      <c r="B50" s="1"/>
      <c r="C50" s="11"/>
      <c r="D50" s="27" t="s">
        <v>18</v>
      </c>
      <c r="E50" s="17"/>
      <c r="F50" s="22"/>
      <c r="G50" s="3"/>
      <c r="H50" s="3"/>
      <c r="I50" s="3"/>
      <c r="J50" s="3"/>
      <c r="K50" s="3"/>
      <c r="L50" s="3"/>
      <c r="M50" s="1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8.75" x14ac:dyDescent="0.3">
      <c r="A51" s="1"/>
      <c r="B51" s="1"/>
      <c r="C51" s="11"/>
      <c r="D51" s="27" t="s">
        <v>11</v>
      </c>
      <c r="E51" s="37">
        <f>(H48-E48)/(1000*L48)</f>
        <v>3.1526000000000023</v>
      </c>
      <c r="F51" s="22"/>
      <c r="G51" s="3"/>
      <c r="H51" s="3"/>
      <c r="I51" s="3"/>
      <c r="J51" s="3"/>
      <c r="K51" s="3"/>
      <c r="L51" s="3"/>
      <c r="M51" s="1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1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idden="1" x14ac:dyDescent="0.25"/>
    <row r="68" spans="1:29" hidden="1" x14ac:dyDescent="0.25"/>
    <row r="69" spans="1:29" hidden="1" x14ac:dyDescent="0.25"/>
    <row r="70" spans="1:29" hidden="1" x14ac:dyDescent="0.25"/>
    <row r="71" spans="1:29" hidden="1" x14ac:dyDescent="0.25"/>
    <row r="72" spans="1:29" hidden="1" x14ac:dyDescent="0.25"/>
    <row r="73" spans="1:29" hidden="1" x14ac:dyDescent="0.25"/>
    <row r="74" spans="1:29" hidden="1" x14ac:dyDescent="0.25"/>
    <row r="75" spans="1:29" hidden="1" x14ac:dyDescent="0.25"/>
    <row r="76" spans="1:29" hidden="1" x14ac:dyDescent="0.25"/>
    <row r="77" spans="1:29" hidden="1" x14ac:dyDescent="0.25"/>
    <row r="78" spans="1:29" hidden="1" x14ac:dyDescent="0.25"/>
    <row r="79" spans="1:29" hidden="1" x14ac:dyDescent="0.25"/>
    <row r="80" spans="1:29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</sheetData>
  <mergeCells count="5">
    <mergeCell ref="C36:M36"/>
    <mergeCell ref="C45:M45"/>
    <mergeCell ref="C6:M6"/>
    <mergeCell ref="C18:M18"/>
    <mergeCell ref="C27:M27"/>
  </mergeCells>
  <pageMargins left="0.511811024" right="0.511811024" top="0.78740157499999996" bottom="0.78740157499999996" header="0.31496062000000002" footer="0.31496062000000002"/>
  <pageSetup paperSize="0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7"/>
  <sheetViews>
    <sheetView workbookViewId="0">
      <pane ySplit="2" topLeftCell="A44" activePane="bottomLeft" state="frozen"/>
      <selection pane="bottomLeft" activeCell="C6" sqref="C6:M51"/>
    </sheetView>
  </sheetViews>
  <sheetFormatPr defaultColWidth="0" defaultRowHeight="14.45" customHeight="1" zeroHeight="1" x14ac:dyDescent="0.25"/>
  <cols>
    <col min="1" max="1" width="4.85546875" customWidth="1"/>
    <col min="2" max="3" width="3" customWidth="1"/>
    <col min="4" max="4" width="18.28515625" customWidth="1"/>
    <col min="5" max="5" width="14.28515625" customWidth="1"/>
    <col min="6" max="6" width="8.85546875" customWidth="1"/>
    <col min="7" max="7" width="18.42578125" customWidth="1"/>
    <col min="8" max="8" width="13.7109375" customWidth="1"/>
    <col min="9" max="9" width="4.5703125" customWidth="1"/>
    <col min="10" max="10" width="8.85546875" customWidth="1"/>
    <col min="11" max="11" width="16.140625" customWidth="1"/>
    <col min="12" max="12" width="15" customWidth="1"/>
    <col min="13" max="29" width="8.85546875" customWidth="1"/>
    <col min="30" max="16384" width="8.85546875" hidden="1"/>
  </cols>
  <sheetData>
    <row r="1" spans="1:29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1" customHeight="1" x14ac:dyDescent="0.25">
      <c r="A6" s="1"/>
      <c r="B6" s="1"/>
      <c r="C6" s="54" t="s">
        <v>22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" x14ac:dyDescent="0.25">
      <c r="A7" s="1"/>
      <c r="B7" s="1"/>
      <c r="C7" s="6"/>
      <c r="D7" s="16"/>
      <c r="E7" s="7"/>
      <c r="F7" s="7"/>
      <c r="G7" s="7"/>
      <c r="H7" s="7"/>
      <c r="I7" s="7"/>
      <c r="J7" s="7"/>
      <c r="K7" s="7"/>
      <c r="L7" s="7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9" customHeight="1" x14ac:dyDescent="0.25">
      <c r="A8" s="1"/>
      <c r="B8" s="1"/>
      <c r="C8" s="9"/>
      <c r="D8" s="5"/>
      <c r="E8" s="3"/>
      <c r="F8" s="3"/>
      <c r="G8" s="3"/>
      <c r="H8" s="3"/>
      <c r="I8" s="3"/>
      <c r="J8" s="3"/>
      <c r="K8" s="3"/>
      <c r="L8" s="3"/>
      <c r="M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" x14ac:dyDescent="0.25">
      <c r="A9" s="1"/>
      <c r="B9" s="1"/>
      <c r="C9" s="11"/>
      <c r="D9" s="38" t="s">
        <v>9</v>
      </c>
      <c r="E9" s="39">
        <v>1000</v>
      </c>
      <c r="F9" s="5"/>
      <c r="G9" s="38" t="s">
        <v>10</v>
      </c>
      <c r="H9" s="40">
        <v>0.12</v>
      </c>
      <c r="I9" s="5"/>
      <c r="J9" s="3"/>
      <c r="K9" s="38" t="s">
        <v>27</v>
      </c>
      <c r="L9" s="41">
        <v>5</v>
      </c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" x14ac:dyDescent="0.25">
      <c r="A10" s="1"/>
      <c r="B10" s="1"/>
      <c r="C10" s="11"/>
      <c r="D10" s="3"/>
      <c r="E10" s="3"/>
      <c r="F10" s="3"/>
      <c r="G10" s="3"/>
      <c r="H10" s="3"/>
      <c r="I10" s="3"/>
      <c r="J10" s="3"/>
      <c r="K10" s="3"/>
      <c r="L10" s="3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x14ac:dyDescent="0.25">
      <c r="A11" s="1"/>
      <c r="B11" s="1"/>
      <c r="C11" s="11"/>
      <c r="D11" s="3"/>
      <c r="E11" s="3"/>
      <c r="F11" s="3"/>
      <c r="G11" s="3"/>
      <c r="H11" s="3"/>
      <c r="I11" s="3"/>
      <c r="J11" s="3"/>
      <c r="K11" s="3"/>
      <c r="L11" s="3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s="26" customFormat="1" ht="26.45" customHeight="1" x14ac:dyDescent="0.3">
      <c r="A12" s="20"/>
      <c r="B12" s="20"/>
      <c r="C12" s="21"/>
      <c r="D12" s="42" t="s">
        <v>18</v>
      </c>
      <c r="E12" s="43"/>
      <c r="F12" s="44"/>
      <c r="G12" s="3"/>
      <c r="H12" s="3"/>
      <c r="I12" s="23"/>
      <c r="J12" s="24"/>
      <c r="K12" s="23"/>
      <c r="L12" s="23"/>
      <c r="M12" s="25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6" customFormat="1" ht="26.45" customHeight="1" x14ac:dyDescent="0.3">
      <c r="A13" s="20"/>
      <c r="B13" s="20"/>
      <c r="C13" s="21"/>
      <c r="D13" s="50" t="s">
        <v>12</v>
      </c>
      <c r="E13" s="35">
        <f>E9*(1+H9)^L9</f>
        <v>1762.3416832000005</v>
      </c>
      <c r="F13" s="51"/>
      <c r="G13" s="3"/>
      <c r="H13" s="3"/>
      <c r="I13" s="23"/>
      <c r="J13" s="24"/>
      <c r="K13" s="23"/>
      <c r="L13" s="23"/>
      <c r="M13" s="25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s="26" customFormat="1" ht="26.45" customHeight="1" x14ac:dyDescent="0.3">
      <c r="A14" s="20"/>
      <c r="B14" s="20"/>
      <c r="C14" s="21"/>
      <c r="D14" s="45" t="s">
        <v>13</v>
      </c>
      <c r="E14" s="49">
        <f>E13-E9</f>
        <v>762.34168320000049</v>
      </c>
      <c r="F14" s="47"/>
      <c r="G14" s="3"/>
      <c r="H14" s="3"/>
      <c r="I14" s="23"/>
      <c r="J14" s="24"/>
      <c r="K14" s="23"/>
      <c r="L14" s="23"/>
      <c r="M14" s="25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5" x14ac:dyDescent="0.25">
      <c r="A15" s="1"/>
      <c r="B15" s="1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" x14ac:dyDescent="0.25">
      <c r="A17" s="1"/>
      <c r="B17" s="1"/>
      <c r="C17" s="54" t="s">
        <v>23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" x14ac:dyDescent="0.25">
      <c r="A18" s="1"/>
      <c r="B18" s="1"/>
      <c r="C18" s="6"/>
      <c r="D18" s="16"/>
      <c r="E18" s="7"/>
      <c r="F18" s="7"/>
      <c r="G18" s="7"/>
      <c r="H18" s="7"/>
      <c r="I18" s="7"/>
      <c r="J18" s="7"/>
      <c r="K18" s="7"/>
      <c r="L18" s="7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x14ac:dyDescent="0.25">
      <c r="A19" s="1"/>
      <c r="B19" s="1"/>
      <c r="C19" s="9"/>
      <c r="D19" s="5"/>
      <c r="E19" s="3"/>
      <c r="F19" s="3"/>
      <c r="G19" s="3"/>
      <c r="H19" s="3"/>
      <c r="I19" s="3"/>
      <c r="J19" s="3"/>
      <c r="K19" s="3"/>
      <c r="L19" s="3"/>
      <c r="M19" s="1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" x14ac:dyDescent="0.25">
      <c r="A20" s="1"/>
      <c r="B20" s="1"/>
      <c r="C20" s="11"/>
      <c r="D20" s="38" t="s">
        <v>17</v>
      </c>
      <c r="E20" s="39">
        <v>3500</v>
      </c>
      <c r="F20" s="5"/>
      <c r="G20" s="38" t="s">
        <v>10</v>
      </c>
      <c r="H20" s="40">
        <v>0.05</v>
      </c>
      <c r="I20" s="5"/>
      <c r="J20" s="3"/>
      <c r="K20" s="38" t="s">
        <v>27</v>
      </c>
      <c r="L20" s="41">
        <v>3</v>
      </c>
      <c r="M20" s="1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" x14ac:dyDescent="0.25">
      <c r="A21" s="1"/>
      <c r="B21" s="1"/>
      <c r="C21" s="11"/>
      <c r="D21" s="3"/>
      <c r="E21" s="3"/>
      <c r="F21" s="3"/>
      <c r="G21" s="3"/>
      <c r="H21" s="3"/>
      <c r="I21" s="3"/>
      <c r="J21" s="3"/>
      <c r="K21" s="3"/>
      <c r="L21" s="3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8.75" x14ac:dyDescent="0.3">
      <c r="A22" s="1"/>
      <c r="B22" s="1"/>
      <c r="C22" s="11"/>
      <c r="D22" s="42" t="s">
        <v>18</v>
      </c>
      <c r="E22" s="43"/>
      <c r="F22" s="44"/>
      <c r="G22" s="3"/>
      <c r="H22" s="3"/>
      <c r="I22" s="3"/>
      <c r="J22" s="3"/>
      <c r="K22" s="3"/>
      <c r="L22" s="3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8.75" x14ac:dyDescent="0.3">
      <c r="A23" s="1"/>
      <c r="B23" s="1"/>
      <c r="C23" s="11"/>
      <c r="D23" s="45" t="s">
        <v>12</v>
      </c>
      <c r="E23" s="52">
        <f>E20*POWER(1+H20,L20)</f>
        <v>4051.6875000000005</v>
      </c>
      <c r="F23" s="47"/>
      <c r="G23" s="3"/>
      <c r="H23" s="3"/>
      <c r="I23" s="3"/>
      <c r="J23" s="3"/>
      <c r="K23" s="3"/>
      <c r="L23" s="3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" x14ac:dyDescent="0.25">
      <c r="A24" s="1"/>
      <c r="B24" s="1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" x14ac:dyDescent="0.25">
      <c r="A26" s="1"/>
      <c r="B26" s="1"/>
      <c r="C26" s="54" t="s">
        <v>24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 x14ac:dyDescent="0.25">
      <c r="A27" s="1"/>
      <c r="B27" s="1"/>
      <c r="C27" s="6"/>
      <c r="D27" s="16"/>
      <c r="E27" s="7"/>
      <c r="F27" s="7"/>
      <c r="G27" s="7"/>
      <c r="H27" s="7"/>
      <c r="I27" s="7"/>
      <c r="J27" s="7"/>
      <c r="K27" s="7"/>
      <c r="L27" s="7"/>
      <c r="M27" s="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 x14ac:dyDescent="0.25">
      <c r="A28" s="1"/>
      <c r="B28" s="1"/>
      <c r="C28" s="9"/>
      <c r="D28" s="5"/>
      <c r="E28" s="3"/>
      <c r="F28" s="3"/>
      <c r="G28" s="3"/>
      <c r="H28" s="3"/>
      <c r="I28" s="3"/>
      <c r="J28" s="3"/>
      <c r="K28" s="3"/>
      <c r="L28" s="3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" x14ac:dyDescent="0.25">
      <c r="A29" s="1"/>
      <c r="B29" s="1"/>
      <c r="C29" s="11"/>
      <c r="D29" s="38" t="s">
        <v>12</v>
      </c>
      <c r="E29" s="39">
        <v>10000</v>
      </c>
      <c r="F29" s="5"/>
      <c r="G29" s="38" t="s">
        <v>10</v>
      </c>
      <c r="H29" s="40">
        <v>0.05</v>
      </c>
      <c r="I29" s="5"/>
      <c r="J29" s="3"/>
      <c r="K29" s="38" t="s">
        <v>27</v>
      </c>
      <c r="L29" s="41">
        <v>15</v>
      </c>
      <c r="M29" s="1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" x14ac:dyDescent="0.25">
      <c r="A30" s="1"/>
      <c r="B30" s="1"/>
      <c r="C30" s="11"/>
      <c r="D30" s="3"/>
      <c r="E30" s="3"/>
      <c r="F30" s="3"/>
      <c r="G30" s="3"/>
      <c r="H30" s="3"/>
      <c r="I30" s="3"/>
      <c r="J30" s="3"/>
      <c r="K30" s="3"/>
      <c r="L30" s="3"/>
      <c r="M30" s="1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8.75" x14ac:dyDescent="0.3">
      <c r="A31" s="1"/>
      <c r="B31" s="1"/>
      <c r="C31" s="11"/>
      <c r="D31" s="42" t="s">
        <v>18</v>
      </c>
      <c r="E31" s="43"/>
      <c r="F31" s="44"/>
      <c r="G31" s="3"/>
      <c r="H31" s="3"/>
      <c r="I31" s="3"/>
      <c r="J31" s="3"/>
      <c r="K31" s="3"/>
      <c r="L31" s="3"/>
      <c r="M31" s="1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.75" x14ac:dyDescent="0.3">
      <c r="A32" s="1"/>
      <c r="B32" s="1"/>
      <c r="C32" s="11"/>
      <c r="D32" s="45" t="s">
        <v>17</v>
      </c>
      <c r="E32" s="49">
        <f>E29/POWER(1+H29,L29)</f>
        <v>4810.1709809097019</v>
      </c>
      <c r="F32" s="47"/>
      <c r="G32" s="3"/>
      <c r="H32" s="3"/>
      <c r="I32" s="3"/>
      <c r="J32" s="3"/>
      <c r="K32" s="3"/>
      <c r="L32" s="3"/>
      <c r="M32" s="1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 x14ac:dyDescent="0.25">
      <c r="A33" s="1"/>
      <c r="B33" s="1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" x14ac:dyDescent="0.25">
      <c r="A35" s="1"/>
      <c r="B35" s="1"/>
      <c r="C35" s="54" t="s">
        <v>25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 x14ac:dyDescent="0.25">
      <c r="A36" s="1"/>
      <c r="B36" s="1"/>
      <c r="C36" s="6"/>
      <c r="D36" s="16"/>
      <c r="E36" s="7"/>
      <c r="F36" s="7"/>
      <c r="G36" s="7"/>
      <c r="H36" s="7"/>
      <c r="I36" s="7"/>
      <c r="J36" s="7"/>
      <c r="K36" s="7"/>
      <c r="L36" s="7"/>
      <c r="M36" s="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 x14ac:dyDescent="0.25">
      <c r="A37" s="1"/>
      <c r="B37" s="1"/>
      <c r="C37" s="9"/>
      <c r="D37" s="5"/>
      <c r="E37" s="3"/>
      <c r="F37" s="3"/>
      <c r="G37" s="3"/>
      <c r="H37" s="3"/>
      <c r="I37" s="3"/>
      <c r="J37" s="3"/>
      <c r="K37" s="3"/>
      <c r="L37" s="3"/>
      <c r="M37" s="1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 x14ac:dyDescent="0.25">
      <c r="A38" s="1"/>
      <c r="B38" s="1"/>
      <c r="C38" s="11"/>
      <c r="D38" s="38" t="s">
        <v>17</v>
      </c>
      <c r="E38" s="39">
        <v>1500</v>
      </c>
      <c r="F38" s="5"/>
      <c r="G38" s="38" t="s">
        <v>12</v>
      </c>
      <c r="H38" s="53">
        <v>3600</v>
      </c>
      <c r="I38" s="5"/>
      <c r="J38" s="3"/>
      <c r="K38" s="38" t="s">
        <v>27</v>
      </c>
      <c r="L38" s="41">
        <v>12</v>
      </c>
      <c r="M38" s="1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" x14ac:dyDescent="0.25">
      <c r="A39" s="1"/>
      <c r="B39" s="1"/>
      <c r="C39" s="11"/>
      <c r="D39" s="3"/>
      <c r="E39" s="3"/>
      <c r="F39" s="3"/>
      <c r="G39" s="3"/>
      <c r="H39" s="3"/>
      <c r="I39" s="3"/>
      <c r="J39" s="3"/>
      <c r="K39" s="3"/>
      <c r="L39" s="3"/>
      <c r="M39" s="1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8.75" x14ac:dyDescent="0.3">
      <c r="A40" s="1"/>
      <c r="B40" s="1"/>
      <c r="C40" s="11"/>
      <c r="D40" s="42" t="s">
        <v>18</v>
      </c>
      <c r="E40" s="43"/>
      <c r="F40" s="44"/>
      <c r="G40" s="3"/>
      <c r="H40" s="3"/>
      <c r="I40" s="3"/>
      <c r="J40" s="3"/>
      <c r="K40" s="3"/>
      <c r="L40" s="3"/>
      <c r="M40" s="1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8.75" x14ac:dyDescent="0.3">
      <c r="A41" s="1"/>
      <c r="B41" s="1"/>
      <c r="C41" s="11"/>
      <c r="D41" s="45" t="s">
        <v>10</v>
      </c>
      <c r="E41" s="48">
        <f>POWER(H38/E38,1/L38)-1</f>
        <v>7.568291334794286E-2</v>
      </c>
      <c r="F41" s="47"/>
      <c r="G41" s="3"/>
      <c r="H41" s="3"/>
      <c r="I41" s="3"/>
      <c r="J41" s="3"/>
      <c r="K41" s="3"/>
      <c r="L41" s="3"/>
      <c r="M41" s="1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x14ac:dyDescent="0.25">
      <c r="A42" s="1"/>
      <c r="B42" s="1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" x14ac:dyDescent="0.25">
      <c r="A44" s="1"/>
      <c r="B44" s="1"/>
      <c r="C44" s="54" t="s">
        <v>26</v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" x14ac:dyDescent="0.25">
      <c r="A45" s="1"/>
      <c r="B45" s="1"/>
      <c r="C45" s="6"/>
      <c r="D45" s="16"/>
      <c r="E45" s="7"/>
      <c r="F45" s="7"/>
      <c r="G45" s="7"/>
      <c r="H45" s="7"/>
      <c r="I45" s="7"/>
      <c r="J45" s="7"/>
      <c r="K45" s="7"/>
      <c r="L45" s="7"/>
      <c r="M45" s="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" x14ac:dyDescent="0.25">
      <c r="A46" s="1"/>
      <c r="B46" s="1"/>
      <c r="C46" s="9"/>
      <c r="D46" s="5"/>
      <c r="E46" s="3"/>
      <c r="F46" s="3"/>
      <c r="G46" s="3"/>
      <c r="H46" s="3"/>
      <c r="I46" s="3"/>
      <c r="J46" s="3"/>
      <c r="K46" s="3"/>
      <c r="L46" s="3"/>
      <c r="M46" s="1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 x14ac:dyDescent="0.25">
      <c r="A47" s="1"/>
      <c r="B47" s="1"/>
      <c r="C47" s="11"/>
      <c r="D47" s="38" t="s">
        <v>17</v>
      </c>
      <c r="E47" s="39">
        <v>50000</v>
      </c>
      <c r="F47" s="5"/>
      <c r="G47" s="38" t="s">
        <v>12</v>
      </c>
      <c r="H47" s="39">
        <v>120000</v>
      </c>
      <c r="I47" s="5"/>
      <c r="J47" s="3"/>
      <c r="K47" s="38" t="s">
        <v>10</v>
      </c>
      <c r="L47" s="40">
        <v>0.12</v>
      </c>
      <c r="M47" s="1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" x14ac:dyDescent="0.25">
      <c r="A48" s="1"/>
      <c r="B48" s="1"/>
      <c r="C48" s="11"/>
      <c r="D48" s="3"/>
      <c r="E48" s="3"/>
      <c r="F48" s="3"/>
      <c r="G48" s="3"/>
      <c r="H48" s="3"/>
      <c r="I48" s="3"/>
      <c r="J48" s="3"/>
      <c r="K48" s="3"/>
      <c r="L48" s="3"/>
      <c r="M48" s="1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8.75" x14ac:dyDescent="0.3">
      <c r="A49" s="1"/>
      <c r="B49" s="1"/>
      <c r="C49" s="11"/>
      <c r="D49" s="42" t="s">
        <v>18</v>
      </c>
      <c r="E49" s="43"/>
      <c r="F49" s="44"/>
      <c r="G49" s="3"/>
      <c r="H49" s="3"/>
      <c r="I49" s="3"/>
      <c r="J49" s="3"/>
      <c r="K49" s="3"/>
      <c r="L49" s="3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8.75" x14ac:dyDescent="0.3">
      <c r="A50" s="1"/>
      <c r="B50" s="1"/>
      <c r="C50" s="11"/>
      <c r="D50" s="45" t="s">
        <v>27</v>
      </c>
      <c r="E50" s="46">
        <f>LOG(H47/E47)/LOG(1+L47)</f>
        <v>7.7250409724800662</v>
      </c>
      <c r="F50" s="47"/>
      <c r="G50" s="3"/>
      <c r="H50" s="3"/>
      <c r="I50" s="3"/>
      <c r="J50" s="3"/>
      <c r="K50" s="3"/>
      <c r="L50" s="3"/>
      <c r="M50" s="1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" x14ac:dyDescent="0.25">
      <c r="A51" s="1"/>
      <c r="B51" s="1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</sheetData>
  <mergeCells count="5">
    <mergeCell ref="C6:M6"/>
    <mergeCell ref="C17:M17"/>
    <mergeCell ref="C26:M26"/>
    <mergeCell ref="C35:M35"/>
    <mergeCell ref="C44:M44"/>
  </mergeCells>
  <pageMargins left="0.511811024" right="0.511811024" top="0.78740157499999996" bottom="0.78740157499999996" header="0.31496062000000002" footer="0.31496062000000002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PORCENTAGEM</vt:lpstr>
      <vt:lpstr>JUROS SIMPLES</vt:lpstr>
      <vt:lpstr>JUROS COMPOSTO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Felipe Lopes de Oliveira</cp:lastModifiedBy>
  <dcterms:created xsi:type="dcterms:W3CDTF">2020-02-11T11:34:28Z</dcterms:created>
  <dcterms:modified xsi:type="dcterms:W3CDTF">2020-02-12T15:42:56Z</dcterms:modified>
</cp:coreProperties>
</file>