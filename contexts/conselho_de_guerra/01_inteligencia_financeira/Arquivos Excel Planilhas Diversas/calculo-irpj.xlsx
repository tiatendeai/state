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anilhas e documentos para vender no mercado livre\5000 planilhas editáveis\Contabilidade\"/>
    </mc:Choice>
  </mc:AlternateContent>
  <xr:revisionPtr revIDLastSave="0" documentId="8_{D21F80CC-949E-4D00-B9A6-1513E197FCE5}" xr6:coauthVersionLast="41" xr6:coauthVersionMax="41" xr10:uidLastSave="{00000000-0000-0000-0000-000000000000}"/>
  <bookViews>
    <workbookView xWindow="-108" yWindow="-108" windowWidth="19416" windowHeight="10416"/>
  </bookViews>
  <sheets>
    <sheet name="taxa nominal e efetiva" sheetId="1" r:id="rId1"/>
    <sheet name="carga 2006" sheetId="2" r:id="rId2"/>
    <sheet name="carga 2007" sheetId="3" r:id="rId3"/>
  </sheets>
  <externalReferences>
    <externalReference r:id="rId4"/>
    <externalReference r:id="rId5"/>
  </externalReferences>
  <definedNames>
    <definedName name="_xlnm.Print_Area" localSheetId="2">'carga 2007'!$E$5:$G$49</definedName>
  </definedNames>
  <calcPr calcId="191029"/>
</workbook>
</file>

<file path=xl/calcChain.xml><?xml version="1.0" encoding="utf-8"?>
<calcChain xmlns="http://schemas.openxmlformats.org/spreadsheetml/2006/main">
  <c r="D8" i="1" l="1"/>
  <c r="E8" i="1"/>
  <c r="D9" i="1"/>
  <c r="E9" i="1"/>
  <c r="C8" i="1"/>
  <c r="C9" i="1" s="1"/>
  <c r="E23" i="1"/>
  <c r="E11" i="1"/>
  <c r="D47" i="2"/>
  <c r="D7" i="2"/>
  <c r="D26" i="2" s="1"/>
  <c r="D28" i="2" s="1"/>
  <c r="D17" i="2"/>
  <c r="D9" i="2"/>
  <c r="D23" i="2"/>
  <c r="D22" i="2"/>
  <c r="D41" i="2"/>
  <c r="D23" i="1"/>
  <c r="D11" i="1"/>
  <c r="C23" i="1"/>
  <c r="C11" i="1"/>
  <c r="E6" i="1"/>
  <c r="D6" i="1"/>
  <c r="C6" i="1"/>
  <c r="C5" i="1"/>
  <c r="D5" i="1"/>
  <c r="E5" i="1"/>
  <c r="D31" i="2" l="1"/>
  <c r="D30" i="2"/>
  <c r="D33" i="2" l="1"/>
  <c r="D32" i="2"/>
  <c r="D43" i="2" l="1"/>
  <c r="D44" i="2" s="1"/>
  <c r="D42" i="2"/>
</calcChain>
</file>

<file path=xl/sharedStrings.xml><?xml version="1.0" encoding="utf-8"?>
<sst xmlns="http://schemas.openxmlformats.org/spreadsheetml/2006/main" count="107" uniqueCount="72">
  <si>
    <t>Lucro líquido do exercício</t>
  </si>
  <si>
    <t>Lucro Antes do IR e CSSL</t>
  </si>
  <si>
    <t>Taxa Efetiva de imposto</t>
  </si>
  <si>
    <t>Imposto a aliquota base</t>
  </si>
  <si>
    <t>Diferenças Temporárias/Permanentes</t>
  </si>
  <si>
    <t>Imposto de renda e contribuição social</t>
  </si>
  <si>
    <t>Adições:</t>
  </si>
  <si>
    <t>Exclusões:</t>
  </si>
  <si>
    <t>Ajustes Totais</t>
  </si>
  <si>
    <t>Diferença</t>
  </si>
  <si>
    <t>RECEITA LÍQUIDA</t>
  </si>
  <si>
    <t>CUSTOS</t>
  </si>
  <si>
    <t>DESPESAS</t>
  </si>
  <si>
    <t>Lucro Líquido</t>
  </si>
  <si>
    <t>ADIÇÕES</t>
  </si>
  <si>
    <t xml:space="preserve"> . Doações</t>
  </si>
  <si>
    <t xml:space="preserve"> . Brindes</t>
  </si>
  <si>
    <t xml:space="preserve"> . Patrocínios</t>
  </si>
  <si>
    <t xml:space="preserve"> . PDD</t>
  </si>
  <si>
    <t xml:space="preserve"> . Outras Despesas Não Dedutíveis</t>
  </si>
  <si>
    <t xml:space="preserve"> . Lucro Diferido período anterior</t>
  </si>
  <si>
    <t xml:space="preserve"> . Provisão IRPJ-CSL s/ L. Diferido 2007</t>
  </si>
  <si>
    <t xml:space="preserve"> . Provisão IRPJ-CSL 2007</t>
  </si>
  <si>
    <t xml:space="preserve"> . Ajuste Ex. Ant. Result. Consórcio Integra Fácil</t>
  </si>
  <si>
    <t>EXCLUSÕES</t>
  </si>
  <si>
    <t xml:space="preserve"> . Lucro Diferido no Período</t>
  </si>
  <si>
    <t xml:space="preserve"> . IRPJ-CSL Diferidos 2006</t>
  </si>
  <si>
    <t xml:space="preserve"> . Estorno IRPJ-CSL  2006 reg. a maior</t>
  </si>
  <si>
    <t>Lucro Real do Período-Base</t>
  </si>
  <si>
    <t>( - ) Comp.Prej. Fiscal Anterior</t>
  </si>
  <si>
    <t>Lucro Real Final</t>
  </si>
  <si>
    <t>IRPJ</t>
  </si>
  <si>
    <t>ADICIONAL DE 10%</t>
  </si>
  <si>
    <t>PAT - Dedução Impostos Devido</t>
  </si>
  <si>
    <t>IRPJ devido</t>
  </si>
  <si>
    <t>LUCRO LÍQUIDO CONTÁBIL</t>
  </si>
  <si>
    <t xml:space="preserve">Saldo Negativo IRPJ  </t>
  </si>
  <si>
    <t>Pagtos Estimativa</t>
  </si>
  <si>
    <t>Pagto Estimativa jan/08</t>
  </si>
  <si>
    <t>IRPJ Retido por Órgão Público</t>
  </si>
  <si>
    <t>IRPJ Retido pelo Setor Privado</t>
  </si>
  <si>
    <t>IRPJ Pg Indev. Ou a Maior</t>
  </si>
  <si>
    <t>IRRF s/ Aplic. Financeira</t>
  </si>
  <si>
    <t>Total Impostos  a Compensar</t>
  </si>
  <si>
    <t>Imposto compensado</t>
  </si>
  <si>
    <t>IRPJ a Recolher</t>
  </si>
  <si>
    <t>Vr. Compensado perdcomp</t>
  </si>
  <si>
    <t>Ajuste IRPJ mês</t>
  </si>
  <si>
    <t>Total Gastos PAT no ano</t>
  </si>
  <si>
    <t>Valor a deduzir cálculo adicional</t>
  </si>
  <si>
    <t>Mês</t>
  </si>
  <si>
    <t>DESCRIÇÃO</t>
  </si>
  <si>
    <t>DOAÇÕES</t>
  </si>
  <si>
    <t>BRINDES</t>
  </si>
  <si>
    <t>PATROCINIOS</t>
  </si>
  <si>
    <t>PDD</t>
  </si>
  <si>
    <t>outras desp não dedutíveis</t>
  </si>
  <si>
    <t>PROV IRPJ - CSLL s/L DIFERIDO 2007</t>
  </si>
  <si>
    <t>ajuste ex ant. result consórcio int fácil</t>
  </si>
  <si>
    <t>Lucro Diferido no Período</t>
  </si>
  <si>
    <t>Lucro Diferido no Período anterior</t>
  </si>
  <si>
    <t>Perdão Dívida - Waldemar</t>
  </si>
  <si>
    <t>reversão IRPJ - CSL Diferidos 2005</t>
  </si>
  <si>
    <t xml:space="preserve"> . Eventos e Festividades</t>
  </si>
  <si>
    <t xml:space="preserve"> . Custos/Despesas sem documentação suporte</t>
  </si>
  <si>
    <t xml:space="preserve"> . Perdão Dívida - Waldemar</t>
  </si>
  <si>
    <t xml:space="preserve"> . Resultado Consórcio Integra Fácil</t>
  </si>
  <si>
    <t xml:space="preserve"> . Reversão IPRJ-CSL Diferidos 2005</t>
  </si>
  <si>
    <t>Saldo IRPJ Estimativa</t>
  </si>
  <si>
    <t>Saldo Negativo IRPJ 2006</t>
  </si>
  <si>
    <t>OUTRAS (total pela ficha DIPJ)</t>
  </si>
  <si>
    <t>resultado de equivalência patrimonial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</si>
</sst>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8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Calibri"/>
      <family val="2"/>
    </font>
    <font>
      <b/>
      <sz val="11"/>
      <color indexed="10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</cellStyleXfs>
  <cellXfs count="60">
    <xf numFmtId="0" fontId="0" fillId="0" borderId="0" xfId="0"/>
    <xf numFmtId="37" fontId="4" fillId="0" borderId="0" xfId="0" applyNumberFormat="1" applyFont="1"/>
    <xf numFmtId="38" fontId="4" fillId="0" borderId="0" xfId="0" applyNumberFormat="1" applyFont="1" applyAlignment="1">
      <alignment horizontal="right"/>
    </xf>
    <xf numFmtId="38" fontId="4" fillId="0" borderId="0" xfId="0" applyNumberFormat="1" applyFont="1" applyBorder="1" applyAlignment="1">
      <alignment horizontal="right"/>
    </xf>
    <xf numFmtId="37" fontId="4" fillId="0" borderId="0" xfId="0" applyNumberFormat="1" applyFont="1" applyFill="1"/>
    <xf numFmtId="38" fontId="4" fillId="0" borderId="0" xfId="0" applyNumberFormat="1" applyFont="1" applyFill="1" applyAlignment="1">
      <alignment horizontal="right"/>
    </xf>
    <xf numFmtId="171" fontId="10" fillId="0" borderId="0" xfId="2" applyFont="1"/>
    <xf numFmtId="0" fontId="0" fillId="0" borderId="1" xfId="0" applyBorder="1"/>
    <xf numFmtId="38" fontId="3" fillId="0" borderId="1" xfId="0" applyNumberFormat="1" applyFont="1" applyBorder="1" applyAlignment="1">
      <alignment horizontal="right"/>
    </xf>
    <xf numFmtId="37" fontId="3" fillId="0" borderId="1" xfId="0" applyNumberFormat="1" applyFont="1" applyBorder="1" applyAlignment="1" applyProtection="1">
      <alignment horizontal="left"/>
    </xf>
    <xf numFmtId="4" fontId="10" fillId="0" borderId="1" xfId="2" applyNumberFormat="1" applyFont="1" applyBorder="1"/>
    <xf numFmtId="37" fontId="4" fillId="0" borderId="1" xfId="0" applyNumberFormat="1" applyFont="1" applyFill="1" applyBorder="1" applyAlignment="1" applyProtection="1">
      <alignment horizontal="left"/>
    </xf>
    <xf numFmtId="0" fontId="2" fillId="0" borderId="1" xfId="0" applyFont="1" applyBorder="1"/>
    <xf numFmtId="4" fontId="0" fillId="0" borderId="1" xfId="0" applyNumberFormat="1" applyBorder="1"/>
    <xf numFmtId="171" fontId="10" fillId="0" borderId="1" xfId="2" applyFont="1" applyBorder="1"/>
    <xf numFmtId="0" fontId="0" fillId="2" borderId="1" xfId="0" applyFill="1" applyBorder="1"/>
    <xf numFmtId="0" fontId="2" fillId="2" borderId="1" xfId="0" applyFont="1" applyFill="1" applyBorder="1"/>
    <xf numFmtId="0" fontId="6" fillId="2" borderId="1" xfId="0" applyFont="1" applyFill="1" applyBorder="1"/>
    <xf numFmtId="0" fontId="7" fillId="0" borderId="0" xfId="0" applyFont="1"/>
    <xf numFmtId="171" fontId="8" fillId="0" borderId="0" xfId="0" applyNumberFormat="1" applyFont="1" applyFill="1" applyBorder="1"/>
    <xf numFmtId="171" fontId="7" fillId="0" borderId="0" xfId="2" applyFont="1"/>
    <xf numFmtId="178" fontId="7" fillId="0" borderId="0" xfId="2" applyNumberFormat="1" applyFont="1"/>
    <xf numFmtId="171" fontId="7" fillId="0" borderId="0" xfId="0" applyNumberFormat="1" applyFont="1"/>
    <xf numFmtId="0" fontId="8" fillId="0" borderId="0" xfId="0" applyFont="1" applyFill="1" applyBorder="1"/>
    <xf numFmtId="14" fontId="9" fillId="0" borderId="0" xfId="0" applyNumberFormat="1" applyFont="1"/>
    <xf numFmtId="0" fontId="8" fillId="0" borderId="1" xfId="0" applyFont="1" applyBorder="1" applyAlignment="1">
      <alignment horizontal="center"/>
    </xf>
    <xf numFmtId="0" fontId="7" fillId="0" borderId="1" xfId="0" applyFont="1" applyBorder="1"/>
    <xf numFmtId="17" fontId="8" fillId="0" borderId="1" xfId="0" applyNumberFormat="1" applyFont="1" applyBorder="1" applyAlignment="1">
      <alignment horizontal="center"/>
    </xf>
    <xf numFmtId="171" fontId="7" fillId="0" borderId="1" xfId="2" applyFont="1" applyBorder="1"/>
    <xf numFmtId="0" fontId="8" fillId="3" borderId="1" xfId="0" applyFont="1" applyFill="1" applyBorder="1"/>
    <xf numFmtId="171" fontId="8" fillId="3" borderId="1" xfId="2" applyFont="1" applyFill="1" applyBorder="1"/>
    <xf numFmtId="0" fontId="8" fillId="0" borderId="1" xfId="0" applyFont="1" applyBorder="1"/>
    <xf numFmtId="171" fontId="8" fillId="0" borderId="1" xfId="2" applyFont="1" applyBorder="1"/>
    <xf numFmtId="171" fontId="8" fillId="0" borderId="1" xfId="2" applyFont="1" applyFill="1" applyBorder="1"/>
    <xf numFmtId="171" fontId="7" fillId="0" borderId="1" xfId="2" applyFont="1" applyFill="1" applyBorder="1"/>
    <xf numFmtId="0" fontId="8" fillId="0" borderId="1" xfId="0" applyFont="1" applyFill="1" applyBorder="1"/>
    <xf numFmtId="171" fontId="7" fillId="0" borderId="1" xfId="0" applyNumberFormat="1" applyFont="1" applyBorder="1"/>
    <xf numFmtId="0" fontId="0" fillId="2" borderId="2" xfId="0" applyFill="1" applyBorder="1"/>
    <xf numFmtId="171" fontId="10" fillId="0" borderId="3" xfId="2" applyFont="1" applyBorder="1"/>
    <xf numFmtId="0" fontId="8" fillId="0" borderId="4" xfId="0" applyFont="1" applyBorder="1"/>
    <xf numFmtId="0" fontId="0" fillId="0" borderId="0" xfId="0" applyBorder="1"/>
    <xf numFmtId="171" fontId="10" fillId="0" borderId="0" xfId="2" applyFont="1" applyBorder="1"/>
    <xf numFmtId="0" fontId="7" fillId="0" borderId="0" xfId="0" applyFont="1" applyBorder="1"/>
    <xf numFmtId="171" fontId="2" fillId="2" borderId="3" xfId="2" applyFont="1" applyFill="1" applyBorder="1"/>
    <xf numFmtId="171" fontId="2" fillId="3" borderId="3" xfId="2" applyFont="1" applyFill="1" applyBorder="1"/>
    <xf numFmtId="171" fontId="2" fillId="2" borderId="1" xfId="2" applyFont="1" applyFill="1" applyBorder="1"/>
    <xf numFmtId="171" fontId="0" fillId="0" borderId="0" xfId="0" applyNumberFormat="1"/>
    <xf numFmtId="0" fontId="0" fillId="0" borderId="4" xfId="0" applyBorder="1"/>
    <xf numFmtId="171" fontId="7" fillId="0" borderId="4" xfId="0" applyNumberFormat="1" applyFont="1" applyBorder="1"/>
    <xf numFmtId="171" fontId="0" fillId="0" borderId="0" xfId="0" applyNumberFormat="1" applyBorder="1"/>
    <xf numFmtId="171" fontId="10" fillId="0" borderId="0" xfId="2" applyFont="1"/>
    <xf numFmtId="178" fontId="10" fillId="0" borderId="1" xfId="2" applyNumberFormat="1" applyFont="1" applyBorder="1"/>
    <xf numFmtId="178" fontId="4" fillId="0" borderId="1" xfId="2" applyNumberFormat="1" applyFont="1" applyFill="1" applyBorder="1" applyAlignment="1">
      <alignment horizontal="right"/>
    </xf>
    <xf numFmtId="178" fontId="4" fillId="0" borderId="1" xfId="2" applyNumberFormat="1" applyFont="1" applyBorder="1" applyAlignment="1">
      <alignment horizontal="right"/>
    </xf>
    <xf numFmtId="178" fontId="2" fillId="0" borderId="1" xfId="2" applyNumberFormat="1" applyFont="1" applyBorder="1"/>
    <xf numFmtId="171" fontId="2" fillId="2" borderId="1" xfId="2" applyNumberFormat="1" applyFont="1" applyFill="1" applyBorder="1"/>
    <xf numFmtId="171" fontId="10" fillId="4" borderId="1" xfId="2" applyNumberFormat="1" applyFont="1" applyFill="1" applyBorder="1"/>
    <xf numFmtId="171" fontId="10" fillId="0" borderId="1" xfId="2" applyNumberFormat="1" applyFont="1" applyBorder="1"/>
    <xf numFmtId="171" fontId="10" fillId="4" borderId="0" xfId="2" applyNumberFormat="1" applyFont="1" applyFill="1"/>
    <xf numFmtId="9" fontId="2" fillId="0" borderId="1" xfId="1" applyFont="1" applyBorder="1"/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kp%20c\Clientes\Grupo%20TBA%20-%20contrato%202005\License\Concilia&#231;&#227;o\06-2006\Concilia&#231;&#245;es%20B2br%20junho-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store\LEGADO%20AT&#201;%2003-09\TAXA%20NOMINAL%20E%20TAXA%20EFETIVA\Rar$DI00.860\Concilia&#231;&#245;es%20B2br%20Dez-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CP BH"/>
      <sheetName val="FRCP VIAGENS"/>
      <sheetName val="FRCP CWB"/>
      <sheetName val="FRCP SP"/>
      <sheetName val="FRCP RJ"/>
      <sheetName val="FRCP BSB"/>
      <sheetName val="Numerários em Trânsito"/>
      <sheetName val="Banco HSBC"/>
      <sheetName val="Banco Itaú"/>
      <sheetName val="Banco Itaú 6515-3"/>
      <sheetName val="Banco do Brasil"/>
      <sheetName val="Banco Nossa Caixa"/>
      <sheetName val="Banco Itaú-Aplic"/>
      <sheetName val="Banco Safra Exec-Aplic"/>
      <sheetName val="Banco Pactual -Aplic (2)"/>
      <sheetName val="Lehman Brothers"/>
      <sheetName val="GAP Currency Fif"/>
      <sheetName val="Clariden USD"/>
      <sheetName val="Ações Uol - Jun06 "/>
      <sheetName val="Contas a Receber"/>
      <sheetName val="Contratos a Faturar - Riachuelo"/>
      <sheetName val="recebimento não identificados"/>
      <sheetName val="PDD"/>
      <sheetName val="Adiant. Salário"/>
      <sheetName val="Adiat. Ferias"/>
      <sheetName val="Adiat. viagens"/>
      <sheetName val="Adiantamento a fornecedores"/>
      <sheetName val="Outros adtos"/>
      <sheetName val="IRPJ"/>
      <sheetName val="CSL"/>
      <sheetName val="PIS"/>
      <sheetName val="COFINS"/>
      <sheetName val="ISS a Recuperar"/>
      <sheetName val="Antec. Lucros"/>
      <sheetName val="Emprest.Cedidos Terceiros"/>
      <sheetName val="Estoques mat. consumo"/>
      <sheetName val="Caução Prodasem"/>
      <sheetName val="Cauções em garantia"/>
      <sheetName val="Fianças"/>
      <sheetName val="ATIVO POUPAMOVEL"/>
      <sheetName val="PASSIVO-POUPAMOEL"/>
      <sheetName val="DRE INTEGRAFACIL"/>
      <sheetName val="DEMONSTRATIVO-INTEGRAFACIL"/>
      <sheetName val="emprestimos ligadas"/>
      <sheetName val="Empr.Empres.Lig. Efatec-Ssw"/>
      <sheetName val="Depositos judiciais"/>
      <sheetName val="6-Mov Imob"/>
      <sheetName val="imobilizado em andamento"/>
      <sheetName val="Bens recebidos em comodato"/>
      <sheetName val="Deprec."/>
      <sheetName val="Microsoft a Pagar"/>
      <sheetName val="Composição_Saldo_MS_B2BR"/>
      <sheetName val="Fornecedores Software"/>
      <sheetName val="Fornecedores"/>
      <sheetName val="PIS a Recolher"/>
      <sheetName val="jun-pis 0,65%"/>
      <sheetName val="COFINS a Recolher"/>
      <sheetName val="jun-cofins 3%"/>
      <sheetName val="Diferimento Trib. Fed. 2006"/>
      <sheetName val="IRRF Retido Terceiros"/>
      <sheetName val="IRRF S folha"/>
      <sheetName val="PIS Retido Terceiros"/>
      <sheetName val="COFINS Retido Terceiros"/>
      <sheetName val="CSSL RETIDO FINAL"/>
      <sheetName val="INSS Retido Terceiros"/>
      <sheetName val="ISS a Recolher "/>
      <sheetName val="ISS Santana-jun 06"/>
      <sheetName val="Diferimento ISS"/>
      <sheetName val="ISS Microsoft"/>
      <sheetName val="Remessas 06-2006 b2br"/>
      <sheetName val="Sal. pagar"/>
      <sheetName val="Ferias a pagar"/>
      <sheetName val="Resc. a pagar"/>
      <sheetName val="Pensão alimenticia"/>
      <sheetName val="Prov.Ferias"/>
      <sheetName val="Prov. 13º Salario"/>
      <sheetName val="INSS e FGTS"/>
      <sheetName val="contrib.sindical e assisten"/>
      <sheetName val="Alugueis"/>
      <sheetName val="Adiant. Clientes - REsumo"/>
      <sheetName val="Riachuelo 602610"/>
      <sheetName val="analítico riachuelo 602610"/>
      <sheetName val="fat riachuelo 602610"/>
      <sheetName val="Embratel 352493"/>
      <sheetName val="analítico custo embratel 352493"/>
      <sheetName val="analítico fat embratel 352493"/>
      <sheetName val="Serpro 4162642"/>
      <sheetName val="analítico serpro 4162642"/>
      <sheetName val="Furnas"/>
      <sheetName val="analítico furnas"/>
      <sheetName val="analitico fat furnas"/>
      <sheetName val="Tim Brasil"/>
      <sheetName val="analítico Tim Brasil"/>
      <sheetName val="Serpro"/>
      <sheetName val="Impostos Diferidos"/>
      <sheetName val="CIDE - RESUMO"/>
      <sheetName val="CIDE a pagar 2003 a 2006"/>
      <sheetName val="CIDE atualização 2002 a 2006"/>
      <sheetName val="Empr.Coligadas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>
        <row r="209">
          <cell r="O209">
            <v>3345619.8472000007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 2006"/>
      <sheetName val="FI"/>
      <sheetName val="BALANCETE B2BR DEZ-06"/>
      <sheetName val="FRCP BH"/>
      <sheetName val="FRCP BH - Financeiro"/>
      <sheetName val="FRCP CWB"/>
      <sheetName val="FRCP CWB-Financeiro"/>
      <sheetName val="FRCP SP"/>
      <sheetName val="FRCP SP-Financeiro"/>
      <sheetName val="FRCP RJ"/>
      <sheetName val="FRCP RJ-Financeiro"/>
      <sheetName val="FRCP BSB"/>
      <sheetName val="FRCP BSB-Financeiro"/>
      <sheetName val="Banco HSBC"/>
      <sheetName val="Banco Itaú"/>
      <sheetName val="Banco Itaú 6515-3"/>
      <sheetName val="Banco do Brasil"/>
      <sheetName val="Banco Nossa Caixa"/>
      <sheetName val="Banco Safra Exec-Aplic"/>
      <sheetName val="Banco Pactual -Aplic"/>
      <sheetName val="Lehman Brothers"/>
      <sheetName val="GAP Currency Fif"/>
      <sheetName val="Clariden USD (3)"/>
      <sheetName val="Ações Bolsa "/>
      <sheetName val="Faturas a Receber"/>
      <sheetName val="Contas a Receber - Financeiro"/>
      <sheetName val="recebimento não identificad"/>
      <sheetName val="PDD06.2006"/>
      <sheetName val="Ad. Salários (2)"/>
      <sheetName val="CLT B2BRSP - RH"/>
      <sheetName val="CLT B2BR BSB - RH"/>
      <sheetName val="Adiat. Ferias (2)"/>
      <sheetName val="Adiat. viagens (2)"/>
      <sheetName val="Adto Fornec."/>
      <sheetName val="Adto - Financeiro"/>
      <sheetName val="Outros adtos"/>
      <sheetName val="IRPJ a Recuperar"/>
      <sheetName val="CSL a Recuperar"/>
      <sheetName val="PIS a Recuperar"/>
      <sheetName val="COFINS a Recuperar"/>
      <sheetName val="INSS Retido Publico"/>
      <sheetName val="ICMS A Recup. Dez 2006 - SP"/>
      <sheetName val="ISS a Recuperar"/>
      <sheetName val="Antec. Lucros "/>
      <sheetName val="Emprestimos a socio"/>
      <sheetName val="Emprest.Cedidos Terceiros"/>
      <sheetName val="Estoques mat. consumo"/>
      <sheetName val="Caução Prodasem"/>
      <sheetName val="Cauções em garantia"/>
      <sheetName val="Fianças"/>
      <sheetName val="ATIVO INTEGRA FÁCIL"/>
      <sheetName val="PASSIVO-INTEGRA FÁCIL"/>
      <sheetName val="DRE INTEGRAFACIL"/>
      <sheetName val="DEMONSTRATIVO-INTEGRAFACIL"/>
      <sheetName val="Empr.Empres.Lig. "/>
      <sheetName val="Razão Emp. coligadas SSW"/>
      <sheetName val="Depositos judiciais"/>
      <sheetName val="6-Mov Imob"/>
      <sheetName val="Deprec."/>
      <sheetName val="imobilizado em andamento"/>
      <sheetName val="MS a pg"/>
      <sheetName val="Provisões"/>
      <sheetName val="Dif.baixaXprovisão"/>
      <sheetName val="baixas"/>
      <sheetName val="Fornecedor_MS"/>
      <sheetName val="Fornecedores Software"/>
      <sheetName val="Fornecedor Geral "/>
      <sheetName val="Contas a Pagar - Financeiro "/>
      <sheetName val="Carga Fiscal 2006 Contábil"/>
      <sheetName val="Carga Fiscal 2006 DIPJ"/>
      <sheetName val="PIS a Recolher"/>
      <sheetName val="dez-pis 0,65%"/>
      <sheetName val="dez-pis 0,65% (compl.)"/>
      <sheetName val="dez-pis 1,65% (2)"/>
      <sheetName val="COFINS a Recolher "/>
      <sheetName val="dez-cofins 3%"/>
      <sheetName val="dez-cofins 3% compl."/>
      <sheetName val="dez-cofins 7,60% (2)"/>
      <sheetName val="Impostos Diferidos Rec . Fed."/>
      <sheetName val="IRRF Retido Terceiros "/>
      <sheetName val="IRRF Retido - Financeiro"/>
      <sheetName val="IRRF S folha"/>
      <sheetName val="PIS Retido "/>
      <sheetName val="PIS Retido- Financeiro"/>
      <sheetName val="Cofiins Retido"/>
      <sheetName val="Cofins Retido - financeiro"/>
      <sheetName val="CSS Retido"/>
      <sheetName val="CSLL Retido - Financeiro"/>
      <sheetName val="INSS Retido Terceiros"/>
      <sheetName val="ICMS a Recolher - junho 2006"/>
      <sheetName val="ISS a Recolher "/>
      <sheetName val="ISS SantanaDez06"/>
      <sheetName val="ISS Bsb-dez06"/>
      <sheetName val="Exclusão_Adição Iss"/>
      <sheetName val="ISS Retido Tercerios"/>
      <sheetName val="ISS Microsoft"/>
      <sheetName val="Sal. pagar"/>
      <sheetName val="Resc. a pagar"/>
      <sheetName val="Prov.Ferias"/>
      <sheetName val="Prov. 13º Salario"/>
      <sheetName val="contrib.sindical e assisten"/>
      <sheetName val="Pensão alimenticia"/>
      <sheetName val="INSS e FGTS"/>
      <sheetName val="Dividendos a pagar"/>
      <sheetName val="Alugueis"/>
      <sheetName val="Adiant. Clientes - REsumo"/>
      <sheetName val="Furnas"/>
      <sheetName val="Embratel 352493"/>
      <sheetName val="Impostos Diferidos - LP"/>
      <sheetName val="CIDE - RESUMO"/>
      <sheetName val="CIDE a pagar 2003 a 2006"/>
      <sheetName val="CIDE atualização 2002 a 2006"/>
      <sheetName val="Empr.Coligadas"/>
      <sheetName val="DM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529">
          <cell r="O529">
            <v>20928408.605</v>
          </cell>
        </row>
      </sheetData>
      <sheetData sheetId="109"/>
      <sheetData sheetId="110"/>
      <sheetData sheetId="111"/>
      <sheetData sheetId="112"/>
      <sheetData sheetId="11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9"/>
  <sheetViews>
    <sheetView showGridLines="0" tabSelected="1" workbookViewId="0"/>
  </sheetViews>
  <sheetFormatPr defaultRowHeight="14.4" x14ac:dyDescent="0.3"/>
  <cols>
    <col min="2" max="2" width="35.44140625" bestFit="1" customWidth="1"/>
    <col min="3" max="3" width="19" customWidth="1"/>
    <col min="4" max="4" width="20" customWidth="1"/>
    <col min="5" max="5" width="17.5546875" customWidth="1"/>
    <col min="6" max="6" width="15.6640625" customWidth="1"/>
    <col min="7" max="7" width="13.88671875" customWidth="1"/>
    <col min="8" max="8" width="10.109375" customWidth="1"/>
  </cols>
  <sheetData>
    <row r="1" spans="1:21" x14ac:dyDescent="0.3">
      <c r="A1" s="15"/>
      <c r="B1" s="7"/>
      <c r="C1" s="7"/>
      <c r="D1" s="7"/>
      <c r="E1" s="7"/>
    </row>
    <row r="2" spans="1:21" x14ac:dyDescent="0.3">
      <c r="A2" s="15"/>
      <c r="B2" s="7"/>
      <c r="C2" s="8">
        <v>2007</v>
      </c>
      <c r="D2" s="8">
        <v>2006</v>
      </c>
      <c r="E2" s="8">
        <v>2005</v>
      </c>
    </row>
    <row r="3" spans="1:21" x14ac:dyDescent="0.3">
      <c r="A3" s="15"/>
      <c r="B3" s="9" t="s">
        <v>1</v>
      </c>
      <c r="C3" s="51">
        <v>12476</v>
      </c>
      <c r="D3" s="51">
        <v>16078</v>
      </c>
      <c r="E3" s="51">
        <v>8984</v>
      </c>
      <c r="K3" s="2"/>
      <c r="L3" s="2"/>
      <c r="M3" s="2"/>
      <c r="N3" s="1"/>
      <c r="O3" s="1"/>
      <c r="P3" s="2"/>
    </row>
    <row r="4" spans="1:21" x14ac:dyDescent="0.3">
      <c r="A4" s="15"/>
      <c r="B4" s="11" t="s">
        <v>5</v>
      </c>
      <c r="C4" s="52">
        <v>-5889</v>
      </c>
      <c r="D4" s="52">
        <v>-4109</v>
      </c>
      <c r="E4" s="52">
        <v>-3045</v>
      </c>
      <c r="K4" s="5"/>
      <c r="L4" s="5"/>
      <c r="M4" s="5"/>
      <c r="N4" s="4"/>
      <c r="O4" s="4"/>
      <c r="P4" s="5"/>
    </row>
    <row r="5" spans="1:21" x14ac:dyDescent="0.3">
      <c r="A5" s="15"/>
      <c r="B5" s="9" t="s">
        <v>0</v>
      </c>
      <c r="C5" s="53">
        <f>SUM(C3:C4)</f>
        <v>6587</v>
      </c>
      <c r="D5" s="53">
        <f>SUM(D3:D4)</f>
        <v>11969</v>
      </c>
      <c r="E5" s="53">
        <f>SUM(E3:E4)</f>
        <v>5939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3">
      <c r="A6" s="15"/>
      <c r="B6" s="12" t="s">
        <v>2</v>
      </c>
      <c r="C6" s="59">
        <f>C4/C3</f>
        <v>-0.47202629047771721</v>
      </c>
      <c r="D6" s="59">
        <f>D4/D3</f>
        <v>-0.25556661276278142</v>
      </c>
      <c r="E6" s="59">
        <f>E4/E3</f>
        <v>-0.3389358860195904</v>
      </c>
    </row>
    <row r="7" spans="1:21" x14ac:dyDescent="0.3">
      <c r="A7" s="15"/>
      <c r="B7" s="7"/>
      <c r="C7" s="13"/>
      <c r="D7" s="13"/>
      <c r="E7" s="13"/>
    </row>
    <row r="8" spans="1:21" x14ac:dyDescent="0.3">
      <c r="A8" s="15"/>
      <c r="B8" s="7" t="s">
        <v>3</v>
      </c>
      <c r="C8" s="52">
        <f>C3*34%</f>
        <v>4241.84</v>
      </c>
      <c r="D8" s="52">
        <f>D3*34%</f>
        <v>5466.52</v>
      </c>
      <c r="E8" s="52">
        <f>E3*34%</f>
        <v>3054.5600000000004</v>
      </c>
    </row>
    <row r="9" spans="1:21" x14ac:dyDescent="0.3">
      <c r="A9" s="15"/>
      <c r="B9" s="12" t="s">
        <v>4</v>
      </c>
      <c r="C9" s="54">
        <f>C8+C4</f>
        <v>-1647.1599999999999</v>
      </c>
      <c r="D9" s="54">
        <f>D8+D4</f>
        <v>1357.5200000000004</v>
      </c>
      <c r="E9" s="54">
        <f>E8+E4</f>
        <v>9.5600000000004002</v>
      </c>
    </row>
    <row r="10" spans="1:21" x14ac:dyDescent="0.3">
      <c r="A10" s="15"/>
      <c r="B10" s="7"/>
      <c r="C10" s="10"/>
      <c r="D10" s="10"/>
      <c r="E10" s="10"/>
    </row>
    <row r="11" spans="1:21" x14ac:dyDescent="0.3">
      <c r="A11" s="15"/>
      <c r="B11" s="16" t="s">
        <v>6</v>
      </c>
      <c r="C11" s="55">
        <f>SUM(C12:C22)</f>
        <v>23721104.549999997</v>
      </c>
      <c r="D11" s="55">
        <f>SUM(D12:D22)</f>
        <v>6311620.0600000005</v>
      </c>
      <c r="E11" s="55">
        <f>SUM(E12:E22)</f>
        <v>4259021.93</v>
      </c>
    </row>
    <row r="12" spans="1:21" x14ac:dyDescent="0.3">
      <c r="A12" s="15"/>
      <c r="B12" s="7" t="s">
        <v>52</v>
      </c>
      <c r="C12" s="56">
        <v>29805</v>
      </c>
      <c r="D12" s="56">
        <v>107234.76</v>
      </c>
      <c r="E12" s="57"/>
    </row>
    <row r="13" spans="1:21" x14ac:dyDescent="0.3">
      <c r="A13" s="15"/>
      <c r="B13" s="7" t="s">
        <v>53</v>
      </c>
      <c r="C13" s="56">
        <v>109046.61</v>
      </c>
      <c r="D13" s="56">
        <v>106535.67999999999</v>
      </c>
      <c r="E13" s="57"/>
    </row>
    <row r="14" spans="1:21" x14ac:dyDescent="0.3">
      <c r="A14" s="15"/>
      <c r="B14" s="7" t="s">
        <v>54</v>
      </c>
      <c r="C14" s="56">
        <v>159316.68</v>
      </c>
      <c r="D14" s="56">
        <v>16991</v>
      </c>
      <c r="E14" s="57"/>
    </row>
    <row r="15" spans="1:21" x14ac:dyDescent="0.3">
      <c r="A15" s="15"/>
      <c r="B15" s="7" t="s">
        <v>55</v>
      </c>
      <c r="C15" s="56">
        <v>184600.4</v>
      </c>
      <c r="D15" s="57"/>
      <c r="E15" s="57"/>
    </row>
    <row r="16" spans="1:21" x14ac:dyDescent="0.3">
      <c r="A16" s="15"/>
      <c r="B16" s="7" t="s">
        <v>56</v>
      </c>
      <c r="C16" s="56">
        <v>2414.71</v>
      </c>
      <c r="D16" s="56">
        <v>880</v>
      </c>
      <c r="E16" s="57"/>
    </row>
    <row r="17" spans="1:6" x14ac:dyDescent="0.3">
      <c r="A17" s="15"/>
      <c r="B17" s="7" t="s">
        <v>60</v>
      </c>
      <c r="C17" s="56">
        <v>20928408.609999999</v>
      </c>
      <c r="D17" s="56">
        <v>3345619.85</v>
      </c>
      <c r="E17" s="57"/>
    </row>
    <row r="18" spans="1:6" x14ac:dyDescent="0.3">
      <c r="A18" s="15"/>
      <c r="B18" s="7" t="s">
        <v>57</v>
      </c>
      <c r="C18" s="58">
        <v>1019395.2</v>
      </c>
      <c r="D18" s="56">
        <v>2689358.77</v>
      </c>
      <c r="E18" s="57"/>
    </row>
    <row r="19" spans="1:6" x14ac:dyDescent="0.3">
      <c r="A19" s="15"/>
      <c r="B19" s="7" t="s">
        <v>71</v>
      </c>
      <c r="C19" s="58">
        <v>1276186.3700000001</v>
      </c>
      <c r="D19" s="57"/>
      <c r="E19" s="57"/>
    </row>
    <row r="20" spans="1:6" x14ac:dyDescent="0.3">
      <c r="A20" s="15"/>
      <c r="B20" s="7" t="s">
        <v>58</v>
      </c>
      <c r="C20" s="56">
        <v>11930.97</v>
      </c>
      <c r="D20" s="57"/>
      <c r="E20" s="57"/>
      <c r="F20" s="46"/>
    </row>
    <row r="21" spans="1:6" x14ac:dyDescent="0.3">
      <c r="A21" s="15"/>
      <c r="B21" s="7" t="s">
        <v>61</v>
      </c>
      <c r="C21" s="57">
        <v>0</v>
      </c>
      <c r="D21" s="56">
        <v>45000</v>
      </c>
      <c r="E21" s="57"/>
      <c r="F21" s="50"/>
    </row>
    <row r="22" spans="1:6" x14ac:dyDescent="0.3">
      <c r="A22" s="15"/>
      <c r="B22" s="7" t="s">
        <v>70</v>
      </c>
      <c r="C22" s="57">
        <v>0</v>
      </c>
      <c r="D22" s="57"/>
      <c r="E22" s="57">
        <v>4259021.93</v>
      </c>
      <c r="F22" s="50"/>
    </row>
    <row r="23" spans="1:6" x14ac:dyDescent="0.3">
      <c r="A23" s="15"/>
      <c r="B23" s="17" t="s">
        <v>7</v>
      </c>
      <c r="C23" s="45">
        <f>SUM(C24:C29)</f>
        <v>15304374.810000001</v>
      </c>
      <c r="D23" s="45">
        <f>SUM(D24:D29)</f>
        <v>20928408.609999999</v>
      </c>
      <c r="E23" s="45">
        <f>SUM(E24:E29)</f>
        <v>3345619.85</v>
      </c>
    </row>
    <row r="24" spans="1:6" x14ac:dyDescent="0.3">
      <c r="A24" s="15"/>
      <c r="B24" s="7" t="s">
        <v>59</v>
      </c>
      <c r="C24" s="14">
        <v>15304374.810000001</v>
      </c>
      <c r="D24" s="14">
        <v>20928408.609999999</v>
      </c>
      <c r="E24" s="14">
        <v>3345619.85</v>
      </c>
    </row>
    <row r="25" spans="1:6" x14ac:dyDescent="0.3">
      <c r="A25" s="37"/>
      <c r="B25" s="26" t="s">
        <v>26</v>
      </c>
      <c r="C25" s="14"/>
      <c r="D25" s="14"/>
      <c r="E25" s="14"/>
    </row>
    <row r="26" spans="1:6" x14ac:dyDescent="0.3">
      <c r="A26" s="37"/>
      <c r="B26" s="26" t="s">
        <v>27</v>
      </c>
      <c r="C26" s="14"/>
      <c r="D26" s="14"/>
      <c r="E26" s="14"/>
    </row>
    <row r="27" spans="1:6" x14ac:dyDescent="0.3">
      <c r="A27" s="15"/>
      <c r="B27" s="7" t="s">
        <v>62</v>
      </c>
      <c r="C27" s="14">
        <v>0</v>
      </c>
      <c r="D27" s="14">
        <v>0</v>
      </c>
      <c r="E27" s="14"/>
      <c r="F27" s="6"/>
    </row>
    <row r="28" spans="1:6" x14ac:dyDescent="0.3">
      <c r="A28" s="15"/>
      <c r="B28" s="7"/>
      <c r="C28" s="14">
        <v>0</v>
      </c>
      <c r="D28" s="14"/>
      <c r="E28" s="14">
        <v>0</v>
      </c>
      <c r="F28" s="46"/>
    </row>
    <row r="29" spans="1:6" x14ac:dyDescent="0.3">
      <c r="A29" s="15"/>
      <c r="B29" s="7"/>
      <c r="C29" s="14">
        <v>0</v>
      </c>
      <c r="D29" s="14"/>
      <c r="E29" s="14"/>
    </row>
    <row r="30" spans="1:6" x14ac:dyDescent="0.3">
      <c r="A30" s="15"/>
      <c r="B30" s="12" t="s">
        <v>8</v>
      </c>
      <c r="C30" s="14"/>
      <c r="D30" s="14"/>
      <c r="E30" s="14"/>
    </row>
    <row r="31" spans="1:6" x14ac:dyDescent="0.3">
      <c r="A31" s="15"/>
      <c r="B31" s="7"/>
      <c r="C31" s="14"/>
      <c r="D31" s="14"/>
      <c r="E31" s="14"/>
    </row>
    <row r="32" spans="1:6" x14ac:dyDescent="0.3">
      <c r="A32" s="15"/>
      <c r="B32" s="7" t="s">
        <v>9</v>
      </c>
      <c r="C32" s="14"/>
      <c r="D32" s="14"/>
      <c r="E32" s="14"/>
    </row>
    <row r="33" spans="1:5" x14ac:dyDescent="0.3">
      <c r="A33" s="15"/>
      <c r="B33" s="7"/>
      <c r="C33" s="14"/>
      <c r="D33" s="14"/>
      <c r="E33" s="14"/>
    </row>
    <row r="34" spans="1:5" x14ac:dyDescent="0.3">
      <c r="A34" s="15"/>
      <c r="B34" s="7"/>
      <c r="C34" s="14"/>
      <c r="D34" s="14"/>
      <c r="E34" s="14"/>
    </row>
    <row r="35" spans="1:5" x14ac:dyDescent="0.3">
      <c r="A35" s="15"/>
      <c r="B35" s="7"/>
      <c r="C35" s="14"/>
      <c r="D35" s="14"/>
      <c r="E35" s="14"/>
    </row>
    <row r="36" spans="1:5" x14ac:dyDescent="0.3">
      <c r="A36" s="15"/>
      <c r="B36" s="7"/>
      <c r="C36" s="14"/>
      <c r="D36" s="14"/>
      <c r="E36" s="14"/>
    </row>
    <row r="37" spans="1:5" x14ac:dyDescent="0.3">
      <c r="A37" s="15"/>
      <c r="B37" s="7"/>
      <c r="C37" s="14"/>
      <c r="D37" s="14"/>
      <c r="E37" s="14"/>
    </row>
    <row r="38" spans="1:5" x14ac:dyDescent="0.3">
      <c r="A38" s="15"/>
      <c r="B38" s="7"/>
      <c r="C38" s="14"/>
      <c r="D38" s="14"/>
      <c r="E38" s="14"/>
    </row>
    <row r="39" spans="1:5" x14ac:dyDescent="0.3">
      <c r="A39" s="15"/>
      <c r="B39" s="7"/>
      <c r="C39" s="14"/>
      <c r="D39" s="14"/>
      <c r="E39" s="14"/>
    </row>
  </sheetData>
  <phoneticPr fontId="5" type="noConversion"/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0"/>
  <sheetViews>
    <sheetView showGridLines="0" workbookViewId="0"/>
  </sheetViews>
  <sheetFormatPr defaultRowHeight="14.4" x14ac:dyDescent="0.3"/>
  <cols>
    <col min="3" max="3" width="37.6640625" customWidth="1"/>
    <col min="4" max="4" width="27" customWidth="1"/>
  </cols>
  <sheetData>
    <row r="2" spans="3:4" x14ac:dyDescent="0.3">
      <c r="C2" s="25" t="s">
        <v>51</v>
      </c>
      <c r="D2" s="38">
        <v>39052</v>
      </c>
    </row>
    <row r="3" spans="3:4" x14ac:dyDescent="0.3">
      <c r="C3" s="26"/>
      <c r="D3" s="38"/>
    </row>
    <row r="4" spans="3:4" x14ac:dyDescent="0.3">
      <c r="C4" s="26" t="s">
        <v>10</v>
      </c>
      <c r="D4" s="38">
        <v>134351800.68000001</v>
      </c>
    </row>
    <row r="5" spans="3:4" x14ac:dyDescent="0.3">
      <c r="C5" s="26" t="s">
        <v>11</v>
      </c>
      <c r="D5" s="38">
        <v>-86846325.420000002</v>
      </c>
    </row>
    <row r="6" spans="3:4" x14ac:dyDescent="0.3">
      <c r="C6" s="26" t="s">
        <v>12</v>
      </c>
      <c r="D6" s="38">
        <v>-24632409.48</v>
      </c>
    </row>
    <row r="7" spans="3:4" x14ac:dyDescent="0.3">
      <c r="C7" s="29" t="s">
        <v>13</v>
      </c>
      <c r="D7" s="38">
        <f>SUM(D4:D6)</f>
        <v>22873065.780000005</v>
      </c>
    </row>
    <row r="8" spans="3:4" x14ac:dyDescent="0.3">
      <c r="C8" s="26"/>
      <c r="D8" s="38"/>
    </row>
    <row r="9" spans="3:4" x14ac:dyDescent="0.3">
      <c r="C9" s="31" t="s">
        <v>14</v>
      </c>
      <c r="D9" s="43">
        <f>SUM(D10:D21)</f>
        <v>10713920.2072</v>
      </c>
    </row>
    <row r="10" spans="3:4" x14ac:dyDescent="0.3">
      <c r="C10" s="26"/>
      <c r="D10" s="38"/>
    </row>
    <row r="11" spans="3:4" x14ac:dyDescent="0.3">
      <c r="C11" s="26" t="s">
        <v>26</v>
      </c>
      <c r="D11" s="38">
        <v>7091658.9199999999</v>
      </c>
    </row>
    <row r="12" spans="3:4" x14ac:dyDescent="0.3">
      <c r="C12" s="26" t="s">
        <v>15</v>
      </c>
      <c r="D12" s="38">
        <v>107234.76</v>
      </c>
    </row>
    <row r="13" spans="3:4" x14ac:dyDescent="0.3">
      <c r="C13" s="26" t="s">
        <v>63</v>
      </c>
      <c r="D13" s="38">
        <v>0</v>
      </c>
    </row>
    <row r="14" spans="3:4" x14ac:dyDescent="0.3">
      <c r="C14" s="26" t="s">
        <v>16</v>
      </c>
      <c r="D14" s="38">
        <v>106535.67999999999</v>
      </c>
    </row>
    <row r="15" spans="3:4" x14ac:dyDescent="0.3">
      <c r="C15" s="26" t="s">
        <v>17</v>
      </c>
      <c r="D15" s="38">
        <v>16991</v>
      </c>
    </row>
    <row r="16" spans="3:4" x14ac:dyDescent="0.3">
      <c r="C16" s="26" t="s">
        <v>19</v>
      </c>
      <c r="D16" s="38">
        <v>880</v>
      </c>
    </row>
    <row r="17" spans="3:4" x14ac:dyDescent="0.3">
      <c r="C17" s="26" t="s">
        <v>20</v>
      </c>
      <c r="D17" s="38">
        <f>'[1]Impostos Diferidos'!$O$209</f>
        <v>3345619.8472000007</v>
      </c>
    </row>
    <row r="18" spans="3:4" x14ac:dyDescent="0.3">
      <c r="C18" s="26" t="s">
        <v>64</v>
      </c>
      <c r="D18" s="38"/>
    </row>
    <row r="19" spans="3:4" x14ac:dyDescent="0.3">
      <c r="C19" s="26" t="s">
        <v>65</v>
      </c>
      <c r="D19" s="38">
        <v>45000</v>
      </c>
    </row>
    <row r="20" spans="3:4" x14ac:dyDescent="0.3">
      <c r="C20" s="26" t="s">
        <v>66</v>
      </c>
      <c r="D20" s="38"/>
    </row>
    <row r="21" spans="3:4" x14ac:dyDescent="0.3">
      <c r="C21" s="26"/>
      <c r="D21" s="38"/>
    </row>
    <row r="22" spans="3:4" x14ac:dyDescent="0.3">
      <c r="C22" s="31" t="s">
        <v>24</v>
      </c>
      <c r="D22" s="43">
        <f>SUM(D23:D25)</f>
        <v>22041919.355</v>
      </c>
    </row>
    <row r="23" spans="3:4" x14ac:dyDescent="0.3">
      <c r="C23" s="26" t="s">
        <v>25</v>
      </c>
      <c r="D23" s="38">
        <f>'[2]Impostos Diferidos - LP'!$O$529</f>
        <v>20928408.605</v>
      </c>
    </row>
    <row r="24" spans="3:4" x14ac:dyDescent="0.3">
      <c r="C24" s="26" t="s">
        <v>67</v>
      </c>
      <c r="D24" s="38">
        <v>1113510.75</v>
      </c>
    </row>
    <row r="25" spans="3:4" x14ac:dyDescent="0.3">
      <c r="C25" s="26"/>
      <c r="D25" s="38"/>
    </row>
    <row r="26" spans="3:4" x14ac:dyDescent="0.3">
      <c r="C26" s="29" t="s">
        <v>28</v>
      </c>
      <c r="D26" s="44">
        <f>D7+D9-D22</f>
        <v>11545066.632200006</v>
      </c>
    </row>
    <row r="27" spans="3:4" x14ac:dyDescent="0.3">
      <c r="C27" s="35" t="s">
        <v>29</v>
      </c>
      <c r="D27" s="38">
        <v>0</v>
      </c>
    </row>
    <row r="28" spans="3:4" x14ac:dyDescent="0.3">
      <c r="C28" s="29" t="s">
        <v>30</v>
      </c>
      <c r="D28" s="44">
        <f>D26+D27</f>
        <v>11545066.632200006</v>
      </c>
    </row>
    <row r="29" spans="3:4" x14ac:dyDescent="0.3">
      <c r="C29" s="35"/>
      <c r="D29" s="38"/>
    </row>
    <row r="30" spans="3:4" x14ac:dyDescent="0.3">
      <c r="C30" s="26" t="s">
        <v>31</v>
      </c>
      <c r="D30" s="38">
        <f>IF(D28&gt;=0,(D28*15%),0)</f>
        <v>1731759.9948300009</v>
      </c>
    </row>
    <row r="31" spans="3:4" x14ac:dyDescent="0.3">
      <c r="C31" s="26" t="s">
        <v>32</v>
      </c>
      <c r="D31" s="38">
        <f>IF(D28&gt;D47,(D28-D47)*10%,0)</f>
        <v>1130506.6632200007</v>
      </c>
    </row>
    <row r="32" spans="3:4" x14ac:dyDescent="0.3">
      <c r="C32" s="26" t="s">
        <v>33</v>
      </c>
      <c r="D32" s="38">
        <f>IF(D30*0.04&lt;D46*0.15,D30*0.04,D46*0.15)</f>
        <v>47436.087</v>
      </c>
    </row>
    <row r="33" spans="2:5" x14ac:dyDescent="0.3">
      <c r="C33" s="29" t="s">
        <v>34</v>
      </c>
      <c r="D33" s="38">
        <f>D30+D31-D32</f>
        <v>2814830.5710500018</v>
      </c>
    </row>
    <row r="34" spans="2:5" x14ac:dyDescent="0.3">
      <c r="C34" s="29" t="s">
        <v>35</v>
      </c>
      <c r="D34" s="38">
        <v>19019179.212052003</v>
      </c>
    </row>
    <row r="35" spans="2:5" x14ac:dyDescent="0.3">
      <c r="C35" s="26" t="s">
        <v>36</v>
      </c>
      <c r="D35" s="38">
        <v>0</v>
      </c>
    </row>
    <row r="36" spans="2:5" x14ac:dyDescent="0.3">
      <c r="C36" s="26" t="s">
        <v>68</v>
      </c>
      <c r="D36" s="38">
        <v>2910694.39</v>
      </c>
    </row>
    <row r="37" spans="2:5" x14ac:dyDescent="0.3">
      <c r="C37" s="26" t="s">
        <v>39</v>
      </c>
      <c r="D37" s="38">
        <v>220899.19</v>
      </c>
    </row>
    <row r="38" spans="2:5" x14ac:dyDescent="0.3">
      <c r="C38" s="26" t="s">
        <v>40</v>
      </c>
      <c r="D38" s="38">
        <v>40445.15</v>
      </c>
    </row>
    <row r="39" spans="2:5" x14ac:dyDescent="0.3">
      <c r="C39" s="26" t="s">
        <v>41</v>
      </c>
      <c r="D39" s="38">
        <v>436.43</v>
      </c>
    </row>
    <row r="40" spans="2:5" x14ac:dyDescent="0.3">
      <c r="C40" s="26" t="s">
        <v>42</v>
      </c>
      <c r="D40" s="38">
        <v>59306</v>
      </c>
    </row>
    <row r="41" spans="2:5" x14ac:dyDescent="0.3">
      <c r="C41" s="31" t="s">
        <v>43</v>
      </c>
      <c r="D41" s="38">
        <f>SUM(D35:D40)</f>
        <v>3231781.16</v>
      </c>
    </row>
    <row r="42" spans="2:5" x14ac:dyDescent="0.3">
      <c r="C42" s="31" t="s">
        <v>44</v>
      </c>
      <c r="D42" s="38">
        <f>D33</f>
        <v>2814830.5710500018</v>
      </c>
    </row>
    <row r="43" spans="2:5" x14ac:dyDescent="0.3">
      <c r="C43" s="31" t="s">
        <v>45</v>
      </c>
      <c r="D43" s="14">
        <f>D33-D41</f>
        <v>-416950.58894999838</v>
      </c>
    </row>
    <row r="44" spans="2:5" x14ac:dyDescent="0.3">
      <c r="B44" s="40"/>
      <c r="C44" s="23" t="s">
        <v>69</v>
      </c>
      <c r="D44" s="41">
        <f>+D43+D35+D39</f>
        <v>-416514.15894999838</v>
      </c>
      <c r="E44" s="49"/>
    </row>
    <row r="45" spans="2:5" x14ac:dyDescent="0.3">
      <c r="B45" s="40"/>
      <c r="C45" s="23"/>
      <c r="D45" s="41"/>
      <c r="E45" s="40"/>
    </row>
    <row r="46" spans="2:5" x14ac:dyDescent="0.3">
      <c r="B46" s="40"/>
      <c r="C46" s="42" t="s">
        <v>48</v>
      </c>
      <c r="D46" s="41">
        <v>316240.58</v>
      </c>
      <c r="E46" s="40"/>
    </row>
    <row r="47" spans="2:5" x14ac:dyDescent="0.3">
      <c r="B47" s="40"/>
      <c r="C47" s="42" t="s">
        <v>49</v>
      </c>
      <c r="D47" s="41">
        <f>20000*D48</f>
        <v>240000</v>
      </c>
      <c r="E47" s="40"/>
    </row>
    <row r="48" spans="2:5" x14ac:dyDescent="0.3">
      <c r="B48" s="40"/>
      <c r="C48" s="42" t="s">
        <v>50</v>
      </c>
      <c r="D48" s="41">
        <v>12</v>
      </c>
      <c r="E48" s="40"/>
    </row>
    <row r="49" spans="2:5" x14ac:dyDescent="0.3">
      <c r="B49" s="40"/>
      <c r="C49" s="42"/>
      <c r="D49" s="40"/>
      <c r="E49" s="40"/>
    </row>
    <row r="50" spans="2:5" x14ac:dyDescent="0.3">
      <c r="B50" s="40"/>
      <c r="C50" s="40"/>
      <c r="D50" s="40"/>
      <c r="E50" s="40"/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H59"/>
  <sheetViews>
    <sheetView showGridLines="0" workbookViewId="0"/>
  </sheetViews>
  <sheetFormatPr defaultRowHeight="14.4" x14ac:dyDescent="0.3"/>
  <cols>
    <col min="5" max="5" width="41.33203125" customWidth="1"/>
    <col min="6" max="6" width="2.5546875" hidden="1" customWidth="1"/>
    <col min="7" max="7" width="21.6640625" customWidth="1"/>
  </cols>
  <sheetData>
    <row r="3" spans="5:7" x14ac:dyDescent="0.3">
      <c r="G3" s="18"/>
    </row>
    <row r="4" spans="5:7" x14ac:dyDescent="0.3">
      <c r="G4" s="18"/>
    </row>
    <row r="5" spans="5:7" x14ac:dyDescent="0.3">
      <c r="E5" s="25" t="s">
        <v>51</v>
      </c>
      <c r="F5" s="26"/>
      <c r="G5" s="27">
        <v>39417</v>
      </c>
    </row>
    <row r="6" spans="5:7" x14ac:dyDescent="0.3">
      <c r="E6" s="26"/>
      <c r="F6" s="7"/>
      <c r="G6" s="26"/>
    </row>
    <row r="7" spans="5:7" x14ac:dyDescent="0.3">
      <c r="E7" s="26" t="s">
        <v>10</v>
      </c>
      <c r="F7" s="7"/>
      <c r="G7" s="28">
        <v>133747182.34</v>
      </c>
    </row>
    <row r="8" spans="5:7" x14ac:dyDescent="0.3">
      <c r="E8" s="26" t="s">
        <v>11</v>
      </c>
      <c r="F8" s="7"/>
      <c r="G8" s="28">
        <v>-79396689.510000005</v>
      </c>
    </row>
    <row r="9" spans="5:7" x14ac:dyDescent="0.3">
      <c r="E9" s="26" t="s">
        <v>12</v>
      </c>
      <c r="F9" s="7"/>
      <c r="G9" s="28">
        <v>-45439674.609999999</v>
      </c>
    </row>
    <row r="10" spans="5:7" x14ac:dyDescent="0.3">
      <c r="E10" s="29" t="s">
        <v>13</v>
      </c>
      <c r="F10" s="7"/>
      <c r="G10" s="30">
        <v>8910818.2199999988</v>
      </c>
    </row>
    <row r="11" spans="5:7" x14ac:dyDescent="0.3">
      <c r="E11" s="26"/>
      <c r="F11" s="7"/>
      <c r="G11" s="28"/>
    </row>
    <row r="12" spans="5:7" x14ac:dyDescent="0.3">
      <c r="E12" s="31" t="s">
        <v>14</v>
      </c>
      <c r="F12" s="7"/>
      <c r="G12" s="32">
        <v>31526912.468362849</v>
      </c>
    </row>
    <row r="13" spans="5:7" x14ac:dyDescent="0.3">
      <c r="E13" s="26"/>
      <c r="F13" s="7"/>
      <c r="G13" s="33"/>
    </row>
    <row r="14" spans="5:7" x14ac:dyDescent="0.3">
      <c r="E14" s="26" t="s">
        <v>15</v>
      </c>
      <c r="F14" s="7"/>
      <c r="G14" s="34">
        <v>29805</v>
      </c>
    </row>
    <row r="15" spans="5:7" x14ac:dyDescent="0.3">
      <c r="E15" s="26" t="s">
        <v>16</v>
      </c>
      <c r="F15" s="7"/>
      <c r="G15" s="34">
        <v>109046.61</v>
      </c>
    </row>
    <row r="16" spans="5:7" x14ac:dyDescent="0.3">
      <c r="E16" s="26" t="s">
        <v>17</v>
      </c>
      <c r="F16" s="7"/>
      <c r="G16" s="34">
        <v>159316.68</v>
      </c>
    </row>
    <row r="17" spans="5:7" x14ac:dyDescent="0.3">
      <c r="E17" s="26" t="s">
        <v>18</v>
      </c>
      <c r="F17" s="7"/>
      <c r="G17" s="34">
        <v>184600.4</v>
      </c>
    </row>
    <row r="18" spans="5:7" x14ac:dyDescent="0.3">
      <c r="E18" s="26" t="s">
        <v>19</v>
      </c>
      <c r="F18" s="7"/>
      <c r="G18" s="34">
        <v>2414.71</v>
      </c>
    </row>
    <row r="19" spans="5:7" x14ac:dyDescent="0.3">
      <c r="E19" s="26" t="s">
        <v>20</v>
      </c>
      <c r="F19" s="7"/>
      <c r="G19" s="34">
        <v>20928408.609999999</v>
      </c>
    </row>
    <row r="20" spans="5:7" x14ac:dyDescent="0.3">
      <c r="E20" s="26" t="s">
        <v>21</v>
      </c>
      <c r="F20" s="7"/>
      <c r="G20" s="34">
        <v>5179487.4360799994</v>
      </c>
    </row>
    <row r="21" spans="5:7" x14ac:dyDescent="0.3">
      <c r="E21" s="26" t="s">
        <v>22</v>
      </c>
      <c r="F21" s="7"/>
      <c r="G21" s="34">
        <v>4921902.0522828512</v>
      </c>
    </row>
    <row r="22" spans="5:7" x14ac:dyDescent="0.3">
      <c r="E22" s="26" t="s">
        <v>23</v>
      </c>
      <c r="F22" s="7"/>
      <c r="G22" s="34">
        <v>11930.97</v>
      </c>
    </row>
    <row r="23" spans="5:7" x14ac:dyDescent="0.3">
      <c r="E23" s="26"/>
      <c r="F23" s="7"/>
      <c r="G23" s="28"/>
    </row>
    <row r="24" spans="5:7" x14ac:dyDescent="0.3">
      <c r="E24" s="31" t="s">
        <v>24</v>
      </c>
      <c r="F24" s="7"/>
      <c r="G24" s="32">
        <v>22652363.231999997</v>
      </c>
    </row>
    <row r="25" spans="5:7" x14ac:dyDescent="0.3">
      <c r="E25" s="26" t="s">
        <v>25</v>
      </c>
      <c r="F25" s="7"/>
      <c r="G25" s="28">
        <v>15304374.811999999</v>
      </c>
    </row>
    <row r="26" spans="5:7" x14ac:dyDescent="0.3">
      <c r="E26" s="26" t="s">
        <v>26</v>
      </c>
      <c r="F26" s="7"/>
      <c r="G26" s="34">
        <v>7091658.9299999997</v>
      </c>
    </row>
    <row r="27" spans="5:7" x14ac:dyDescent="0.3">
      <c r="E27" s="26" t="s">
        <v>27</v>
      </c>
      <c r="F27" s="7"/>
      <c r="G27" s="34">
        <v>256329.49</v>
      </c>
    </row>
    <row r="28" spans="5:7" x14ac:dyDescent="0.3">
      <c r="E28" s="26"/>
      <c r="F28" s="7"/>
      <c r="G28" s="28"/>
    </row>
    <row r="29" spans="5:7" x14ac:dyDescent="0.3">
      <c r="E29" s="29" t="s">
        <v>28</v>
      </c>
      <c r="F29" s="7"/>
      <c r="G29" s="30">
        <v>17785367.456362855</v>
      </c>
    </row>
    <row r="30" spans="5:7" x14ac:dyDescent="0.3">
      <c r="E30" s="35" t="s">
        <v>29</v>
      </c>
      <c r="F30" s="7"/>
      <c r="G30" s="34">
        <v>0</v>
      </c>
    </row>
    <row r="31" spans="5:7" x14ac:dyDescent="0.3">
      <c r="E31" s="29" t="s">
        <v>30</v>
      </c>
      <c r="F31" s="7"/>
      <c r="G31" s="30">
        <v>17785367.456362855</v>
      </c>
    </row>
    <row r="32" spans="5:7" x14ac:dyDescent="0.3">
      <c r="E32" s="35"/>
      <c r="F32" s="7"/>
      <c r="G32" s="33"/>
    </row>
    <row r="33" spans="5:8" x14ac:dyDescent="0.3">
      <c r="E33" s="26" t="s">
        <v>31</v>
      </c>
      <c r="F33" s="7"/>
      <c r="G33" s="28">
        <v>2667805.1184544279</v>
      </c>
    </row>
    <row r="34" spans="5:8" x14ac:dyDescent="0.3">
      <c r="E34" s="26" t="s">
        <v>32</v>
      </c>
      <c r="F34" s="7"/>
      <c r="G34" s="28">
        <v>1754536.7456362855</v>
      </c>
    </row>
    <row r="35" spans="5:8" x14ac:dyDescent="0.3">
      <c r="E35" s="26" t="s">
        <v>33</v>
      </c>
      <c r="F35" s="7"/>
      <c r="G35" s="28">
        <v>106712.20473817713</v>
      </c>
    </row>
    <row r="36" spans="5:8" x14ac:dyDescent="0.3">
      <c r="E36" s="29" t="s">
        <v>34</v>
      </c>
      <c r="F36" s="7"/>
      <c r="G36" s="30">
        <v>4315629.6593525363</v>
      </c>
    </row>
    <row r="37" spans="5:8" x14ac:dyDescent="0.3">
      <c r="E37" s="29" t="s">
        <v>35</v>
      </c>
      <c r="F37" s="7"/>
      <c r="G37" s="30">
        <v>7933021.5778576564</v>
      </c>
    </row>
    <row r="38" spans="5:8" x14ac:dyDescent="0.3">
      <c r="E38" s="26" t="s">
        <v>36</v>
      </c>
      <c r="F38" s="7"/>
      <c r="G38" s="28">
        <v>0</v>
      </c>
    </row>
    <row r="39" spans="5:8" x14ac:dyDescent="0.3">
      <c r="E39" s="26" t="s">
        <v>37</v>
      </c>
      <c r="F39" s="7"/>
      <c r="G39" s="28">
        <v>3835116.8</v>
      </c>
    </row>
    <row r="40" spans="5:8" x14ac:dyDescent="0.3">
      <c r="E40" s="26" t="s">
        <v>38</v>
      </c>
      <c r="F40" s="7"/>
      <c r="G40" s="28">
        <v>535531.96</v>
      </c>
    </row>
    <row r="41" spans="5:8" x14ac:dyDescent="0.3">
      <c r="E41" s="26" t="s">
        <v>39</v>
      </c>
      <c r="F41" s="7"/>
      <c r="G41" s="28">
        <v>84816.74</v>
      </c>
    </row>
    <row r="42" spans="5:8" x14ac:dyDescent="0.3">
      <c r="E42" s="26" t="s">
        <v>40</v>
      </c>
      <c r="F42" s="7"/>
      <c r="G42" s="28">
        <v>360471.11</v>
      </c>
    </row>
    <row r="43" spans="5:8" x14ac:dyDescent="0.3">
      <c r="E43" s="26" t="s">
        <v>41</v>
      </c>
      <c r="F43" s="7"/>
      <c r="G43" s="28">
        <v>766.77</v>
      </c>
    </row>
    <row r="44" spans="5:8" x14ac:dyDescent="0.3">
      <c r="E44" s="26" t="s">
        <v>42</v>
      </c>
      <c r="F44" s="7"/>
      <c r="G44" s="28">
        <v>93312.28</v>
      </c>
    </row>
    <row r="45" spans="5:8" x14ac:dyDescent="0.3">
      <c r="E45" s="31" t="s">
        <v>43</v>
      </c>
      <c r="F45" s="7"/>
      <c r="G45" s="36">
        <v>4910015.66</v>
      </c>
    </row>
    <row r="46" spans="5:8" x14ac:dyDescent="0.3">
      <c r="E46" s="31" t="s">
        <v>44</v>
      </c>
      <c r="F46" s="7"/>
      <c r="G46" s="36">
        <v>4315629.6593525363</v>
      </c>
    </row>
    <row r="47" spans="5:8" x14ac:dyDescent="0.3">
      <c r="E47" s="39" t="s">
        <v>45</v>
      </c>
      <c r="F47" s="47"/>
      <c r="G47" s="48">
        <v>-594386.00064746384</v>
      </c>
    </row>
    <row r="48" spans="5:8" x14ac:dyDescent="0.3">
      <c r="E48" s="23" t="s">
        <v>46</v>
      </c>
      <c r="F48" s="40"/>
      <c r="G48" s="19"/>
      <c r="H48" s="40"/>
    </row>
    <row r="49" spans="5:8" x14ac:dyDescent="0.3">
      <c r="E49" s="42" t="s">
        <v>47</v>
      </c>
      <c r="F49" s="40"/>
      <c r="G49" s="19">
        <v>725916.78283452569</v>
      </c>
      <c r="H49" s="40"/>
    </row>
    <row r="50" spans="5:8" x14ac:dyDescent="0.3">
      <c r="E50" s="18"/>
      <c r="G50" s="19"/>
    </row>
    <row r="51" spans="5:8" x14ac:dyDescent="0.3">
      <c r="E51" s="18" t="s">
        <v>48</v>
      </c>
      <c r="G51" s="20">
        <v>1189299.1000000001</v>
      </c>
    </row>
    <row r="52" spans="5:8" x14ac:dyDescent="0.3">
      <c r="E52" s="18" t="s">
        <v>49</v>
      </c>
      <c r="G52" s="20">
        <v>240000</v>
      </c>
    </row>
    <row r="53" spans="5:8" x14ac:dyDescent="0.3">
      <c r="E53" s="18" t="s">
        <v>50</v>
      </c>
      <c r="G53" s="21">
        <v>12</v>
      </c>
    </row>
    <row r="54" spans="5:8" x14ac:dyDescent="0.3">
      <c r="E54" s="18"/>
      <c r="G54" s="18"/>
    </row>
    <row r="55" spans="5:8" x14ac:dyDescent="0.3">
      <c r="E55" s="18"/>
      <c r="G55" s="18"/>
    </row>
    <row r="56" spans="5:8" x14ac:dyDescent="0.3">
      <c r="E56" s="18"/>
      <c r="G56" s="20">
        <v>839557.66735452181</v>
      </c>
    </row>
    <row r="57" spans="5:8" x14ac:dyDescent="0.3">
      <c r="E57" s="24"/>
      <c r="G57" s="22"/>
    </row>
    <row r="58" spans="5:8" x14ac:dyDescent="0.3">
      <c r="E58" s="18"/>
      <c r="G58" s="22">
        <v>3731197.7105051926</v>
      </c>
    </row>
    <row r="59" spans="5:8" x14ac:dyDescent="0.3">
      <c r="G59" s="18"/>
    </row>
  </sheetData>
  <phoneticPr fontId="5" type="noConversion"/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taxa nominal e efetiva</vt:lpstr>
      <vt:lpstr>carga 2006</vt:lpstr>
      <vt:lpstr>carga 2007</vt:lpstr>
      <vt:lpstr>'carga 2007'!Area_de_impressao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Ehmke</dc:creator>
  <cp:lastModifiedBy>milgoncalves120122</cp:lastModifiedBy>
  <cp:lastPrinted>2008-08-21T19:16:18Z</cp:lastPrinted>
  <dcterms:created xsi:type="dcterms:W3CDTF">2008-08-20T17:15:27Z</dcterms:created>
  <dcterms:modified xsi:type="dcterms:W3CDTF">2022-01-18T16:50:43Z</dcterms:modified>
</cp:coreProperties>
</file>