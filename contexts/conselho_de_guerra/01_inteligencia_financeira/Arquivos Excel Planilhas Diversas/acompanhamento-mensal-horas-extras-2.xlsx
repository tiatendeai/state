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filterPrivacy="1"/>
  <bookViews>
    <workbookView xWindow="0" yWindow="0" windowWidth="16380" windowHeight="8190" tabRatio="212" xr2:uid="{00000000-000D-0000-FFFF-FFFF00000000}"/>
  </bookViews>
  <sheets>
    <sheet name="HORAS EXTRAS" sheetId="1" r:id="rId1"/>
  </sheets>
  <definedNames>
    <definedName name="_xlnm.Print_Area" localSheetId="0">'HORAS EXTRAS'!$F$21:$AL$69</definedName>
  </definedNames>
  <calcPr calcId="171026"/>
</workbook>
</file>

<file path=xl/calcChain.xml><?xml version="1.0" encoding="utf-8"?>
<calcChain xmlns="http://schemas.openxmlformats.org/spreadsheetml/2006/main">
  <c r="AF22" i="1" l="1"/>
  <c r="K9" i="1"/>
  <c r="K10" i="1"/>
  <c r="K11" i="1"/>
  <c r="B17" i="1"/>
  <c r="L9" i="1"/>
  <c r="C17" i="1"/>
  <c r="L10" i="1"/>
  <c r="D17" i="1"/>
  <c r="L11" i="1"/>
  <c r="B19" i="1"/>
  <c r="M9" i="1"/>
  <c r="C19" i="1"/>
  <c r="M10" i="1"/>
  <c r="D19" i="1"/>
  <c r="M11" i="1"/>
  <c r="F22" i="1"/>
  <c r="O27" i="1"/>
  <c r="P27" i="1"/>
  <c r="T27" i="1"/>
  <c r="U27" i="1"/>
  <c r="I29" i="1"/>
  <c r="K29" i="1"/>
  <c r="AJ29" i="1"/>
  <c r="R29" i="1"/>
  <c r="W29" i="1"/>
  <c r="Y29" i="1"/>
  <c r="I30" i="1"/>
  <c r="K30" i="1"/>
  <c r="AA30" i="1"/>
  <c r="R30" i="1"/>
  <c r="W30" i="1"/>
  <c r="I31" i="1"/>
  <c r="K31" i="1"/>
  <c r="Y31" i="1"/>
  <c r="AA31" i="1"/>
  <c r="AC31" i="1"/>
  <c r="AD31" i="1"/>
  <c r="R31" i="1"/>
  <c r="W31" i="1"/>
  <c r="AH31" i="1"/>
  <c r="AI31" i="1"/>
  <c r="I32" i="1"/>
  <c r="K32" i="1"/>
  <c r="R32" i="1"/>
  <c r="W32" i="1"/>
  <c r="Y32" i="1"/>
  <c r="Z32" i="1"/>
  <c r="AA32" i="1"/>
  <c r="AC32" i="1"/>
  <c r="AD32" i="1"/>
  <c r="I33" i="1"/>
  <c r="K33" i="1"/>
  <c r="AA33" i="1"/>
  <c r="R33" i="1"/>
  <c r="W33" i="1"/>
  <c r="Y33" i="1"/>
  <c r="Z33" i="1"/>
  <c r="I34" i="1"/>
  <c r="K34" i="1"/>
  <c r="AA34" i="1"/>
  <c r="R34" i="1"/>
  <c r="W34" i="1"/>
  <c r="I35" i="1"/>
  <c r="K35" i="1"/>
  <c r="Y35" i="1"/>
  <c r="R35" i="1"/>
  <c r="W35" i="1"/>
  <c r="AA35" i="1"/>
  <c r="I36" i="1"/>
  <c r="K36" i="1"/>
  <c r="R36" i="1"/>
  <c r="W36" i="1"/>
  <c r="Y36" i="1"/>
  <c r="AA36" i="1"/>
  <c r="AH36" i="1"/>
  <c r="Z36" i="1"/>
  <c r="AC36" i="1"/>
  <c r="AD36" i="1"/>
  <c r="AI36" i="1"/>
  <c r="AJ36" i="1"/>
  <c r="AK36" i="1"/>
  <c r="I37" i="1"/>
  <c r="K37" i="1"/>
  <c r="AA37" i="1"/>
  <c r="R37" i="1"/>
  <c r="W37" i="1"/>
  <c r="Y37" i="1"/>
  <c r="AH37" i="1"/>
  <c r="AI37" i="1"/>
  <c r="AJ37" i="1"/>
  <c r="AK37" i="1"/>
  <c r="Z37" i="1"/>
  <c r="I38" i="1"/>
  <c r="K38" i="1"/>
  <c r="AA38" i="1"/>
  <c r="R38" i="1"/>
  <c r="W38" i="1"/>
  <c r="Y38" i="1"/>
  <c r="AC38" i="1"/>
  <c r="AD38" i="1"/>
  <c r="Z38" i="1"/>
  <c r="I39" i="1"/>
  <c r="K39" i="1"/>
  <c r="Y39" i="1"/>
  <c r="R39" i="1"/>
  <c r="W39" i="1"/>
  <c r="Z39" i="1"/>
  <c r="AA39" i="1"/>
  <c r="AH39" i="1"/>
  <c r="AI39" i="1"/>
  <c r="AJ39" i="1"/>
  <c r="AK39" i="1"/>
  <c r="I40" i="1"/>
  <c r="K40" i="1"/>
  <c r="R40" i="1"/>
  <c r="W40" i="1"/>
  <c r="Y40" i="1"/>
  <c r="AA40" i="1"/>
  <c r="AH40" i="1"/>
  <c r="AI40" i="1"/>
  <c r="AJ40" i="1"/>
  <c r="AK40" i="1"/>
  <c r="Z40" i="1"/>
  <c r="AC40" i="1"/>
  <c r="AD40" i="1"/>
  <c r="I41" i="1"/>
  <c r="K41" i="1"/>
  <c r="AA41" i="1"/>
  <c r="R41" i="1"/>
  <c r="W41" i="1"/>
  <c r="Y41" i="1"/>
  <c r="Z41" i="1"/>
  <c r="AC41" i="1"/>
  <c r="AD41" i="1"/>
  <c r="I42" i="1"/>
  <c r="K42" i="1"/>
  <c r="AA42" i="1"/>
  <c r="R42" i="1"/>
  <c r="W42" i="1"/>
  <c r="Z42" i="1"/>
  <c r="I43" i="1"/>
  <c r="K43" i="1"/>
  <c r="Y43" i="1"/>
  <c r="R43" i="1"/>
  <c r="W43" i="1"/>
  <c r="AA43" i="1"/>
  <c r="AH43" i="1"/>
  <c r="AI43" i="1"/>
  <c r="AJ43" i="1"/>
  <c r="AK43" i="1"/>
  <c r="I44" i="1"/>
  <c r="K44" i="1"/>
  <c r="R44" i="1"/>
  <c r="W44" i="1"/>
  <c r="Y44" i="1"/>
  <c r="Z44" i="1"/>
  <c r="AA44" i="1"/>
  <c r="AC44" i="1"/>
  <c r="AD44" i="1"/>
  <c r="I45" i="1"/>
  <c r="K45" i="1"/>
  <c r="AA45" i="1"/>
  <c r="R45" i="1"/>
  <c r="W45" i="1"/>
  <c r="Z45" i="1"/>
  <c r="I46" i="1"/>
  <c r="K46" i="1"/>
  <c r="AA46" i="1"/>
  <c r="R46" i="1"/>
  <c r="W46" i="1"/>
  <c r="Z46" i="1"/>
  <c r="I47" i="1"/>
  <c r="K47" i="1"/>
  <c r="Y47" i="1"/>
  <c r="R47" i="1"/>
  <c r="W47" i="1"/>
  <c r="AA47" i="1"/>
  <c r="AC47" i="1"/>
  <c r="AD47" i="1"/>
  <c r="AH47" i="1"/>
  <c r="AI47" i="1"/>
  <c r="I48" i="1"/>
  <c r="K48" i="1"/>
  <c r="R48" i="1"/>
  <c r="W48" i="1"/>
  <c r="Y48" i="1"/>
  <c r="Z48" i="1"/>
  <c r="AA48" i="1"/>
  <c r="I49" i="1"/>
  <c r="K49" i="1"/>
  <c r="AA49" i="1"/>
  <c r="R49" i="1"/>
  <c r="W49" i="1"/>
  <c r="Y49" i="1"/>
  <c r="AC49" i="1"/>
  <c r="AD49" i="1"/>
  <c r="AE49" i="1"/>
  <c r="AF49" i="1"/>
  <c r="Z49" i="1"/>
  <c r="I50" i="1"/>
  <c r="K50" i="1"/>
  <c r="Y50" i="1"/>
  <c r="R50" i="1"/>
  <c r="W50" i="1"/>
  <c r="Z50" i="1"/>
  <c r="AA50" i="1"/>
  <c r="I51" i="1"/>
  <c r="K51" i="1"/>
  <c r="Y51" i="1"/>
  <c r="R51" i="1"/>
  <c r="W51" i="1"/>
  <c r="AA51" i="1"/>
  <c r="I52" i="1"/>
  <c r="K52" i="1"/>
  <c r="R52" i="1"/>
  <c r="W52" i="1"/>
  <c r="Y52" i="1"/>
  <c r="Z52" i="1"/>
  <c r="AA52" i="1"/>
  <c r="I53" i="1"/>
  <c r="K53" i="1"/>
  <c r="AA53" i="1"/>
  <c r="R53" i="1"/>
  <c r="W53" i="1"/>
  <c r="I54" i="1"/>
  <c r="K54" i="1"/>
  <c r="R54" i="1"/>
  <c r="W54" i="1"/>
  <c r="I55" i="1"/>
  <c r="K55" i="1"/>
  <c r="Y55" i="1"/>
  <c r="R55" i="1"/>
  <c r="W55" i="1"/>
  <c r="AA55" i="1"/>
  <c r="AC55" i="1"/>
  <c r="AD55" i="1"/>
  <c r="AH55" i="1"/>
  <c r="AI55" i="1"/>
  <c r="I56" i="1"/>
  <c r="K56" i="1"/>
  <c r="R56" i="1"/>
  <c r="W56" i="1"/>
  <c r="Y56" i="1"/>
  <c r="Z56" i="1"/>
  <c r="AA56" i="1"/>
  <c r="I57" i="1"/>
  <c r="K57" i="1"/>
  <c r="AA57" i="1"/>
  <c r="R57" i="1"/>
  <c r="W57" i="1"/>
  <c r="Y57" i="1"/>
  <c r="AC57" i="1"/>
  <c r="AD57" i="1"/>
  <c r="AE57" i="1"/>
  <c r="AF57" i="1"/>
  <c r="Z57" i="1"/>
  <c r="AH57" i="1"/>
  <c r="AI57" i="1"/>
  <c r="I58" i="1"/>
  <c r="K58" i="1"/>
  <c r="Y58" i="1"/>
  <c r="R58" i="1"/>
  <c r="W58" i="1"/>
  <c r="Z58" i="1"/>
  <c r="AA58" i="1"/>
  <c r="I59" i="1"/>
  <c r="K59" i="1"/>
  <c r="R59" i="1"/>
  <c r="W59" i="1"/>
  <c r="AA59" i="1"/>
  <c r="I60" i="1"/>
  <c r="K60" i="1"/>
  <c r="R60" i="1"/>
  <c r="W60" i="1"/>
  <c r="Y60" i="1"/>
  <c r="Z60" i="1"/>
  <c r="AA60" i="1"/>
  <c r="I61" i="1"/>
  <c r="K61" i="1"/>
  <c r="AA61" i="1"/>
  <c r="R61" i="1"/>
  <c r="W61" i="1"/>
  <c r="I62" i="1"/>
  <c r="K62" i="1"/>
  <c r="R62" i="1"/>
  <c r="W62" i="1"/>
  <c r="I63" i="1"/>
  <c r="K63" i="1"/>
  <c r="Y63" i="1"/>
  <c r="R63" i="1"/>
  <c r="W63" i="1"/>
  <c r="I64" i="1"/>
  <c r="K64" i="1"/>
  <c r="R64" i="1"/>
  <c r="W64" i="1"/>
  <c r="Y64" i="1"/>
  <c r="Z64" i="1"/>
  <c r="AA64" i="1"/>
  <c r="I65" i="1"/>
  <c r="K65" i="1"/>
  <c r="AA65" i="1"/>
  <c r="R65" i="1"/>
  <c r="W65" i="1"/>
  <c r="Y65" i="1"/>
  <c r="AC65" i="1"/>
  <c r="AD65" i="1"/>
  <c r="AE65" i="1"/>
  <c r="AF65" i="1"/>
  <c r="Z65" i="1"/>
  <c r="I66" i="1"/>
  <c r="K66" i="1"/>
  <c r="Y66" i="1"/>
  <c r="R66" i="1"/>
  <c r="W66" i="1"/>
  <c r="AA66" i="1"/>
  <c r="I67" i="1"/>
  <c r="K67" i="1"/>
  <c r="R67" i="1"/>
  <c r="W67" i="1"/>
  <c r="I68" i="1"/>
  <c r="K68" i="1"/>
  <c r="R68" i="1"/>
  <c r="W68" i="1"/>
  <c r="Y68" i="1"/>
  <c r="Z68" i="1"/>
  <c r="AA68" i="1"/>
  <c r="F72" i="1"/>
  <c r="AJ68" i="1"/>
  <c r="AE68" i="1"/>
  <c r="AE66" i="1"/>
  <c r="AJ65" i="1"/>
  <c r="AJ64" i="1"/>
  <c r="AE64" i="1"/>
  <c r="AJ63" i="1"/>
  <c r="AE63" i="1"/>
  <c r="AJ61" i="1"/>
  <c r="AJ60" i="1"/>
  <c r="AE60" i="1"/>
  <c r="AE58" i="1"/>
  <c r="AJ57" i="1"/>
  <c r="AK57" i="1"/>
  <c r="AJ56" i="1"/>
  <c r="AE56" i="1"/>
  <c r="AJ55" i="1"/>
  <c r="AE55" i="1"/>
  <c r="AF55" i="1"/>
  <c r="AJ53" i="1"/>
  <c r="AJ52" i="1"/>
  <c r="AE52" i="1"/>
  <c r="AJ50" i="1"/>
  <c r="AE50" i="1"/>
  <c r="AJ49" i="1"/>
  <c r="AJ48" i="1"/>
  <c r="AE48" i="1"/>
  <c r="AJ47" i="1"/>
  <c r="AE47" i="1"/>
  <c r="AF47" i="1"/>
  <c r="AE45" i="1"/>
  <c r="AJ44" i="1"/>
  <c r="AE44" i="1"/>
  <c r="AF44" i="1"/>
  <c r="AE43" i="1"/>
  <c r="AJ42" i="1"/>
  <c r="AE42" i="1"/>
  <c r="AJ41" i="1"/>
  <c r="AE41" i="1"/>
  <c r="AF41" i="1"/>
  <c r="AE40" i="1"/>
  <c r="AF40" i="1"/>
  <c r="AE39" i="1"/>
  <c r="AJ38" i="1"/>
  <c r="AE38" i="1"/>
  <c r="AF38" i="1"/>
  <c r="AE37" i="1"/>
  <c r="AE36" i="1"/>
  <c r="AF36" i="1"/>
  <c r="AJ33" i="1"/>
  <c r="AE33" i="1"/>
  <c r="AJ32" i="1"/>
  <c r="AE32" i="1"/>
  <c r="AF32" i="1"/>
  <c r="AE31" i="1"/>
  <c r="AF31" i="1"/>
  <c r="AJ30" i="1"/>
  <c r="AE30" i="1"/>
  <c r="AA62" i="1"/>
  <c r="AJ62" i="1"/>
  <c r="Y62" i="1"/>
  <c r="AE62" i="1"/>
  <c r="AA54" i="1"/>
  <c r="AJ54" i="1"/>
  <c r="Y54" i="1"/>
  <c r="AE54" i="1"/>
  <c r="AC50" i="1"/>
  <c r="AD50" i="1"/>
  <c r="AF50" i="1"/>
  <c r="AH50" i="1"/>
  <c r="AI50" i="1"/>
  <c r="AC56" i="1"/>
  <c r="AD56" i="1"/>
  <c r="AF56" i="1"/>
  <c r="AH68" i="1"/>
  <c r="AI68" i="1"/>
  <c r="AK68" i="1"/>
  <c r="AC68" i="1"/>
  <c r="AD68" i="1"/>
  <c r="AF68" i="1"/>
  <c r="Y67" i="1"/>
  <c r="AE67" i="1"/>
  <c r="AJ67" i="1"/>
  <c r="Z67" i="1"/>
  <c r="AH65" i="1"/>
  <c r="AI65" i="1"/>
  <c r="Z62" i="1"/>
  <c r="AC58" i="1"/>
  <c r="AD58" i="1"/>
  <c r="AF58" i="1"/>
  <c r="AH58" i="1"/>
  <c r="AI58" i="1"/>
  <c r="Z54" i="1"/>
  <c r="AA67" i="1"/>
  <c r="AH60" i="1"/>
  <c r="AI60" i="1"/>
  <c r="AC60" i="1"/>
  <c r="AD60" i="1"/>
  <c r="AF60" i="1"/>
  <c r="Y59" i="1"/>
  <c r="AJ59" i="1"/>
  <c r="Z59" i="1"/>
  <c r="AE59" i="1"/>
  <c r="AH52" i="1"/>
  <c r="AI52" i="1"/>
  <c r="AC52" i="1"/>
  <c r="AD52" i="1"/>
  <c r="AC51" i="1"/>
  <c r="AD51" i="1"/>
  <c r="AH51" i="1"/>
  <c r="AI51" i="1"/>
  <c r="AK65" i="1"/>
  <c r="AH49" i="1"/>
  <c r="AI49" i="1"/>
  <c r="AK49" i="1"/>
  <c r="AF52" i="1"/>
  <c r="AC66" i="1"/>
  <c r="AD66" i="1"/>
  <c r="AF66" i="1"/>
  <c r="AH66" i="1"/>
  <c r="AI66" i="1"/>
  <c r="AE34" i="1"/>
  <c r="AK52" i="1"/>
  <c r="Z51" i="1"/>
  <c r="Y46" i="1"/>
  <c r="AH38" i="1"/>
  <c r="AI38" i="1"/>
  <c r="AK38" i="1"/>
  <c r="Z35" i="1"/>
  <c r="Y34" i="1"/>
  <c r="AH33" i="1"/>
  <c r="AI33" i="1"/>
  <c r="AK33" i="1"/>
  <c r="AJ51" i="1"/>
  <c r="AK51" i="1"/>
  <c r="AH64" i="1"/>
  <c r="AI64" i="1"/>
  <c r="AA63" i="1"/>
  <c r="Y61" i="1"/>
  <c r="AH56" i="1"/>
  <c r="AI56" i="1"/>
  <c r="AK56" i="1"/>
  <c r="Y53" i="1"/>
  <c r="AH48" i="1"/>
  <c r="AI48" i="1"/>
  <c r="Y45" i="1"/>
  <c r="AC43" i="1"/>
  <c r="AD43" i="1"/>
  <c r="AF43" i="1"/>
  <c r="AC37" i="1"/>
  <c r="AD37" i="1"/>
  <c r="AF37" i="1"/>
  <c r="AH32" i="1"/>
  <c r="AI32" i="1"/>
  <c r="AK32" i="1"/>
  <c r="Z31" i="1"/>
  <c r="Y30" i="1"/>
  <c r="AC35" i="1"/>
  <c r="AD35" i="1"/>
  <c r="Z34" i="1"/>
  <c r="AE35" i="1"/>
  <c r="AF35" i="1"/>
  <c r="AE46" i="1"/>
  <c r="AK48" i="1"/>
  <c r="AE51" i="1"/>
  <c r="AF51" i="1"/>
  <c r="AK60" i="1"/>
  <c r="AK64" i="1"/>
  <c r="Z61" i="1"/>
  <c r="Z53" i="1"/>
  <c r="Z30" i="1"/>
  <c r="Z29" i="1"/>
  <c r="AA29" i="1"/>
  <c r="AC29" i="1"/>
  <c r="AK47" i="1"/>
  <c r="AK55" i="1"/>
  <c r="Z66" i="1"/>
  <c r="AE29" i="1"/>
  <c r="AJ31" i="1"/>
  <c r="AK31" i="1"/>
  <c r="AJ34" i="1"/>
  <c r="AJ35" i="1"/>
  <c r="AH35" i="1"/>
  <c r="AI35" i="1"/>
  <c r="AK35" i="1"/>
  <c r="AJ45" i="1"/>
  <c r="AJ46" i="1"/>
  <c r="AK50" i="1"/>
  <c r="AE53" i="1"/>
  <c r="AJ58" i="1"/>
  <c r="AK58" i="1"/>
  <c r="AE61" i="1"/>
  <c r="AJ66" i="1"/>
  <c r="AC64" i="1"/>
  <c r="AD64" i="1"/>
  <c r="AF64" i="1"/>
  <c r="Z63" i="1"/>
  <c r="Z55" i="1"/>
  <c r="AC48" i="1"/>
  <c r="AD48" i="1"/>
  <c r="AF48" i="1"/>
  <c r="Z47" i="1"/>
  <c r="AH44" i="1"/>
  <c r="AI44" i="1"/>
  <c r="AK44" i="1"/>
  <c r="Z43" i="1"/>
  <c r="Y42" i="1"/>
  <c r="AH41" i="1"/>
  <c r="AI41" i="1"/>
  <c r="AK41" i="1"/>
  <c r="AC39" i="1"/>
  <c r="AD39" i="1"/>
  <c r="AF39" i="1"/>
  <c r="AC33" i="1"/>
  <c r="AD33" i="1"/>
  <c r="AF33" i="1"/>
  <c r="AD29" i="1"/>
  <c r="AF29" i="1"/>
  <c r="AC30" i="1"/>
  <c r="AD30" i="1"/>
  <c r="AF30" i="1"/>
  <c r="AH30" i="1"/>
  <c r="AI30" i="1"/>
  <c r="AK30" i="1"/>
  <c r="Y27" i="1"/>
  <c r="AC53" i="1"/>
  <c r="AD53" i="1"/>
  <c r="AF53" i="1"/>
  <c r="AH45" i="1"/>
  <c r="AI45" i="1"/>
  <c r="AK45" i="1"/>
  <c r="AC45" i="1"/>
  <c r="AD45" i="1"/>
  <c r="AF45" i="1"/>
  <c r="AH61" i="1"/>
  <c r="AI61" i="1"/>
  <c r="AK61" i="1"/>
  <c r="AC61" i="1"/>
  <c r="AD61" i="1"/>
  <c r="AC46" i="1"/>
  <c r="AD46" i="1"/>
  <c r="AF46" i="1"/>
  <c r="AH46" i="1"/>
  <c r="AI46" i="1"/>
  <c r="AK46" i="1"/>
  <c r="AC62" i="1"/>
  <c r="AD62" i="1"/>
  <c r="AH62" i="1"/>
  <c r="AI62" i="1"/>
  <c r="AK62" i="1"/>
  <c r="AK66" i="1"/>
  <c r="AC63" i="1"/>
  <c r="AD63" i="1"/>
  <c r="AF63" i="1"/>
  <c r="AH63" i="1"/>
  <c r="AI63" i="1"/>
  <c r="AK63" i="1"/>
  <c r="AC34" i="1"/>
  <c r="AD34" i="1"/>
  <c r="AF34" i="1"/>
  <c r="AH34" i="1"/>
  <c r="AI34" i="1"/>
  <c r="AK34" i="1"/>
  <c r="AH59" i="1"/>
  <c r="AI59" i="1"/>
  <c r="AK59" i="1"/>
  <c r="AC67" i="1"/>
  <c r="AD67" i="1"/>
  <c r="AF67" i="1"/>
  <c r="AH54" i="1"/>
  <c r="AI54" i="1"/>
  <c r="AK54" i="1"/>
  <c r="AF62" i="1"/>
  <c r="AC42" i="1"/>
  <c r="AD42" i="1"/>
  <c r="AF42" i="1"/>
  <c r="AH42" i="1"/>
  <c r="AI42" i="1"/>
  <c r="AK42" i="1"/>
  <c r="AC54" i="1"/>
  <c r="AD54" i="1"/>
  <c r="AF54" i="1"/>
  <c r="AF61" i="1"/>
  <c r="AH29" i="1"/>
  <c r="AH53" i="1"/>
  <c r="AI53" i="1"/>
  <c r="AK53" i="1"/>
  <c r="AC59" i="1"/>
  <c r="AD59" i="1"/>
  <c r="AF59" i="1"/>
  <c r="AH67" i="1"/>
  <c r="AI67" i="1"/>
  <c r="AK67" i="1"/>
  <c r="AI29" i="1"/>
  <c r="AK29" i="1"/>
  <c r="AK27" i="1"/>
  <c r="AH27" i="1"/>
  <c r="AF27" i="1"/>
  <c r="AC27" i="1"/>
</calcChain>
</file>

<file path=xl/sharedStrings.xml><?xml version="1.0" encoding="utf-8"?>
<sst xmlns="http://schemas.openxmlformats.org/spreadsheetml/2006/main" count="49" uniqueCount="41">
  <si>
    <t>NOME DO FUNCIONÁRIO</t>
  </si>
  <si>
    <t>MATRÍCULA</t>
  </si>
  <si>
    <t>PERÍODO DE REFERÊNCIA</t>
  </si>
  <si>
    <t>0000000-000</t>
  </si>
  <si>
    <t>JANEIRO A MARÇO DE 2009</t>
  </si>
  <si>
    <t>DEFINIÇÕES DO FUNCIONÁRIO</t>
  </si>
  <si>
    <t>VALOR DA HORA NORMAL</t>
  </si>
  <si>
    <t>ADICIONAL DE PERICULOSIDADE</t>
  </si>
  <si>
    <t>HORÁRIOS OFICIAIS</t>
  </si>
  <si>
    <t>H1 (DIA ÚTIL)</t>
  </si>
  <si>
    <t>H2 (SÁBADO)</t>
  </si>
  <si>
    <t>H3 (FERIADO)</t>
  </si>
  <si>
    <t>EXPEDIENTE 1 – ENTRADA</t>
  </si>
  <si>
    <t>EXPEDIENTE 1 – SAÍDA</t>
  </si>
  <si>
    <t>EXPEDIENTE 2 – ENTRADA</t>
  </si>
  <si>
    <t>UTILIZE OS CAMPOS EM AMARELO PARA EDITAR AS INFORMAÇÕES DE HORAS DE SEU FUNCIONÁRIO</t>
  </si>
  <si>
    <t>EXPEDIENTE 2 – SAÍDA</t>
  </si>
  <si>
    <t>JORNADA DIÁRIA</t>
  </si>
  <si>
    <t>ACRÉSCIMO POR HORA EXTRA</t>
  </si>
  <si>
    <t>HORA ACRESCIDA DE BENEFÍCIOS</t>
  </si>
  <si>
    <t>CONFIGURE SUA PLANILHA ATRAVÉS DOS CAMPOS DISPONIBILIZADOS ACIMA</t>
  </si>
  <si>
    <t>COLABORADOR</t>
  </si>
  <si>
    <t>&lt;&lt;</t>
  </si>
  <si>
    <t>#</t>
  </si>
  <si>
    <t>DATA</t>
  </si>
  <si>
    <t>TIPO</t>
  </si>
  <si>
    <t>EXPEDIENTE 1</t>
  </si>
  <si>
    <t>EXPEDIENTE 2</t>
  </si>
  <si>
    <t>JORNADA EFETIVA</t>
  </si>
  <si>
    <t>JORNADA PREVISTA</t>
  </si>
  <si>
    <t>HORAS DEVIDAS</t>
  </si>
  <si>
    <t>HORAS EXTRAS</t>
  </si>
  <si>
    <t>ENTRADA</t>
  </si>
  <si>
    <t>SAÍDA</t>
  </si>
  <si>
    <t>S1-E1</t>
  </si>
  <si>
    <t>S2-E2</t>
  </si>
  <si>
    <t>MÉDIA</t>
  </si>
  <si>
    <t>HORAS</t>
  </si>
  <si>
    <t>VALOR</t>
  </si>
  <si>
    <t>-</t>
  </si>
  <si>
    <t>O Rei das Planilhas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</si>
</sst>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R$-416]\ #,##0.00;[Red]\-[$R$-416]\ #,##0.00"/>
    <numFmt numFmtId="165" formatCode="[hh]:mm:ss"/>
    <numFmt numFmtId="166" formatCode="dd/mm/yy"/>
    <numFmt numFmtId="167" formatCode="ddd"/>
  </numFmts>
  <fonts count="14" x14ac:knownFonts="1">
    <font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10"/>
      <color indexed="23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23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0"/>
      <color indexed="22"/>
      <name val="Arial"/>
      <family val="2"/>
    </font>
    <font>
      <sz val="10"/>
      <color indexed="55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53"/>
        <bgColor indexed="10"/>
      </patternFill>
    </fill>
    <fill>
      <patternFill patternType="solid">
        <fgColor indexed="43"/>
        <bgColor indexed="42"/>
      </patternFill>
    </fill>
    <fill>
      <patternFill patternType="solid">
        <fgColor indexed="47"/>
        <bgColor indexed="42"/>
      </patternFill>
    </fill>
    <fill>
      <patternFill patternType="solid">
        <fgColor indexed="27"/>
        <bgColor indexed="26"/>
      </patternFill>
    </fill>
    <fill>
      <patternFill patternType="solid">
        <fgColor indexed="31"/>
        <bgColor indexed="41"/>
      </patternFill>
    </fill>
    <fill>
      <patternFill patternType="solid">
        <fgColor indexed="9"/>
        <bgColor indexed="2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Protection="0">
      <alignment horizontal="center"/>
    </xf>
    <xf numFmtId="0" fontId="2" fillId="0" borderId="0" applyNumberFormat="0" applyFill="0" applyBorder="0" applyProtection="0">
      <alignment horizontal="center"/>
    </xf>
  </cellStyleXfs>
  <cellXfs count="74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3" fillId="2" borderId="0" xfId="0" applyFont="1" applyFill="1" applyBorder="1" applyProtection="1">
      <protection hidden="1"/>
    </xf>
    <xf numFmtId="0" fontId="3" fillId="2" borderId="0" xfId="0" applyFont="1" applyFill="1" applyBorder="1" applyAlignment="1" applyProtection="1">
      <alignment horizontal="center"/>
      <protection hidden="1"/>
    </xf>
    <xf numFmtId="21" fontId="3" fillId="0" borderId="0" xfId="0" applyNumberFormat="1" applyFont="1" applyProtection="1">
      <protection hidden="1"/>
    </xf>
    <xf numFmtId="0" fontId="0" fillId="3" borderId="0" xfId="0" applyFill="1" applyProtection="1">
      <protection hidden="1"/>
    </xf>
    <xf numFmtId="0" fontId="0" fillId="4" borderId="0" xfId="0" applyFont="1" applyFill="1" applyProtection="1">
      <protection locked="0" hidden="1"/>
    </xf>
    <xf numFmtId="49" fontId="0" fillId="4" borderId="0" xfId="0" applyNumberFormat="1" applyFont="1" applyFill="1" applyAlignment="1" applyProtection="1">
      <alignment horizontal="center"/>
      <protection locked="0" hidden="1"/>
    </xf>
    <xf numFmtId="164" fontId="0" fillId="4" borderId="0" xfId="0" applyNumberFormat="1" applyFill="1" applyProtection="1">
      <protection locked="0" hidden="1"/>
    </xf>
    <xf numFmtId="9" fontId="0" fillId="4" borderId="0" xfId="0" applyNumberFormat="1" applyFill="1" applyAlignment="1" applyProtection="1">
      <alignment horizontal="right"/>
      <protection locked="0" hidden="1"/>
    </xf>
    <xf numFmtId="21" fontId="0" fillId="4" borderId="0" xfId="0" applyNumberFormat="1" applyFill="1" applyAlignment="1" applyProtection="1">
      <alignment horizontal="right"/>
      <protection hidden="1"/>
    </xf>
    <xf numFmtId="0" fontId="0" fillId="3" borderId="0" xfId="0" applyFill="1" applyAlignment="1" applyProtection="1">
      <alignment horizontal="center"/>
      <protection hidden="1"/>
    </xf>
    <xf numFmtId="21" fontId="0" fillId="3" borderId="0" xfId="0" applyNumberFormat="1" applyFill="1" applyAlignment="1" applyProtection="1">
      <alignment horizontal="left"/>
      <protection hidden="1"/>
    </xf>
    <xf numFmtId="164" fontId="0" fillId="3" borderId="0" xfId="0" applyNumberFormat="1" applyFill="1" applyAlignment="1" applyProtection="1">
      <alignment horizontal="left"/>
      <protection hidden="1"/>
    </xf>
    <xf numFmtId="0" fontId="0" fillId="0" borderId="0" xfId="0" applyFont="1" applyBorder="1" applyProtection="1">
      <protection hidden="1"/>
    </xf>
    <xf numFmtId="20" fontId="0" fillId="4" borderId="0" xfId="0" applyNumberFormat="1" applyFont="1" applyFill="1" applyBorder="1" applyAlignment="1" applyProtection="1">
      <alignment horizontal="center"/>
      <protection locked="0" hidden="1"/>
    </xf>
    <xf numFmtId="0" fontId="3" fillId="5" borderId="0" xfId="0" applyFont="1" applyFill="1" applyBorder="1" applyProtection="1">
      <protection hidden="1"/>
    </xf>
    <xf numFmtId="20" fontId="3" fillId="5" borderId="0" xfId="0" applyNumberFormat="1" applyFont="1" applyFill="1" applyBorder="1" applyAlignment="1" applyProtection="1">
      <alignment horizontal="center"/>
      <protection hidden="1"/>
    </xf>
    <xf numFmtId="9" fontId="0" fillId="4" borderId="0" xfId="0" applyNumberFormat="1" applyFill="1" applyAlignment="1" applyProtection="1">
      <alignment horizontal="center"/>
      <protection locked="0" hidden="1"/>
    </xf>
    <xf numFmtId="0" fontId="5" fillId="3" borderId="0" xfId="0" applyNumberFormat="1" applyFont="1" applyFill="1" applyAlignment="1" applyProtection="1">
      <alignment horizontal="left"/>
      <protection hidden="1"/>
    </xf>
    <xf numFmtId="164" fontId="5" fillId="3" borderId="0" xfId="0" applyNumberFormat="1" applyFont="1" applyFill="1" applyAlignment="1" applyProtection="1">
      <alignment horizontal="center"/>
      <protection hidden="1"/>
    </xf>
    <xf numFmtId="0" fontId="3" fillId="0" borderId="0" xfId="0" applyNumberFormat="1" applyFont="1" applyAlignment="1" applyProtection="1">
      <alignment horizontal="left"/>
      <protection hidden="1"/>
    </xf>
    <xf numFmtId="49" fontId="0" fillId="0" borderId="0" xfId="0" applyNumberFormat="1" applyProtection="1">
      <protection hidden="1"/>
    </xf>
    <xf numFmtId="49" fontId="0" fillId="0" borderId="0" xfId="0" applyNumberFormat="1" applyAlignment="1" applyProtection="1">
      <alignment horizontal="center"/>
      <protection hidden="1"/>
    </xf>
    <xf numFmtId="49" fontId="0" fillId="3" borderId="0" xfId="0" applyNumberFormat="1" applyFill="1" applyAlignment="1" applyProtection="1">
      <alignment horizontal="left"/>
      <protection hidden="1"/>
    </xf>
    <xf numFmtId="49" fontId="0" fillId="3" borderId="0" xfId="0" applyNumberFormat="1" applyFill="1" applyProtection="1">
      <protection hidden="1"/>
    </xf>
    <xf numFmtId="49" fontId="0" fillId="0" borderId="0" xfId="0" applyNumberFormat="1" applyAlignment="1" applyProtection="1">
      <alignment horizontal="left"/>
      <protection hidden="1"/>
    </xf>
    <xf numFmtId="49" fontId="0" fillId="0" borderId="0" xfId="0" applyNumberFormat="1" applyFont="1" applyAlignment="1" applyProtection="1">
      <alignment horizontal="right"/>
      <protection hidden="1"/>
    </xf>
    <xf numFmtId="0" fontId="0" fillId="6" borderId="0" xfId="0" applyFill="1" applyAlignment="1" applyProtection="1">
      <alignment horizontal="left"/>
      <protection hidden="1"/>
    </xf>
    <xf numFmtId="0" fontId="6" fillId="7" borderId="0" xfId="0" applyFont="1" applyFill="1" applyBorder="1" applyAlignment="1" applyProtection="1">
      <alignment horizontal="center" wrapText="1"/>
      <protection hidden="1"/>
    </xf>
    <xf numFmtId="0" fontId="7" fillId="6" borderId="0" xfId="0" applyFont="1" applyFill="1" applyBorder="1" applyAlignment="1" applyProtection="1">
      <alignment horizontal="center" wrapText="1"/>
      <protection hidden="1"/>
    </xf>
    <xf numFmtId="0" fontId="7" fillId="7" borderId="0" xfId="0" applyFont="1" applyFill="1" applyBorder="1" applyAlignment="1" applyProtection="1">
      <alignment horizontal="center" wrapText="1"/>
      <protection hidden="1"/>
    </xf>
    <xf numFmtId="0" fontId="8" fillId="8" borderId="0" xfId="0" applyFont="1" applyFill="1" applyBorder="1" applyAlignment="1" applyProtection="1">
      <alignment horizontal="center"/>
      <protection hidden="1"/>
    </xf>
    <xf numFmtId="0" fontId="7" fillId="6" borderId="0" xfId="0" applyFont="1" applyFill="1" applyBorder="1" applyAlignment="1" applyProtection="1">
      <alignment horizontal="center"/>
      <protection hidden="1"/>
    </xf>
    <xf numFmtId="0" fontId="9" fillId="0" borderId="0" xfId="0" applyFont="1" applyProtection="1">
      <protection hidden="1"/>
    </xf>
    <xf numFmtId="0" fontId="9" fillId="8" borderId="0" xfId="0" applyFont="1" applyFill="1" applyBorder="1" applyAlignment="1" applyProtection="1">
      <alignment horizontal="left"/>
      <protection hidden="1"/>
    </xf>
    <xf numFmtId="20" fontId="9" fillId="8" borderId="0" xfId="0" applyNumberFormat="1" applyFont="1" applyFill="1" applyBorder="1" applyAlignment="1" applyProtection="1">
      <alignment horizontal="center"/>
      <protection hidden="1"/>
    </xf>
    <xf numFmtId="0" fontId="10" fillId="8" borderId="0" xfId="0" applyFont="1" applyFill="1" applyBorder="1" applyAlignment="1" applyProtection="1">
      <alignment horizontal="center"/>
      <protection hidden="1"/>
    </xf>
    <xf numFmtId="21" fontId="9" fillId="8" borderId="0" xfId="0" applyNumberFormat="1" applyFont="1" applyFill="1" applyBorder="1" applyAlignment="1" applyProtection="1">
      <alignment horizontal="center"/>
      <protection hidden="1"/>
    </xf>
    <xf numFmtId="0" fontId="9" fillId="8" borderId="0" xfId="0" applyNumberFormat="1" applyFont="1" applyFill="1" applyBorder="1" applyAlignment="1" applyProtection="1">
      <alignment horizontal="center"/>
      <protection hidden="1"/>
    </xf>
    <xf numFmtId="164" fontId="9" fillId="8" borderId="0" xfId="0" applyNumberFormat="1" applyFont="1" applyFill="1" applyBorder="1" applyAlignment="1" applyProtection="1">
      <alignment horizontal="center"/>
      <protection hidden="1"/>
    </xf>
    <xf numFmtId="0" fontId="0" fillId="6" borderId="0" xfId="0" applyFill="1" applyAlignment="1" applyProtection="1">
      <alignment horizontal="center"/>
      <protection hidden="1"/>
    </xf>
    <xf numFmtId="0" fontId="0" fillId="6" borderId="0" xfId="0" applyFill="1" applyProtection="1">
      <protection hidden="1"/>
    </xf>
    <xf numFmtId="165" fontId="7" fillId="6" borderId="0" xfId="0" applyNumberFormat="1" applyFont="1" applyFill="1" applyBorder="1" applyAlignment="1" applyProtection="1">
      <alignment horizontal="center"/>
      <protection hidden="1"/>
    </xf>
    <xf numFmtId="0" fontId="11" fillId="0" borderId="0" xfId="0" applyFont="1" applyAlignment="1" applyProtection="1">
      <alignment horizontal="right"/>
      <protection hidden="1"/>
    </xf>
    <xf numFmtId="21" fontId="0" fillId="0" borderId="0" xfId="0" applyNumberFormat="1" applyAlignment="1" applyProtection="1">
      <alignment horizontal="center"/>
      <protection hidden="1"/>
    </xf>
    <xf numFmtId="166" fontId="0" fillId="4" borderId="0" xfId="0" applyNumberFormat="1" applyFill="1" applyAlignment="1" applyProtection="1">
      <alignment horizontal="center"/>
      <protection locked="0" hidden="1"/>
    </xf>
    <xf numFmtId="167" fontId="12" fillId="0" borderId="0" xfId="0" applyNumberFormat="1" applyFont="1" applyAlignment="1" applyProtection="1">
      <alignment horizontal="center"/>
      <protection hidden="1"/>
    </xf>
    <xf numFmtId="167" fontId="0" fillId="4" borderId="0" xfId="0" applyNumberFormat="1" applyFill="1" applyAlignment="1" applyProtection="1">
      <alignment horizontal="left"/>
      <protection locked="0" hidden="1"/>
    </xf>
    <xf numFmtId="20" fontId="0" fillId="4" borderId="0" xfId="0" applyNumberFormat="1" applyFill="1" applyAlignment="1" applyProtection="1">
      <alignment horizontal="center"/>
      <protection locked="0" hidden="1"/>
    </xf>
    <xf numFmtId="21" fontId="5" fillId="3" borderId="0" xfId="0" applyNumberFormat="1" applyFont="1" applyFill="1" applyAlignment="1" applyProtection="1">
      <alignment horizontal="center"/>
      <protection hidden="1"/>
    </xf>
    <xf numFmtId="20" fontId="4" fillId="0" borderId="0" xfId="0" applyNumberFormat="1" applyFont="1" applyAlignment="1" applyProtection="1">
      <alignment horizontal="center"/>
      <protection hidden="1"/>
    </xf>
    <xf numFmtId="0" fontId="0" fillId="0" borderId="0" xfId="0" applyNumberFormat="1" applyAlignment="1" applyProtection="1">
      <alignment horizontal="center"/>
      <protection hidden="1"/>
    </xf>
    <xf numFmtId="0" fontId="12" fillId="0" borderId="0" xfId="0" applyNumberFormat="1" applyFont="1" applyAlignment="1" applyProtection="1">
      <alignment horizontal="center"/>
      <protection hidden="1"/>
    </xf>
    <xf numFmtId="0" fontId="12" fillId="3" borderId="0" xfId="0" applyNumberFormat="1" applyFont="1" applyFill="1" applyAlignment="1" applyProtection="1">
      <alignment horizontal="center"/>
      <protection hidden="1"/>
    </xf>
    <xf numFmtId="164" fontId="12" fillId="3" borderId="0" xfId="0" applyNumberFormat="1" applyFont="1" applyFill="1" applyAlignment="1" applyProtection="1">
      <alignment horizontal="center"/>
      <protection hidden="1"/>
    </xf>
    <xf numFmtId="164" fontId="12" fillId="0" borderId="0" xfId="0" applyNumberFormat="1" applyFont="1" applyAlignment="1" applyProtection="1">
      <alignment horizontal="right"/>
      <protection hidden="1"/>
    </xf>
    <xf numFmtId="164" fontId="13" fillId="3" borderId="0" xfId="0" applyNumberFormat="1" applyFont="1" applyFill="1" applyAlignment="1" applyProtection="1">
      <alignment horizontal="center"/>
      <protection hidden="1"/>
    </xf>
    <xf numFmtId="0" fontId="4" fillId="0" borderId="0" xfId="0" applyFont="1" applyAlignment="1" applyProtection="1">
      <alignment horizontal="left"/>
      <protection hidden="1"/>
    </xf>
    <xf numFmtId="21" fontId="3" fillId="2" borderId="0" xfId="0" applyNumberFormat="1" applyFont="1" applyFill="1" applyAlignment="1" applyProtection="1">
      <alignment horizontal="center"/>
      <protection hidden="1"/>
    </xf>
    <xf numFmtId="21" fontId="0" fillId="4" borderId="0" xfId="0" applyNumberFormat="1" applyFont="1" applyFill="1" applyAlignment="1" applyProtection="1">
      <alignment horizontal="center"/>
      <protection locked="0" hidden="1"/>
    </xf>
    <xf numFmtId="0" fontId="3" fillId="7" borderId="0" xfId="0" applyFont="1" applyFill="1" applyBorder="1" applyProtection="1">
      <protection hidden="1"/>
    </xf>
    <xf numFmtId="0" fontId="4" fillId="6" borderId="0" xfId="0" applyFont="1" applyFill="1" applyAlignment="1" applyProtection="1">
      <alignment horizontal="center" vertical="center"/>
      <protection hidden="1"/>
    </xf>
    <xf numFmtId="0" fontId="4" fillId="6" borderId="0" xfId="0" applyFont="1" applyFill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right"/>
      <protection hidden="1"/>
    </xf>
    <xf numFmtId="0" fontId="0" fillId="0" borderId="0" xfId="0" applyFont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3" fillId="0" borderId="0" xfId="0" applyFont="1" applyFill="1" applyBorder="1" applyAlignment="1" applyProtection="1">
      <alignment horizontal="center"/>
      <protection hidden="1"/>
    </xf>
    <xf numFmtId="21" fontId="3" fillId="0" borderId="0" xfId="0" applyNumberFormat="1" applyFont="1" applyAlignment="1" applyProtection="1">
      <alignment horizontal="center"/>
      <protection hidden="1"/>
    </xf>
    <xf numFmtId="0" fontId="6" fillId="7" borderId="0" xfId="0" applyFont="1" applyFill="1" applyBorder="1" applyAlignment="1" applyProtection="1">
      <alignment horizontal="center" wrapText="1"/>
      <protection hidden="1"/>
    </xf>
    <xf numFmtId="0" fontId="7" fillId="0" borderId="0" xfId="0" applyFont="1" applyAlignment="1" applyProtection="1">
      <alignment horizontal="left"/>
      <protection hidden="1"/>
    </xf>
    <xf numFmtId="0" fontId="3" fillId="0" borderId="0" xfId="0" applyFont="1" applyFill="1" applyBorder="1" applyAlignment="1" applyProtection="1">
      <alignment horizontal="left"/>
      <protection hidden="1"/>
    </xf>
  </cellXfs>
  <cellStyles count="3">
    <cellStyle name="hora-azul" xfId="1" xr:uid="{00000000-0005-0000-0000-000000000000}"/>
    <cellStyle name="hora-vermelho" xfId="2" xr:uid="{00000000-0005-0000-0000-000001000000}"/>
    <cellStyle name="Normal" xfId="0" builtinId="0"/>
  </cellStyles>
  <dxfs count="2">
    <dxf>
      <font>
        <b val="0"/>
        <condense val="0"/>
        <extend val="0"/>
        <color indexed="10"/>
      </font>
    </dxf>
    <dxf>
      <font>
        <b val="0"/>
        <condense val="0"/>
        <extend val="0"/>
        <color indexed="1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DEDED"/>
      <rgbColor rgb="00E6E6E6"/>
      <rgbColor rgb="00660066"/>
      <rgbColor rgb="00FF8080"/>
      <rgbColor rgb="000066CC"/>
      <rgbColor rgb="00CCCCC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3D7CF"/>
      <rgbColor rgb="00EBE0B2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420E"/>
      <rgbColor rgb="00666666"/>
      <rgbColor rgb="00999999"/>
      <rgbColor rgb="00003366"/>
      <rgbColor rgb="00339966"/>
      <rgbColor rgb="00003300"/>
      <rgbColor rgb="00333300"/>
      <rgbColor rgb="00993300"/>
      <rgbColor rgb="00993366"/>
      <rgbColor rgb="0021418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hyperlink" Target="http://www.reidasplanilhas.com/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14</xdr:col>
      <xdr:colOff>381000</xdr:colOff>
      <xdr:row>5</xdr:row>
      <xdr:rowOff>123825</xdr:rowOff>
    </xdr:to>
    <xdr:pic>
      <xdr:nvPicPr>
        <xdr:cNvPr id="1035" name="Picture 1" descr="positiva-400x100-web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0C5485-71E9-4312-B168-533DC9880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0"/>
          <a:ext cx="379095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2"/>
  <sheetViews>
    <sheetView tabSelected="1" zoomScale="80" zoomScaleNormal="80" workbookViewId="0" xr3:uid="{AEA406A1-0E4B-5B11-9CD5-51D6E497D94C}">
      <pane ySplit="20" topLeftCell="A21" activePane="bottomLeft" state="frozen"/>
      <selection pane="bottomLeft" activeCell="C37" sqref="C37"/>
    </sheetView>
  </sheetViews>
  <sheetFormatPr defaultColWidth="11.59375" defaultRowHeight="12.75" x14ac:dyDescent="0.15"/>
  <cols>
    <col min="1" max="1" width="40.859375" style="1" customWidth="1"/>
    <col min="2" max="4" width="15.23828125" style="1" customWidth="1"/>
    <col min="5" max="5" width="3.91015625" style="1" customWidth="1"/>
    <col min="6" max="6" width="7.68359375" style="2" customWidth="1"/>
    <col min="7" max="7" width="1.34765625" style="1" customWidth="1"/>
    <col min="8" max="8" width="10.11328125" style="2" customWidth="1"/>
    <col min="9" max="9" width="7.68359375" style="1" customWidth="1"/>
    <col min="10" max="10" width="1.34765625" style="1" customWidth="1"/>
    <col min="11" max="11" width="20.359375" style="2" customWidth="1"/>
    <col min="12" max="13" width="0" style="3" hidden="1" customWidth="1"/>
    <col min="14" max="14" width="2.55859375" style="1" customWidth="1"/>
    <col min="15" max="16" width="10.11328125" style="1" customWidth="1"/>
    <col min="17" max="17" width="1.34765625" style="1" customWidth="1"/>
    <col min="18" max="19" width="0" style="1" hidden="1" customWidth="1"/>
    <col min="20" max="21" width="10.11328125" style="1" customWidth="1"/>
    <col min="22" max="22" width="1.34765625" style="1" customWidth="1"/>
    <col min="23" max="24" width="0" style="1" hidden="1" customWidth="1"/>
    <col min="25" max="25" width="12.67578125" style="1" customWidth="1"/>
    <col min="26" max="27" width="0" style="1" hidden="1" customWidth="1"/>
    <col min="28" max="28" width="1.34765625" style="1" customWidth="1"/>
    <col min="29" max="29" width="10.11328125" style="2" customWidth="1"/>
    <col min="30" max="31" width="11.59375" style="2" hidden="1" customWidth="1"/>
    <col min="32" max="32" width="15.23828125" style="2" customWidth="1"/>
    <col min="33" max="33" width="1.34765625" style="1" customWidth="1"/>
    <col min="34" max="34" width="10.11328125" style="2" customWidth="1"/>
    <col min="35" max="36" width="11.59375" style="2" hidden="1" customWidth="1"/>
    <col min="37" max="37" width="15.23828125" style="2" customWidth="1"/>
    <col min="38" max="38" width="6.47265625" style="2" customWidth="1"/>
    <col min="39" max="16384" width="11.59375" style="1"/>
  </cols>
  <sheetData>
    <row r="1" spans="1:38" x14ac:dyDescent="0.15">
      <c r="A1" s="4" t="s">
        <v>0</v>
      </c>
      <c r="B1" s="5" t="s">
        <v>1</v>
      </c>
      <c r="C1" s="61" t="s">
        <v>2</v>
      </c>
      <c r="D1" s="61"/>
      <c r="E1" s="6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</row>
    <row r="2" spans="1:38" x14ac:dyDescent="0.15">
      <c r="A2" s="8" t="s">
        <v>0</v>
      </c>
      <c r="B2" s="9" t="s">
        <v>3</v>
      </c>
      <c r="C2" s="62" t="s">
        <v>4</v>
      </c>
      <c r="D2" s="62"/>
      <c r="E2" s="6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W2" s="7"/>
      <c r="X2" s="7"/>
    </row>
    <row r="3" spans="1:38" x14ac:dyDescent="0.15">
      <c r="B3" s="6"/>
      <c r="C3" s="6"/>
      <c r="D3" s="6"/>
      <c r="E3" s="6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W3" s="7"/>
      <c r="X3" s="7"/>
    </row>
    <row r="4" spans="1:38" x14ac:dyDescent="0.15">
      <c r="A4" s="63" t="s">
        <v>5</v>
      </c>
      <c r="B4" s="63"/>
      <c r="C4" s="6"/>
      <c r="D4" s="6"/>
      <c r="E4" s="6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W4" s="7"/>
      <c r="X4" s="7"/>
    </row>
    <row r="5" spans="1:38" x14ac:dyDescent="0.15">
      <c r="A5" s="1" t="s">
        <v>6</v>
      </c>
      <c r="B5" s="10">
        <v>25</v>
      </c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W5" s="7"/>
      <c r="X5" s="7"/>
    </row>
    <row r="6" spans="1:38" x14ac:dyDescent="0.15">
      <c r="A6" s="1" t="s">
        <v>7</v>
      </c>
      <c r="B6" s="11">
        <v>0.30000000000000004</v>
      </c>
      <c r="E6" s="2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W6" s="7"/>
      <c r="X6" s="7"/>
    </row>
    <row r="7" spans="1:38" hidden="1" x14ac:dyDescent="0.15">
      <c r="B7" s="12"/>
      <c r="E7" s="2"/>
      <c r="R7" s="7"/>
      <c r="S7" s="7"/>
      <c r="W7" s="7"/>
      <c r="X7" s="7"/>
    </row>
    <row r="8" spans="1:38" x14ac:dyDescent="0.15">
      <c r="B8" s="6"/>
      <c r="C8" s="6"/>
      <c r="D8" s="6"/>
      <c r="E8" s="2"/>
      <c r="R8" s="7"/>
      <c r="S8" s="7"/>
      <c r="W8" s="7"/>
      <c r="X8" s="7"/>
    </row>
    <row r="9" spans="1:38" hidden="1" x14ac:dyDescent="0.15">
      <c r="B9" s="6"/>
      <c r="C9" s="6"/>
      <c r="D9" s="6"/>
      <c r="E9" s="2"/>
      <c r="I9" s="7">
        <v>1</v>
      </c>
      <c r="K9" s="13" t="str">
        <f>B12</f>
        <v>H1 (DIA ÚTIL)</v>
      </c>
      <c r="L9" s="14">
        <f>B17</f>
        <v>0.33333333333333337</v>
      </c>
      <c r="M9" s="15">
        <f>B19</f>
        <v>48.75</v>
      </c>
      <c r="R9" s="7"/>
      <c r="S9" s="7"/>
      <c r="W9" s="7"/>
      <c r="X9" s="7"/>
    </row>
    <row r="10" spans="1:38" hidden="1" x14ac:dyDescent="0.15">
      <c r="B10" s="6"/>
      <c r="C10" s="6"/>
      <c r="D10" s="6"/>
      <c r="E10" s="2"/>
      <c r="I10" s="7">
        <v>6</v>
      </c>
      <c r="K10" s="13" t="str">
        <f>C12</f>
        <v>H2 (SÁBADO)</v>
      </c>
      <c r="L10" s="14">
        <f>C17</f>
        <v>0.16666666666666669</v>
      </c>
      <c r="M10" s="15">
        <f>C19</f>
        <v>65</v>
      </c>
      <c r="R10" s="7"/>
      <c r="S10" s="7"/>
      <c r="W10" s="7"/>
      <c r="X10" s="7"/>
    </row>
    <row r="11" spans="1:38" hidden="1" x14ac:dyDescent="0.15">
      <c r="B11" s="6"/>
      <c r="C11" s="6"/>
      <c r="D11" s="6"/>
      <c r="E11" s="2"/>
      <c r="I11" s="7">
        <v>7</v>
      </c>
      <c r="K11" s="13" t="str">
        <f>D12</f>
        <v>H3 (FERIADO)</v>
      </c>
      <c r="L11" s="14">
        <f>D17</f>
        <v>0</v>
      </c>
      <c r="M11" s="15">
        <f>D19</f>
        <v>65</v>
      </c>
      <c r="R11" s="7"/>
      <c r="S11" s="7"/>
      <c r="W11" s="7"/>
      <c r="X11" s="7"/>
    </row>
    <row r="12" spans="1:38" x14ac:dyDescent="0.15">
      <c r="A12" s="4" t="s">
        <v>8</v>
      </c>
      <c r="B12" s="5" t="s">
        <v>9</v>
      </c>
      <c r="C12" s="5" t="s">
        <v>10</v>
      </c>
      <c r="D12" s="5" t="s">
        <v>11</v>
      </c>
      <c r="E12" s="2"/>
      <c r="R12" s="7"/>
      <c r="S12" s="7"/>
      <c r="W12" s="7"/>
      <c r="X12" s="7"/>
    </row>
    <row r="13" spans="1:38" x14ac:dyDescent="0.15">
      <c r="A13" s="16" t="s">
        <v>12</v>
      </c>
      <c r="B13" s="17">
        <v>0.33333333333333331</v>
      </c>
      <c r="C13" s="17">
        <v>0.33333333333333331</v>
      </c>
      <c r="D13" s="17"/>
      <c r="E13" s="2"/>
      <c r="R13" s="7"/>
      <c r="S13" s="7"/>
      <c r="W13" s="7"/>
      <c r="X13" s="7"/>
    </row>
    <row r="14" spans="1:38" x14ac:dyDescent="0.15">
      <c r="A14" s="16" t="s">
        <v>13</v>
      </c>
      <c r="B14" s="17">
        <v>0.5</v>
      </c>
      <c r="C14" s="17">
        <v>0.5</v>
      </c>
      <c r="D14" s="17"/>
      <c r="E14" s="2"/>
      <c r="L14" s="14"/>
      <c r="M14" s="14"/>
      <c r="R14" s="7"/>
      <c r="S14" s="7"/>
      <c r="W14" s="7"/>
      <c r="X14" s="7"/>
    </row>
    <row r="15" spans="1:38" x14ac:dyDescent="0.15">
      <c r="A15" s="16" t="s">
        <v>14</v>
      </c>
      <c r="B15" s="17">
        <v>0.58333333333333337</v>
      </c>
      <c r="C15" s="17"/>
      <c r="D15" s="17"/>
      <c r="E15" s="2"/>
      <c r="F15" s="64" t="s">
        <v>15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</row>
    <row r="16" spans="1:38" x14ac:dyDescent="0.15">
      <c r="A16" s="16" t="s">
        <v>16</v>
      </c>
      <c r="B16" s="17">
        <v>0.75</v>
      </c>
      <c r="C16" s="17"/>
      <c r="D16" s="17"/>
      <c r="E16" s="2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</row>
    <row r="17" spans="1:38" x14ac:dyDescent="0.15">
      <c r="A17" s="18" t="s">
        <v>17</v>
      </c>
      <c r="B17" s="19">
        <f>B14-B13+B16-B15</f>
        <v>0.33333333333333337</v>
      </c>
      <c r="C17" s="19">
        <f>C14-C13+C16-C15</f>
        <v>0.16666666666666669</v>
      </c>
      <c r="D17" s="19">
        <f>D14-D13+D16-D15</f>
        <v>0</v>
      </c>
      <c r="E17" s="2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</row>
    <row r="18" spans="1:38" x14ac:dyDescent="0.15">
      <c r="A18" s="1" t="s">
        <v>18</v>
      </c>
      <c r="B18" s="20">
        <v>0.5</v>
      </c>
      <c r="C18" s="20">
        <v>1</v>
      </c>
      <c r="D18" s="20">
        <v>1</v>
      </c>
      <c r="E18" s="2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</row>
    <row r="19" spans="1:38" hidden="1" x14ac:dyDescent="0.15">
      <c r="A19" s="21" t="s">
        <v>19</v>
      </c>
      <c r="B19" s="22">
        <f>($B$5*(1+$B$6))*(1+B18)</f>
        <v>48.75</v>
      </c>
      <c r="C19" s="22">
        <f>($B$5*(1+$B$6))*(1+C18)</f>
        <v>65</v>
      </c>
      <c r="D19" s="22">
        <f>($B$5*(1+$B$6))*(1+D18)</f>
        <v>65</v>
      </c>
      <c r="E19" s="2"/>
      <c r="L19" s="14"/>
      <c r="M19" s="14"/>
      <c r="R19" s="7"/>
      <c r="S19" s="7"/>
      <c r="W19" s="7"/>
      <c r="X19" s="7"/>
    </row>
    <row r="20" spans="1:38" x14ac:dyDescent="0.15">
      <c r="L20" s="14"/>
      <c r="M20" s="14"/>
      <c r="R20" s="7"/>
      <c r="S20" s="7"/>
      <c r="W20" s="7"/>
      <c r="X20" s="7"/>
    </row>
    <row r="21" spans="1:38" ht="12.95" customHeight="1" x14ac:dyDescent="0.15">
      <c r="B21" s="65" t="s">
        <v>20</v>
      </c>
      <c r="C21" s="65"/>
      <c r="D21" s="65"/>
      <c r="F21" s="23" t="s">
        <v>21</v>
      </c>
      <c r="G21" s="24"/>
      <c r="H21" s="25"/>
      <c r="I21" s="24"/>
      <c r="J21" s="24"/>
      <c r="K21" s="25"/>
      <c r="L21" s="26"/>
      <c r="M21" s="26"/>
      <c r="N21" s="24"/>
      <c r="O21" s="24"/>
      <c r="P21" s="24"/>
      <c r="Q21" s="24"/>
      <c r="R21" s="27"/>
      <c r="S21" s="27"/>
      <c r="T21" s="24"/>
      <c r="U21" s="24"/>
      <c r="V21" s="24"/>
      <c r="W21" s="27"/>
      <c r="X21" s="27"/>
      <c r="Y21" s="24"/>
      <c r="Z21" s="24"/>
      <c r="AA21" s="24"/>
      <c r="AB21" s="24"/>
      <c r="AC21" s="25"/>
      <c r="AD21" s="25"/>
      <c r="AE21" s="25"/>
      <c r="AF21" s="66" t="s">
        <v>2</v>
      </c>
      <c r="AG21" s="66"/>
      <c r="AH21" s="66"/>
      <c r="AI21" s="66"/>
      <c r="AJ21" s="66"/>
      <c r="AK21" s="66"/>
      <c r="AL21" s="66"/>
    </row>
    <row r="22" spans="1:38" x14ac:dyDescent="0.15">
      <c r="B22" s="65"/>
      <c r="C22" s="65"/>
      <c r="D22" s="65"/>
      <c r="F22" s="28" t="str">
        <f>A2&amp;" - "&amp;B2</f>
        <v>NOME DO FUNCIONÁRIO - 0000000-000</v>
      </c>
      <c r="G22" s="24"/>
      <c r="H22" s="25"/>
      <c r="I22" s="24"/>
      <c r="J22" s="24"/>
      <c r="K22" s="25"/>
      <c r="L22" s="26"/>
      <c r="M22" s="26"/>
      <c r="N22" s="24"/>
      <c r="O22" s="24"/>
      <c r="P22" s="24"/>
      <c r="Q22" s="24"/>
      <c r="R22" s="27"/>
      <c r="S22" s="27"/>
      <c r="T22" s="24"/>
      <c r="U22" s="24"/>
      <c r="V22" s="24"/>
      <c r="W22" s="27"/>
      <c r="X22" s="27"/>
      <c r="Y22" s="24"/>
      <c r="Z22" s="24"/>
      <c r="AA22" s="24"/>
      <c r="AB22" s="24"/>
      <c r="AC22" s="25"/>
      <c r="AD22" s="25"/>
      <c r="AE22" s="25"/>
      <c r="AF22" s="67" t="str">
        <f>CLEAN(C2)</f>
        <v>JANEIRO A MARÇO DE 2009</v>
      </c>
      <c r="AG22" s="67"/>
      <c r="AH22" s="67"/>
      <c r="AI22" s="67"/>
      <c r="AJ22" s="67"/>
      <c r="AK22" s="67"/>
      <c r="AL22" s="67"/>
    </row>
    <row r="23" spans="1:38" x14ac:dyDescent="0.15">
      <c r="B23" s="65"/>
      <c r="C23" s="65"/>
      <c r="D23" s="65"/>
      <c r="F23" s="28"/>
      <c r="G23" s="24"/>
      <c r="H23" s="25"/>
      <c r="I23" s="24"/>
      <c r="J23" s="24"/>
      <c r="K23" s="25"/>
      <c r="L23" s="26"/>
      <c r="M23" s="26"/>
      <c r="N23" s="24"/>
      <c r="O23" s="24"/>
      <c r="P23" s="24"/>
      <c r="Q23" s="24"/>
      <c r="R23" s="27"/>
      <c r="S23" s="27"/>
      <c r="T23" s="24"/>
      <c r="U23" s="24"/>
      <c r="V23" s="24"/>
      <c r="W23" s="27"/>
      <c r="X23" s="27"/>
      <c r="Y23" s="24"/>
      <c r="Z23" s="24"/>
      <c r="AA23" s="24"/>
      <c r="AB23" s="24"/>
      <c r="AC23" s="25"/>
      <c r="AD23" s="25"/>
      <c r="AE23" s="25"/>
      <c r="AF23" s="25"/>
      <c r="AG23" s="24"/>
      <c r="AH23" s="25"/>
      <c r="AI23" s="25"/>
      <c r="AJ23" s="25"/>
      <c r="AK23" s="25"/>
    </row>
    <row r="24" spans="1:38" x14ac:dyDescent="0.15">
      <c r="B24" s="65"/>
      <c r="C24" s="65"/>
      <c r="D24" s="65"/>
      <c r="F24" s="25"/>
      <c r="G24" s="24"/>
      <c r="H24" s="25"/>
      <c r="I24" s="24"/>
      <c r="J24" s="24"/>
      <c r="K24" s="25"/>
      <c r="L24" s="28"/>
      <c r="M24" s="28"/>
      <c r="N24" s="24"/>
      <c r="O24" s="24"/>
      <c r="P24" s="24"/>
      <c r="Q24" s="24"/>
      <c r="R24" s="24"/>
      <c r="S24" s="29" t="s">
        <v>22</v>
      </c>
      <c r="T24" s="24"/>
      <c r="U24" s="24"/>
      <c r="V24" s="24"/>
      <c r="W24" s="27"/>
      <c r="X24" s="27"/>
      <c r="Y24" s="24"/>
      <c r="Z24" s="27"/>
      <c r="AA24" s="24"/>
      <c r="AB24" s="24"/>
      <c r="AC24" s="25"/>
      <c r="AD24" s="25"/>
      <c r="AE24" s="25"/>
      <c r="AF24" s="25"/>
      <c r="AG24" s="24"/>
      <c r="AH24" s="25"/>
      <c r="AI24" s="25"/>
      <c r="AJ24" s="25"/>
      <c r="AK24" s="25"/>
    </row>
    <row r="25" spans="1:38" ht="25.35" customHeight="1" x14ac:dyDescent="0.15">
      <c r="B25" s="65"/>
      <c r="C25" s="65"/>
      <c r="D25" s="65"/>
      <c r="F25" s="68" t="s">
        <v>23</v>
      </c>
      <c r="H25" s="69" t="s">
        <v>24</v>
      </c>
      <c r="I25" s="69"/>
      <c r="K25" s="73" t="s">
        <v>25</v>
      </c>
      <c r="L25" s="73"/>
      <c r="M25" s="30"/>
      <c r="O25" s="71" t="s">
        <v>26</v>
      </c>
      <c r="P25" s="71"/>
      <c r="R25" s="32"/>
      <c r="S25" s="32"/>
      <c r="T25" s="71" t="s">
        <v>27</v>
      </c>
      <c r="U25" s="71"/>
      <c r="W25" s="32"/>
      <c r="X25" s="32"/>
      <c r="Y25" s="31" t="s">
        <v>28</v>
      </c>
      <c r="Z25" s="33"/>
      <c r="AA25" s="31" t="s">
        <v>29</v>
      </c>
      <c r="AC25" s="71" t="s">
        <v>30</v>
      </c>
      <c r="AD25" s="71"/>
      <c r="AE25" s="71"/>
      <c r="AF25" s="71"/>
      <c r="AH25" s="71" t="s">
        <v>31</v>
      </c>
      <c r="AI25" s="71"/>
      <c r="AJ25" s="71"/>
      <c r="AK25" s="71"/>
      <c r="AL25" s="34"/>
    </row>
    <row r="26" spans="1:38" x14ac:dyDescent="0.15">
      <c r="F26" s="68"/>
      <c r="H26" s="69"/>
      <c r="I26" s="69"/>
      <c r="K26" s="73"/>
      <c r="L26" s="73"/>
      <c r="M26" s="30"/>
      <c r="O26" s="34" t="s">
        <v>32</v>
      </c>
      <c r="P26" s="34" t="s">
        <v>33</v>
      </c>
      <c r="R26" s="35" t="s">
        <v>34</v>
      </c>
      <c r="S26" s="35"/>
      <c r="T26" s="34" t="s">
        <v>32</v>
      </c>
      <c r="U26" s="34" t="s">
        <v>33</v>
      </c>
      <c r="W26" s="35" t="s">
        <v>35</v>
      </c>
      <c r="X26" s="35"/>
      <c r="Y26" s="34" t="s">
        <v>36</v>
      </c>
      <c r="Z26" s="35"/>
      <c r="AA26" s="34"/>
      <c r="AC26" s="34" t="s">
        <v>37</v>
      </c>
      <c r="AD26" s="34"/>
      <c r="AE26" s="34"/>
      <c r="AF26" s="34" t="s">
        <v>38</v>
      </c>
      <c r="AH26" s="34" t="s">
        <v>37</v>
      </c>
      <c r="AI26" s="34"/>
      <c r="AJ26" s="34"/>
      <c r="AK26" s="34" t="s">
        <v>38</v>
      </c>
      <c r="AL26" s="34"/>
    </row>
    <row r="27" spans="1:38" s="36" customFormat="1" ht="13.5" x14ac:dyDescent="0.15">
      <c r="F27" s="68" t="s">
        <v>39</v>
      </c>
      <c r="G27" s="1"/>
      <c r="H27" s="69"/>
      <c r="I27" s="69"/>
      <c r="J27" s="1"/>
      <c r="K27" s="73" t="s">
        <v>39</v>
      </c>
      <c r="L27" s="73"/>
      <c r="M27" s="37"/>
      <c r="N27" s="1"/>
      <c r="O27" s="38" t="str">
        <f>IF(SUM(O29:O68),AVERAGE(O29:O68),"-")</f>
        <v>-</v>
      </c>
      <c r="P27" s="38" t="str">
        <f>IF(SUM(P29:P68),AVERAGE(P29:P68),"-")</f>
        <v>-</v>
      </c>
      <c r="Q27" s="1"/>
      <c r="R27" s="39"/>
      <c r="S27" s="39"/>
      <c r="T27" s="38" t="str">
        <f>IF(SUM(T29:T68),AVERAGE(T29:T68),"-")</f>
        <v>-</v>
      </c>
      <c r="U27" s="38" t="str">
        <f>IF(SUM(U29:U68),AVERAGE(U29:U68),"-")</f>
        <v>-</v>
      </c>
      <c r="V27" s="1"/>
      <c r="W27" s="39"/>
      <c r="X27" s="39"/>
      <c r="Y27" s="38" t="str">
        <f>IF(SUM(Y29:Y68),AVERAGE(Y29:Y68),"-")</f>
        <v>-</v>
      </c>
      <c r="Z27" s="39"/>
      <c r="AA27" s="40" t="s">
        <v>39</v>
      </c>
      <c r="AB27" s="1"/>
      <c r="AC27" s="41">
        <f>SUM(AC29:AC68)</f>
        <v>0</v>
      </c>
      <c r="AD27" s="41"/>
      <c r="AE27" s="41"/>
      <c r="AF27" s="42">
        <f>SUM(AF29:AF68)</f>
        <v>0</v>
      </c>
      <c r="AG27" s="1"/>
      <c r="AH27" s="41">
        <f>SUM(AH29:AH68)</f>
        <v>0</v>
      </c>
      <c r="AI27" s="41"/>
      <c r="AJ27" s="42"/>
      <c r="AK27" s="42">
        <f>SUM(AK29:AK68)</f>
        <v>0</v>
      </c>
      <c r="AL27" s="42"/>
    </row>
    <row r="28" spans="1:38" ht="5.65" customHeight="1" x14ac:dyDescent="0.15">
      <c r="F28" s="43"/>
      <c r="G28" s="35"/>
      <c r="H28" s="43"/>
      <c r="I28" s="44"/>
      <c r="J28" s="35"/>
      <c r="K28" s="43"/>
      <c r="L28" s="30"/>
      <c r="M28" s="30"/>
      <c r="N28" s="44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45"/>
      <c r="AD28" s="45"/>
      <c r="AE28" s="45"/>
      <c r="AF28" s="45"/>
      <c r="AG28" s="35"/>
      <c r="AH28" s="45"/>
      <c r="AI28" s="45"/>
      <c r="AJ28" s="45"/>
      <c r="AK28" s="45"/>
      <c r="AL28" s="45"/>
    </row>
    <row r="29" spans="1:38" x14ac:dyDescent="0.15">
      <c r="F29" s="46">
        <v>1</v>
      </c>
      <c r="G29" s="47"/>
      <c r="H29" s="48"/>
      <c r="I29" s="49" t="str">
        <f t="shared" ref="I29:I68" si="0">IF(H29&lt;&gt;"",H29,"")</f>
        <v/>
      </c>
      <c r="J29" s="47"/>
      <c r="K29" s="50" t="str">
        <f t="shared" ref="K29:K68" si="1">IF(H29&lt;&gt;"",LOOKUP(WEEKDAY(H29,2),I$9:I$11,K$9:K$11),"")</f>
        <v/>
      </c>
      <c r="L29" s="7"/>
      <c r="M29" s="7"/>
      <c r="O29" s="51"/>
      <c r="P29" s="51"/>
      <c r="Q29" s="47"/>
      <c r="R29" s="52">
        <f t="shared" ref="R29:R68" si="2">P29-O29</f>
        <v>0</v>
      </c>
      <c r="S29" s="47"/>
      <c r="T29" s="51"/>
      <c r="U29" s="51"/>
      <c r="V29" s="2"/>
      <c r="W29" s="52">
        <f t="shared" ref="W29:W68" si="3">U29-T29</f>
        <v>0</v>
      </c>
      <c r="X29" s="13"/>
      <c r="Y29" s="53" t="str">
        <f t="shared" ref="Y29:Y68" si="4">IF(K29&lt;&gt;"",R29+W29,"")</f>
        <v/>
      </c>
      <c r="Z29" s="13" t="str">
        <f t="shared" ref="Z29:Z68" si="5">IF(K29&lt;&gt;"",LOOKUP(K29,$K$9:$K$11,$L$9:$L$11),"")</f>
        <v/>
      </c>
      <c r="AA29" s="54" t="str">
        <f t="shared" ref="AA29:AA68" si="6">IF(K29&lt;&gt;"",TIME(HOUR(Z29),MINUTE(Z29),SECOND(Z29)),"")</f>
        <v/>
      </c>
      <c r="AB29" s="47"/>
      <c r="AC29" s="55">
        <f t="shared" ref="AC29:AC68" si="7">IF(Y29&lt;AA29,AA29-Y29,0)</f>
        <v>0</v>
      </c>
      <c r="AD29" s="56">
        <f t="shared" ref="AD29:AD68" si="8">HOUR(AC29)+MINUTE(AC29)/60</f>
        <v>0</v>
      </c>
      <c r="AE29" s="59">
        <f>IF(K29&lt;&gt;"",$B$5,0)</f>
        <v>0</v>
      </c>
      <c r="AF29" s="58">
        <f t="shared" ref="AF29:AF68" si="9">AE29*AD29</f>
        <v>0</v>
      </c>
      <c r="AG29" s="47"/>
      <c r="AH29" s="55">
        <f t="shared" ref="AH29:AH68" si="10">IF(Y29&gt;AA29,Y29-AA29,0)</f>
        <v>0</v>
      </c>
      <c r="AI29" s="56">
        <f t="shared" ref="AI29:AI68" si="11">HOUR(AH29)+MINUTE(AH29)/60</f>
        <v>0</v>
      </c>
      <c r="AJ29" s="57">
        <f>IF(K29&lt;&gt;"",LOOKUP(K29,$K$9:$K$11,$M$9:$M$11),0)</f>
        <v>0</v>
      </c>
      <c r="AK29" s="58">
        <f t="shared" ref="AK29:AK68" si="12">AJ29*AI29</f>
        <v>0</v>
      </c>
      <c r="AL29" s="58"/>
    </row>
    <row r="30" spans="1:38" x14ac:dyDescent="0.15">
      <c r="F30" s="46">
        <v>2</v>
      </c>
      <c r="G30" s="47"/>
      <c r="H30" s="48"/>
      <c r="I30" s="49" t="str">
        <f t="shared" si="0"/>
        <v/>
      </c>
      <c r="J30" s="47"/>
      <c r="K30" s="50" t="str">
        <f t="shared" si="1"/>
        <v/>
      </c>
      <c r="L30" s="7"/>
      <c r="M30" s="7"/>
      <c r="O30" s="51"/>
      <c r="P30" s="51"/>
      <c r="Q30" s="47"/>
      <c r="R30" s="52">
        <f t="shared" si="2"/>
        <v>0</v>
      </c>
      <c r="S30" s="47"/>
      <c r="T30" s="51"/>
      <c r="U30" s="51"/>
      <c r="V30" s="2"/>
      <c r="W30" s="52">
        <f t="shared" si="3"/>
        <v>0</v>
      </c>
      <c r="X30" s="13"/>
      <c r="Y30" s="53" t="str">
        <f t="shared" si="4"/>
        <v/>
      </c>
      <c r="Z30" s="13" t="str">
        <f t="shared" si="5"/>
        <v/>
      </c>
      <c r="AA30" s="54" t="str">
        <f t="shared" si="6"/>
        <v/>
      </c>
      <c r="AB30" s="47"/>
      <c r="AC30" s="55">
        <f t="shared" si="7"/>
        <v>0</v>
      </c>
      <c r="AD30" s="56">
        <f t="shared" si="8"/>
        <v>0</v>
      </c>
      <c r="AE30" s="59">
        <f t="shared" ref="AE30:AE68" si="13">IF(K30&lt;&gt;"",$B$5,0)</f>
        <v>0</v>
      </c>
      <c r="AF30" s="58">
        <f t="shared" si="9"/>
        <v>0</v>
      </c>
      <c r="AG30" s="47"/>
      <c r="AH30" s="55">
        <f t="shared" si="10"/>
        <v>0</v>
      </c>
      <c r="AI30" s="56">
        <f t="shared" si="11"/>
        <v>0</v>
      </c>
      <c r="AJ30" s="57">
        <f t="shared" ref="AJ30:AJ68" si="14">IF(K30&lt;&gt;"",LOOKUP(K30,$K$9:$K$11,$M$9:$M$11),0)</f>
        <v>0</v>
      </c>
      <c r="AK30" s="58">
        <f t="shared" si="12"/>
        <v>0</v>
      </c>
      <c r="AL30" s="58"/>
    </row>
    <row r="31" spans="1:38" x14ac:dyDescent="0.15">
      <c r="F31" s="46">
        <v>3</v>
      </c>
      <c r="G31" s="47"/>
      <c r="H31" s="48"/>
      <c r="I31" s="49" t="str">
        <f t="shared" si="0"/>
        <v/>
      </c>
      <c r="J31" s="47"/>
      <c r="K31" s="50" t="str">
        <f t="shared" si="1"/>
        <v/>
      </c>
      <c r="L31" s="7"/>
      <c r="M31" s="7"/>
      <c r="O31" s="51"/>
      <c r="P31" s="51"/>
      <c r="Q31" s="47"/>
      <c r="R31" s="52">
        <f t="shared" si="2"/>
        <v>0</v>
      </c>
      <c r="S31" s="47"/>
      <c r="T31" s="51"/>
      <c r="U31" s="51"/>
      <c r="V31" s="2"/>
      <c r="W31" s="52">
        <f t="shared" si="3"/>
        <v>0</v>
      </c>
      <c r="X31" s="13"/>
      <c r="Y31" s="53" t="str">
        <f t="shared" si="4"/>
        <v/>
      </c>
      <c r="Z31" s="13" t="str">
        <f t="shared" si="5"/>
        <v/>
      </c>
      <c r="AA31" s="54" t="str">
        <f t="shared" si="6"/>
        <v/>
      </c>
      <c r="AB31" s="47"/>
      <c r="AC31" s="55">
        <f t="shared" si="7"/>
        <v>0</v>
      </c>
      <c r="AD31" s="56">
        <f t="shared" si="8"/>
        <v>0</v>
      </c>
      <c r="AE31" s="59">
        <f t="shared" si="13"/>
        <v>0</v>
      </c>
      <c r="AF31" s="58">
        <f t="shared" si="9"/>
        <v>0</v>
      </c>
      <c r="AG31" s="47"/>
      <c r="AH31" s="55">
        <f t="shared" si="10"/>
        <v>0</v>
      </c>
      <c r="AI31" s="56">
        <f t="shared" si="11"/>
        <v>0</v>
      </c>
      <c r="AJ31" s="57">
        <f t="shared" si="14"/>
        <v>0</v>
      </c>
      <c r="AK31" s="58">
        <f t="shared" si="12"/>
        <v>0</v>
      </c>
      <c r="AL31" s="58"/>
    </row>
    <row r="32" spans="1:38" x14ac:dyDescent="0.15">
      <c r="F32" s="46">
        <v>4</v>
      </c>
      <c r="G32" s="47"/>
      <c r="H32" s="48"/>
      <c r="I32" s="49" t="str">
        <f t="shared" si="0"/>
        <v/>
      </c>
      <c r="J32" s="47"/>
      <c r="K32" s="50" t="str">
        <f t="shared" si="1"/>
        <v/>
      </c>
      <c r="L32" s="7"/>
      <c r="M32" s="7"/>
      <c r="O32" s="51"/>
      <c r="P32" s="51"/>
      <c r="Q32" s="47"/>
      <c r="R32" s="52">
        <f t="shared" si="2"/>
        <v>0</v>
      </c>
      <c r="S32" s="47"/>
      <c r="T32" s="51"/>
      <c r="U32" s="51"/>
      <c r="V32" s="2"/>
      <c r="W32" s="52">
        <f t="shared" si="3"/>
        <v>0</v>
      </c>
      <c r="X32" s="13"/>
      <c r="Y32" s="53" t="str">
        <f t="shared" si="4"/>
        <v/>
      </c>
      <c r="Z32" s="13" t="str">
        <f t="shared" si="5"/>
        <v/>
      </c>
      <c r="AA32" s="54" t="str">
        <f t="shared" si="6"/>
        <v/>
      </c>
      <c r="AB32" s="47"/>
      <c r="AC32" s="55">
        <f t="shared" si="7"/>
        <v>0</v>
      </c>
      <c r="AD32" s="56">
        <f t="shared" si="8"/>
        <v>0</v>
      </c>
      <c r="AE32" s="59">
        <f t="shared" si="13"/>
        <v>0</v>
      </c>
      <c r="AF32" s="58">
        <f t="shared" si="9"/>
        <v>0</v>
      </c>
      <c r="AG32" s="47"/>
      <c r="AH32" s="55">
        <f t="shared" si="10"/>
        <v>0</v>
      </c>
      <c r="AI32" s="56">
        <f t="shared" si="11"/>
        <v>0</v>
      </c>
      <c r="AJ32" s="57">
        <f t="shared" si="14"/>
        <v>0</v>
      </c>
      <c r="AK32" s="58">
        <f t="shared" si="12"/>
        <v>0</v>
      </c>
      <c r="AL32" s="58"/>
    </row>
    <row r="33" spans="6:38" x14ac:dyDescent="0.15">
      <c r="F33" s="46">
        <v>5</v>
      </c>
      <c r="G33" s="47"/>
      <c r="H33" s="48"/>
      <c r="I33" s="49" t="str">
        <f t="shared" si="0"/>
        <v/>
      </c>
      <c r="J33" s="47"/>
      <c r="K33" s="50" t="str">
        <f t="shared" si="1"/>
        <v/>
      </c>
      <c r="L33" s="7"/>
      <c r="M33" s="7"/>
      <c r="O33" s="51"/>
      <c r="P33" s="51"/>
      <c r="Q33" s="47"/>
      <c r="R33" s="52">
        <f t="shared" si="2"/>
        <v>0</v>
      </c>
      <c r="S33" s="47"/>
      <c r="T33" s="51"/>
      <c r="U33" s="51"/>
      <c r="V33" s="2"/>
      <c r="W33" s="52">
        <f t="shared" si="3"/>
        <v>0</v>
      </c>
      <c r="X33" s="13"/>
      <c r="Y33" s="53" t="str">
        <f t="shared" si="4"/>
        <v/>
      </c>
      <c r="Z33" s="13" t="str">
        <f t="shared" si="5"/>
        <v/>
      </c>
      <c r="AA33" s="54" t="str">
        <f t="shared" si="6"/>
        <v/>
      </c>
      <c r="AB33" s="47"/>
      <c r="AC33" s="55">
        <f t="shared" si="7"/>
        <v>0</v>
      </c>
      <c r="AD33" s="56">
        <f t="shared" si="8"/>
        <v>0</v>
      </c>
      <c r="AE33" s="59">
        <f t="shared" si="13"/>
        <v>0</v>
      </c>
      <c r="AF33" s="58">
        <f t="shared" si="9"/>
        <v>0</v>
      </c>
      <c r="AG33" s="47"/>
      <c r="AH33" s="55">
        <f t="shared" si="10"/>
        <v>0</v>
      </c>
      <c r="AI33" s="56">
        <f t="shared" si="11"/>
        <v>0</v>
      </c>
      <c r="AJ33" s="57">
        <f t="shared" si="14"/>
        <v>0</v>
      </c>
      <c r="AK33" s="58">
        <f t="shared" si="12"/>
        <v>0</v>
      </c>
      <c r="AL33" s="58"/>
    </row>
    <row r="34" spans="6:38" x14ac:dyDescent="0.15">
      <c r="F34" s="46">
        <v>6</v>
      </c>
      <c r="G34" s="47"/>
      <c r="H34" s="48"/>
      <c r="I34" s="49" t="str">
        <f t="shared" si="0"/>
        <v/>
      </c>
      <c r="J34" s="47"/>
      <c r="K34" s="50" t="str">
        <f t="shared" si="1"/>
        <v/>
      </c>
      <c r="L34" s="7"/>
      <c r="M34" s="7"/>
      <c r="O34" s="51"/>
      <c r="P34" s="51"/>
      <c r="Q34" s="47"/>
      <c r="R34" s="52">
        <f t="shared" si="2"/>
        <v>0</v>
      </c>
      <c r="S34" s="47"/>
      <c r="T34" s="51"/>
      <c r="U34" s="51"/>
      <c r="V34" s="2"/>
      <c r="W34" s="52">
        <f t="shared" si="3"/>
        <v>0</v>
      </c>
      <c r="X34" s="13"/>
      <c r="Y34" s="53" t="str">
        <f t="shared" si="4"/>
        <v/>
      </c>
      <c r="Z34" s="13" t="str">
        <f t="shared" si="5"/>
        <v/>
      </c>
      <c r="AA34" s="54" t="str">
        <f t="shared" si="6"/>
        <v/>
      </c>
      <c r="AB34" s="47"/>
      <c r="AC34" s="55">
        <f t="shared" si="7"/>
        <v>0</v>
      </c>
      <c r="AD34" s="56">
        <f t="shared" si="8"/>
        <v>0</v>
      </c>
      <c r="AE34" s="59">
        <f t="shared" si="13"/>
        <v>0</v>
      </c>
      <c r="AF34" s="58">
        <f t="shared" si="9"/>
        <v>0</v>
      </c>
      <c r="AG34" s="47"/>
      <c r="AH34" s="55">
        <f t="shared" si="10"/>
        <v>0</v>
      </c>
      <c r="AI34" s="56">
        <f t="shared" si="11"/>
        <v>0</v>
      </c>
      <c r="AJ34" s="57">
        <f t="shared" si="14"/>
        <v>0</v>
      </c>
      <c r="AK34" s="58">
        <f t="shared" si="12"/>
        <v>0</v>
      </c>
      <c r="AL34" s="58"/>
    </row>
    <row r="35" spans="6:38" x14ac:dyDescent="0.15">
      <c r="F35" s="46">
        <v>7</v>
      </c>
      <c r="G35" s="47"/>
      <c r="H35" s="48"/>
      <c r="I35" s="49" t="str">
        <f t="shared" si="0"/>
        <v/>
      </c>
      <c r="J35" s="47"/>
      <c r="K35" s="50" t="str">
        <f t="shared" si="1"/>
        <v/>
      </c>
      <c r="L35" s="7"/>
      <c r="M35" s="7"/>
      <c r="O35" s="51"/>
      <c r="P35" s="51"/>
      <c r="Q35" s="47"/>
      <c r="R35" s="52">
        <f t="shared" si="2"/>
        <v>0</v>
      </c>
      <c r="S35" s="47"/>
      <c r="T35" s="51"/>
      <c r="U35" s="51"/>
      <c r="V35" s="2"/>
      <c r="W35" s="52">
        <f t="shared" si="3"/>
        <v>0</v>
      </c>
      <c r="X35" s="13"/>
      <c r="Y35" s="53" t="str">
        <f t="shared" si="4"/>
        <v/>
      </c>
      <c r="Z35" s="13" t="str">
        <f t="shared" si="5"/>
        <v/>
      </c>
      <c r="AA35" s="54" t="str">
        <f t="shared" si="6"/>
        <v/>
      </c>
      <c r="AB35" s="47"/>
      <c r="AC35" s="55">
        <f t="shared" si="7"/>
        <v>0</v>
      </c>
      <c r="AD35" s="56">
        <f t="shared" si="8"/>
        <v>0</v>
      </c>
      <c r="AE35" s="59">
        <f t="shared" si="13"/>
        <v>0</v>
      </c>
      <c r="AF35" s="58">
        <f t="shared" si="9"/>
        <v>0</v>
      </c>
      <c r="AG35" s="47"/>
      <c r="AH35" s="55">
        <f t="shared" si="10"/>
        <v>0</v>
      </c>
      <c r="AI35" s="56">
        <f t="shared" si="11"/>
        <v>0</v>
      </c>
      <c r="AJ35" s="57">
        <f t="shared" si="14"/>
        <v>0</v>
      </c>
      <c r="AK35" s="58">
        <f t="shared" si="12"/>
        <v>0</v>
      </c>
      <c r="AL35" s="58"/>
    </row>
    <row r="36" spans="6:38" x14ac:dyDescent="0.15">
      <c r="F36" s="46">
        <v>8</v>
      </c>
      <c r="G36" s="47"/>
      <c r="H36" s="48"/>
      <c r="I36" s="49" t="str">
        <f t="shared" si="0"/>
        <v/>
      </c>
      <c r="J36" s="47"/>
      <c r="K36" s="50" t="str">
        <f t="shared" si="1"/>
        <v/>
      </c>
      <c r="L36" s="7"/>
      <c r="M36" s="7"/>
      <c r="O36" s="51"/>
      <c r="P36" s="51"/>
      <c r="Q36" s="47"/>
      <c r="R36" s="52">
        <f t="shared" si="2"/>
        <v>0</v>
      </c>
      <c r="S36" s="47"/>
      <c r="T36" s="51"/>
      <c r="U36" s="51"/>
      <c r="V36" s="2"/>
      <c r="W36" s="52">
        <f t="shared" si="3"/>
        <v>0</v>
      </c>
      <c r="X36" s="13"/>
      <c r="Y36" s="53" t="str">
        <f t="shared" si="4"/>
        <v/>
      </c>
      <c r="Z36" s="13" t="str">
        <f t="shared" si="5"/>
        <v/>
      </c>
      <c r="AA36" s="54" t="str">
        <f t="shared" si="6"/>
        <v/>
      </c>
      <c r="AB36" s="47"/>
      <c r="AC36" s="55">
        <f t="shared" si="7"/>
        <v>0</v>
      </c>
      <c r="AD36" s="56">
        <f t="shared" si="8"/>
        <v>0</v>
      </c>
      <c r="AE36" s="59">
        <f t="shared" si="13"/>
        <v>0</v>
      </c>
      <c r="AF36" s="58">
        <f t="shared" si="9"/>
        <v>0</v>
      </c>
      <c r="AG36" s="47"/>
      <c r="AH36" s="55">
        <f t="shared" si="10"/>
        <v>0</v>
      </c>
      <c r="AI36" s="56">
        <f t="shared" si="11"/>
        <v>0</v>
      </c>
      <c r="AJ36" s="57">
        <f t="shared" si="14"/>
        <v>0</v>
      </c>
      <c r="AK36" s="58">
        <f t="shared" si="12"/>
        <v>0</v>
      </c>
      <c r="AL36" s="58"/>
    </row>
    <row r="37" spans="6:38" x14ac:dyDescent="0.15">
      <c r="F37" s="46">
        <v>9</v>
      </c>
      <c r="G37" s="47"/>
      <c r="H37" s="48"/>
      <c r="I37" s="49" t="str">
        <f t="shared" si="0"/>
        <v/>
      </c>
      <c r="J37" s="47"/>
      <c r="K37" s="50" t="str">
        <f t="shared" si="1"/>
        <v/>
      </c>
      <c r="L37" s="7"/>
      <c r="M37" s="7"/>
      <c r="O37" s="51"/>
      <c r="P37" s="51"/>
      <c r="Q37" s="47"/>
      <c r="R37" s="52">
        <f t="shared" si="2"/>
        <v>0</v>
      </c>
      <c r="S37" s="47"/>
      <c r="T37" s="51"/>
      <c r="U37" s="51"/>
      <c r="V37" s="2"/>
      <c r="W37" s="52">
        <f t="shared" si="3"/>
        <v>0</v>
      </c>
      <c r="X37" s="13"/>
      <c r="Y37" s="53" t="str">
        <f t="shared" si="4"/>
        <v/>
      </c>
      <c r="Z37" s="13" t="str">
        <f t="shared" si="5"/>
        <v/>
      </c>
      <c r="AA37" s="54" t="str">
        <f t="shared" si="6"/>
        <v/>
      </c>
      <c r="AB37" s="47"/>
      <c r="AC37" s="55">
        <f t="shared" si="7"/>
        <v>0</v>
      </c>
      <c r="AD37" s="56">
        <f t="shared" si="8"/>
        <v>0</v>
      </c>
      <c r="AE37" s="59">
        <f t="shared" si="13"/>
        <v>0</v>
      </c>
      <c r="AF37" s="58">
        <f t="shared" si="9"/>
        <v>0</v>
      </c>
      <c r="AG37" s="47"/>
      <c r="AH37" s="55">
        <f t="shared" si="10"/>
        <v>0</v>
      </c>
      <c r="AI37" s="56">
        <f t="shared" si="11"/>
        <v>0</v>
      </c>
      <c r="AJ37" s="57">
        <f t="shared" si="14"/>
        <v>0</v>
      </c>
      <c r="AK37" s="58">
        <f t="shared" si="12"/>
        <v>0</v>
      </c>
      <c r="AL37" s="58"/>
    </row>
    <row r="38" spans="6:38" x14ac:dyDescent="0.15">
      <c r="F38" s="46">
        <v>10</v>
      </c>
      <c r="G38" s="47"/>
      <c r="H38" s="48"/>
      <c r="I38" s="49" t="str">
        <f t="shared" si="0"/>
        <v/>
      </c>
      <c r="J38" s="47"/>
      <c r="K38" s="50" t="str">
        <f t="shared" si="1"/>
        <v/>
      </c>
      <c r="L38" s="7"/>
      <c r="M38" s="7"/>
      <c r="O38" s="51"/>
      <c r="P38" s="51"/>
      <c r="Q38" s="47"/>
      <c r="R38" s="52">
        <f t="shared" si="2"/>
        <v>0</v>
      </c>
      <c r="S38" s="47"/>
      <c r="T38" s="51"/>
      <c r="U38" s="51"/>
      <c r="V38" s="2"/>
      <c r="W38" s="52">
        <f t="shared" si="3"/>
        <v>0</v>
      </c>
      <c r="X38" s="13"/>
      <c r="Y38" s="53" t="str">
        <f t="shared" si="4"/>
        <v/>
      </c>
      <c r="Z38" s="13" t="str">
        <f t="shared" si="5"/>
        <v/>
      </c>
      <c r="AA38" s="54" t="str">
        <f t="shared" si="6"/>
        <v/>
      </c>
      <c r="AB38" s="47"/>
      <c r="AC38" s="55">
        <f t="shared" si="7"/>
        <v>0</v>
      </c>
      <c r="AD38" s="56">
        <f t="shared" si="8"/>
        <v>0</v>
      </c>
      <c r="AE38" s="59">
        <f t="shared" si="13"/>
        <v>0</v>
      </c>
      <c r="AF38" s="58">
        <f t="shared" si="9"/>
        <v>0</v>
      </c>
      <c r="AG38" s="47"/>
      <c r="AH38" s="55">
        <f t="shared" si="10"/>
        <v>0</v>
      </c>
      <c r="AI38" s="56">
        <f t="shared" si="11"/>
        <v>0</v>
      </c>
      <c r="AJ38" s="57">
        <f t="shared" si="14"/>
        <v>0</v>
      </c>
      <c r="AK38" s="58">
        <f t="shared" si="12"/>
        <v>0</v>
      </c>
      <c r="AL38" s="58"/>
    </row>
    <row r="39" spans="6:38" x14ac:dyDescent="0.15">
      <c r="F39" s="46">
        <v>11</v>
      </c>
      <c r="G39" s="47"/>
      <c r="H39" s="48"/>
      <c r="I39" s="49" t="str">
        <f t="shared" si="0"/>
        <v/>
      </c>
      <c r="J39" s="47"/>
      <c r="K39" s="50" t="str">
        <f t="shared" si="1"/>
        <v/>
      </c>
      <c r="L39" s="7"/>
      <c r="M39" s="7"/>
      <c r="O39" s="51"/>
      <c r="P39" s="51"/>
      <c r="Q39" s="47"/>
      <c r="R39" s="52">
        <f t="shared" si="2"/>
        <v>0</v>
      </c>
      <c r="S39" s="47"/>
      <c r="T39" s="51"/>
      <c r="U39" s="51"/>
      <c r="V39" s="2"/>
      <c r="W39" s="52">
        <f t="shared" si="3"/>
        <v>0</v>
      </c>
      <c r="X39" s="13"/>
      <c r="Y39" s="53" t="str">
        <f t="shared" si="4"/>
        <v/>
      </c>
      <c r="Z39" s="13" t="str">
        <f t="shared" si="5"/>
        <v/>
      </c>
      <c r="AA39" s="54" t="str">
        <f t="shared" si="6"/>
        <v/>
      </c>
      <c r="AB39" s="47"/>
      <c r="AC39" s="55">
        <f t="shared" si="7"/>
        <v>0</v>
      </c>
      <c r="AD39" s="56">
        <f t="shared" si="8"/>
        <v>0</v>
      </c>
      <c r="AE39" s="59">
        <f t="shared" si="13"/>
        <v>0</v>
      </c>
      <c r="AF39" s="58">
        <f t="shared" si="9"/>
        <v>0</v>
      </c>
      <c r="AG39" s="47"/>
      <c r="AH39" s="55">
        <f t="shared" si="10"/>
        <v>0</v>
      </c>
      <c r="AI39" s="56">
        <f t="shared" si="11"/>
        <v>0</v>
      </c>
      <c r="AJ39" s="57">
        <f t="shared" si="14"/>
        <v>0</v>
      </c>
      <c r="AK39" s="58">
        <f t="shared" si="12"/>
        <v>0</v>
      </c>
      <c r="AL39" s="58"/>
    </row>
    <row r="40" spans="6:38" x14ac:dyDescent="0.15">
      <c r="F40" s="46">
        <v>12</v>
      </c>
      <c r="G40" s="47"/>
      <c r="H40" s="48"/>
      <c r="I40" s="49" t="str">
        <f t="shared" si="0"/>
        <v/>
      </c>
      <c r="J40" s="47"/>
      <c r="K40" s="50" t="str">
        <f t="shared" si="1"/>
        <v/>
      </c>
      <c r="L40" s="7"/>
      <c r="M40" s="7"/>
      <c r="O40" s="51"/>
      <c r="P40" s="51"/>
      <c r="Q40" s="47"/>
      <c r="R40" s="52">
        <f t="shared" si="2"/>
        <v>0</v>
      </c>
      <c r="S40" s="47"/>
      <c r="T40" s="51"/>
      <c r="U40" s="51"/>
      <c r="V40" s="2"/>
      <c r="W40" s="52">
        <f t="shared" si="3"/>
        <v>0</v>
      </c>
      <c r="X40" s="13"/>
      <c r="Y40" s="53" t="str">
        <f t="shared" si="4"/>
        <v/>
      </c>
      <c r="Z40" s="13" t="str">
        <f t="shared" si="5"/>
        <v/>
      </c>
      <c r="AA40" s="54" t="str">
        <f t="shared" si="6"/>
        <v/>
      </c>
      <c r="AB40" s="47"/>
      <c r="AC40" s="55">
        <f t="shared" si="7"/>
        <v>0</v>
      </c>
      <c r="AD40" s="56">
        <f t="shared" si="8"/>
        <v>0</v>
      </c>
      <c r="AE40" s="59">
        <f t="shared" si="13"/>
        <v>0</v>
      </c>
      <c r="AF40" s="58">
        <f t="shared" si="9"/>
        <v>0</v>
      </c>
      <c r="AG40" s="47"/>
      <c r="AH40" s="55">
        <f t="shared" si="10"/>
        <v>0</v>
      </c>
      <c r="AI40" s="56">
        <f t="shared" si="11"/>
        <v>0</v>
      </c>
      <c r="AJ40" s="57">
        <f t="shared" si="14"/>
        <v>0</v>
      </c>
      <c r="AK40" s="58">
        <f t="shared" si="12"/>
        <v>0</v>
      </c>
      <c r="AL40" s="58"/>
    </row>
    <row r="41" spans="6:38" x14ac:dyDescent="0.15">
      <c r="F41" s="46">
        <v>13</v>
      </c>
      <c r="G41" s="47"/>
      <c r="H41" s="48"/>
      <c r="I41" s="49" t="str">
        <f t="shared" si="0"/>
        <v/>
      </c>
      <c r="J41" s="47"/>
      <c r="K41" s="50" t="str">
        <f t="shared" si="1"/>
        <v/>
      </c>
      <c r="L41" s="7"/>
      <c r="M41" s="7"/>
      <c r="O41" s="51"/>
      <c r="P41" s="51"/>
      <c r="Q41" s="47"/>
      <c r="R41" s="52">
        <f t="shared" si="2"/>
        <v>0</v>
      </c>
      <c r="S41" s="47"/>
      <c r="T41" s="51"/>
      <c r="U41" s="51"/>
      <c r="V41" s="2"/>
      <c r="W41" s="52">
        <f t="shared" si="3"/>
        <v>0</v>
      </c>
      <c r="X41" s="13"/>
      <c r="Y41" s="53" t="str">
        <f t="shared" si="4"/>
        <v/>
      </c>
      <c r="Z41" s="13" t="str">
        <f t="shared" si="5"/>
        <v/>
      </c>
      <c r="AA41" s="54" t="str">
        <f t="shared" si="6"/>
        <v/>
      </c>
      <c r="AB41" s="47"/>
      <c r="AC41" s="55">
        <f t="shared" si="7"/>
        <v>0</v>
      </c>
      <c r="AD41" s="56">
        <f t="shared" si="8"/>
        <v>0</v>
      </c>
      <c r="AE41" s="59">
        <f t="shared" si="13"/>
        <v>0</v>
      </c>
      <c r="AF41" s="58">
        <f t="shared" si="9"/>
        <v>0</v>
      </c>
      <c r="AG41" s="47"/>
      <c r="AH41" s="55">
        <f t="shared" si="10"/>
        <v>0</v>
      </c>
      <c r="AI41" s="56">
        <f t="shared" si="11"/>
        <v>0</v>
      </c>
      <c r="AJ41" s="57">
        <f t="shared" si="14"/>
        <v>0</v>
      </c>
      <c r="AK41" s="58">
        <f t="shared" si="12"/>
        <v>0</v>
      </c>
      <c r="AL41" s="58"/>
    </row>
    <row r="42" spans="6:38" x14ac:dyDescent="0.15">
      <c r="F42" s="46">
        <v>14</v>
      </c>
      <c r="G42" s="47"/>
      <c r="H42" s="48"/>
      <c r="I42" s="49" t="str">
        <f t="shared" si="0"/>
        <v/>
      </c>
      <c r="J42" s="47"/>
      <c r="K42" s="50" t="str">
        <f t="shared" si="1"/>
        <v/>
      </c>
      <c r="L42" s="7"/>
      <c r="M42" s="7"/>
      <c r="O42" s="51"/>
      <c r="P42" s="51"/>
      <c r="Q42" s="47"/>
      <c r="R42" s="52">
        <f t="shared" si="2"/>
        <v>0</v>
      </c>
      <c r="S42" s="47"/>
      <c r="T42" s="51"/>
      <c r="U42" s="51"/>
      <c r="V42" s="2"/>
      <c r="W42" s="52">
        <f t="shared" si="3"/>
        <v>0</v>
      </c>
      <c r="X42" s="13"/>
      <c r="Y42" s="53" t="str">
        <f t="shared" si="4"/>
        <v/>
      </c>
      <c r="Z42" s="13" t="str">
        <f t="shared" si="5"/>
        <v/>
      </c>
      <c r="AA42" s="54" t="str">
        <f t="shared" si="6"/>
        <v/>
      </c>
      <c r="AB42" s="47"/>
      <c r="AC42" s="55">
        <f t="shared" si="7"/>
        <v>0</v>
      </c>
      <c r="AD42" s="56">
        <f t="shared" si="8"/>
        <v>0</v>
      </c>
      <c r="AE42" s="59">
        <f t="shared" si="13"/>
        <v>0</v>
      </c>
      <c r="AF42" s="58">
        <f t="shared" si="9"/>
        <v>0</v>
      </c>
      <c r="AG42" s="47"/>
      <c r="AH42" s="55">
        <f t="shared" si="10"/>
        <v>0</v>
      </c>
      <c r="AI42" s="56">
        <f t="shared" si="11"/>
        <v>0</v>
      </c>
      <c r="AJ42" s="57">
        <f t="shared" si="14"/>
        <v>0</v>
      </c>
      <c r="AK42" s="58">
        <f t="shared" si="12"/>
        <v>0</v>
      </c>
      <c r="AL42" s="58"/>
    </row>
    <row r="43" spans="6:38" x14ac:dyDescent="0.15">
      <c r="F43" s="46">
        <v>15</v>
      </c>
      <c r="G43" s="47"/>
      <c r="H43" s="48"/>
      <c r="I43" s="49" t="str">
        <f t="shared" si="0"/>
        <v/>
      </c>
      <c r="J43" s="47"/>
      <c r="K43" s="50" t="str">
        <f t="shared" si="1"/>
        <v/>
      </c>
      <c r="L43" s="7"/>
      <c r="M43" s="7"/>
      <c r="O43" s="51"/>
      <c r="P43" s="51"/>
      <c r="Q43" s="47"/>
      <c r="R43" s="52">
        <f t="shared" si="2"/>
        <v>0</v>
      </c>
      <c r="S43" s="47"/>
      <c r="T43" s="51"/>
      <c r="U43" s="51"/>
      <c r="V43" s="2"/>
      <c r="W43" s="52">
        <f t="shared" si="3"/>
        <v>0</v>
      </c>
      <c r="X43" s="13"/>
      <c r="Y43" s="53" t="str">
        <f t="shared" si="4"/>
        <v/>
      </c>
      <c r="Z43" s="13" t="str">
        <f t="shared" si="5"/>
        <v/>
      </c>
      <c r="AA43" s="54" t="str">
        <f t="shared" si="6"/>
        <v/>
      </c>
      <c r="AB43" s="47"/>
      <c r="AC43" s="55">
        <f t="shared" si="7"/>
        <v>0</v>
      </c>
      <c r="AD43" s="56">
        <f t="shared" si="8"/>
        <v>0</v>
      </c>
      <c r="AE43" s="59">
        <f t="shared" si="13"/>
        <v>0</v>
      </c>
      <c r="AF43" s="58">
        <f t="shared" si="9"/>
        <v>0</v>
      </c>
      <c r="AG43" s="47"/>
      <c r="AH43" s="55">
        <f t="shared" si="10"/>
        <v>0</v>
      </c>
      <c r="AI43" s="56">
        <f t="shared" si="11"/>
        <v>0</v>
      </c>
      <c r="AJ43" s="57">
        <f t="shared" si="14"/>
        <v>0</v>
      </c>
      <c r="AK43" s="58">
        <f t="shared" si="12"/>
        <v>0</v>
      </c>
      <c r="AL43" s="58"/>
    </row>
    <row r="44" spans="6:38" x14ac:dyDescent="0.15">
      <c r="F44" s="46">
        <v>16</v>
      </c>
      <c r="G44" s="47"/>
      <c r="H44" s="48"/>
      <c r="I44" s="49" t="str">
        <f t="shared" si="0"/>
        <v/>
      </c>
      <c r="J44" s="47"/>
      <c r="K44" s="50" t="str">
        <f t="shared" si="1"/>
        <v/>
      </c>
      <c r="L44" s="7"/>
      <c r="M44" s="7"/>
      <c r="O44" s="51"/>
      <c r="P44" s="51"/>
      <c r="Q44" s="47"/>
      <c r="R44" s="52">
        <f t="shared" si="2"/>
        <v>0</v>
      </c>
      <c r="S44" s="47"/>
      <c r="T44" s="51"/>
      <c r="U44" s="51"/>
      <c r="V44" s="2"/>
      <c r="W44" s="52">
        <f t="shared" si="3"/>
        <v>0</v>
      </c>
      <c r="X44" s="13"/>
      <c r="Y44" s="53" t="str">
        <f t="shared" si="4"/>
        <v/>
      </c>
      <c r="Z44" s="13" t="str">
        <f t="shared" si="5"/>
        <v/>
      </c>
      <c r="AA44" s="54" t="str">
        <f t="shared" si="6"/>
        <v/>
      </c>
      <c r="AB44" s="47"/>
      <c r="AC44" s="55">
        <f t="shared" si="7"/>
        <v>0</v>
      </c>
      <c r="AD44" s="56">
        <f t="shared" si="8"/>
        <v>0</v>
      </c>
      <c r="AE44" s="59">
        <f t="shared" si="13"/>
        <v>0</v>
      </c>
      <c r="AF44" s="58">
        <f t="shared" si="9"/>
        <v>0</v>
      </c>
      <c r="AG44" s="47"/>
      <c r="AH44" s="55">
        <f t="shared" si="10"/>
        <v>0</v>
      </c>
      <c r="AI44" s="56">
        <f t="shared" si="11"/>
        <v>0</v>
      </c>
      <c r="AJ44" s="57">
        <f t="shared" si="14"/>
        <v>0</v>
      </c>
      <c r="AK44" s="58">
        <f t="shared" si="12"/>
        <v>0</v>
      </c>
      <c r="AL44" s="58"/>
    </row>
    <row r="45" spans="6:38" x14ac:dyDescent="0.15">
      <c r="F45" s="46">
        <v>17</v>
      </c>
      <c r="G45" s="47"/>
      <c r="H45" s="48"/>
      <c r="I45" s="49" t="str">
        <f t="shared" si="0"/>
        <v/>
      </c>
      <c r="J45" s="47"/>
      <c r="K45" s="50" t="str">
        <f t="shared" si="1"/>
        <v/>
      </c>
      <c r="L45" s="7"/>
      <c r="M45" s="7"/>
      <c r="O45" s="51"/>
      <c r="P45" s="51"/>
      <c r="Q45" s="47"/>
      <c r="R45" s="52">
        <f t="shared" si="2"/>
        <v>0</v>
      </c>
      <c r="S45" s="47"/>
      <c r="T45" s="51"/>
      <c r="U45" s="51"/>
      <c r="V45" s="2"/>
      <c r="W45" s="52">
        <f t="shared" si="3"/>
        <v>0</v>
      </c>
      <c r="X45" s="13"/>
      <c r="Y45" s="53" t="str">
        <f t="shared" si="4"/>
        <v/>
      </c>
      <c r="Z45" s="13" t="str">
        <f t="shared" si="5"/>
        <v/>
      </c>
      <c r="AA45" s="54" t="str">
        <f t="shared" si="6"/>
        <v/>
      </c>
      <c r="AB45" s="47"/>
      <c r="AC45" s="55">
        <f t="shared" si="7"/>
        <v>0</v>
      </c>
      <c r="AD45" s="56">
        <f t="shared" si="8"/>
        <v>0</v>
      </c>
      <c r="AE45" s="59">
        <f t="shared" si="13"/>
        <v>0</v>
      </c>
      <c r="AF45" s="58">
        <f t="shared" si="9"/>
        <v>0</v>
      </c>
      <c r="AG45" s="47"/>
      <c r="AH45" s="55">
        <f t="shared" si="10"/>
        <v>0</v>
      </c>
      <c r="AI45" s="56">
        <f t="shared" si="11"/>
        <v>0</v>
      </c>
      <c r="AJ45" s="57">
        <f t="shared" si="14"/>
        <v>0</v>
      </c>
      <c r="AK45" s="58">
        <f t="shared" si="12"/>
        <v>0</v>
      </c>
      <c r="AL45" s="58"/>
    </row>
    <row r="46" spans="6:38" x14ac:dyDescent="0.15">
      <c r="F46" s="46">
        <v>18</v>
      </c>
      <c r="G46" s="47"/>
      <c r="H46" s="48"/>
      <c r="I46" s="49" t="str">
        <f t="shared" si="0"/>
        <v/>
      </c>
      <c r="J46" s="47"/>
      <c r="K46" s="50" t="str">
        <f t="shared" si="1"/>
        <v/>
      </c>
      <c r="L46" s="7"/>
      <c r="M46" s="7"/>
      <c r="O46" s="51"/>
      <c r="P46" s="51"/>
      <c r="Q46" s="47"/>
      <c r="R46" s="52">
        <f t="shared" si="2"/>
        <v>0</v>
      </c>
      <c r="S46" s="47"/>
      <c r="T46" s="51"/>
      <c r="U46" s="51"/>
      <c r="V46" s="2"/>
      <c r="W46" s="52">
        <f t="shared" si="3"/>
        <v>0</v>
      </c>
      <c r="X46" s="13"/>
      <c r="Y46" s="53" t="str">
        <f t="shared" si="4"/>
        <v/>
      </c>
      <c r="Z46" s="13" t="str">
        <f t="shared" si="5"/>
        <v/>
      </c>
      <c r="AA46" s="54" t="str">
        <f t="shared" si="6"/>
        <v/>
      </c>
      <c r="AB46" s="47"/>
      <c r="AC46" s="55">
        <f t="shared" si="7"/>
        <v>0</v>
      </c>
      <c r="AD46" s="56">
        <f t="shared" si="8"/>
        <v>0</v>
      </c>
      <c r="AE46" s="59">
        <f t="shared" si="13"/>
        <v>0</v>
      </c>
      <c r="AF46" s="58">
        <f t="shared" si="9"/>
        <v>0</v>
      </c>
      <c r="AG46" s="47"/>
      <c r="AH46" s="55">
        <f t="shared" si="10"/>
        <v>0</v>
      </c>
      <c r="AI46" s="56">
        <f t="shared" si="11"/>
        <v>0</v>
      </c>
      <c r="AJ46" s="57">
        <f t="shared" si="14"/>
        <v>0</v>
      </c>
      <c r="AK46" s="58">
        <f t="shared" si="12"/>
        <v>0</v>
      </c>
      <c r="AL46" s="58"/>
    </row>
    <row r="47" spans="6:38" x14ac:dyDescent="0.15">
      <c r="F47" s="46">
        <v>19</v>
      </c>
      <c r="G47" s="47"/>
      <c r="H47" s="48"/>
      <c r="I47" s="49" t="str">
        <f t="shared" si="0"/>
        <v/>
      </c>
      <c r="J47" s="47"/>
      <c r="K47" s="50" t="str">
        <f t="shared" si="1"/>
        <v/>
      </c>
      <c r="L47" s="7"/>
      <c r="M47" s="7"/>
      <c r="O47" s="51"/>
      <c r="P47" s="51"/>
      <c r="Q47" s="47"/>
      <c r="R47" s="52">
        <f t="shared" si="2"/>
        <v>0</v>
      </c>
      <c r="S47" s="47"/>
      <c r="T47" s="51"/>
      <c r="U47" s="51"/>
      <c r="V47" s="2"/>
      <c r="W47" s="52">
        <f t="shared" si="3"/>
        <v>0</v>
      </c>
      <c r="X47" s="13"/>
      <c r="Y47" s="53" t="str">
        <f t="shared" si="4"/>
        <v/>
      </c>
      <c r="Z47" s="13" t="str">
        <f t="shared" si="5"/>
        <v/>
      </c>
      <c r="AA47" s="54" t="str">
        <f t="shared" si="6"/>
        <v/>
      </c>
      <c r="AB47" s="47"/>
      <c r="AC47" s="55">
        <f t="shared" si="7"/>
        <v>0</v>
      </c>
      <c r="AD47" s="56">
        <f t="shared" si="8"/>
        <v>0</v>
      </c>
      <c r="AE47" s="59">
        <f t="shared" si="13"/>
        <v>0</v>
      </c>
      <c r="AF47" s="58">
        <f t="shared" si="9"/>
        <v>0</v>
      </c>
      <c r="AG47" s="47"/>
      <c r="AH47" s="55">
        <f t="shared" si="10"/>
        <v>0</v>
      </c>
      <c r="AI47" s="56">
        <f t="shared" si="11"/>
        <v>0</v>
      </c>
      <c r="AJ47" s="57">
        <f t="shared" si="14"/>
        <v>0</v>
      </c>
      <c r="AK47" s="58">
        <f t="shared" si="12"/>
        <v>0</v>
      </c>
      <c r="AL47" s="58"/>
    </row>
    <row r="48" spans="6:38" x14ac:dyDescent="0.15">
      <c r="F48" s="46">
        <v>20</v>
      </c>
      <c r="G48" s="47"/>
      <c r="H48" s="48"/>
      <c r="I48" s="49" t="str">
        <f t="shared" si="0"/>
        <v/>
      </c>
      <c r="J48" s="47"/>
      <c r="K48" s="50" t="str">
        <f t="shared" si="1"/>
        <v/>
      </c>
      <c r="L48" s="7"/>
      <c r="M48" s="7"/>
      <c r="O48" s="51"/>
      <c r="P48" s="51"/>
      <c r="Q48" s="47"/>
      <c r="R48" s="52">
        <f t="shared" si="2"/>
        <v>0</v>
      </c>
      <c r="S48" s="47"/>
      <c r="T48" s="51"/>
      <c r="U48" s="51"/>
      <c r="V48" s="2"/>
      <c r="W48" s="52">
        <f t="shared" si="3"/>
        <v>0</v>
      </c>
      <c r="X48" s="13"/>
      <c r="Y48" s="53" t="str">
        <f t="shared" si="4"/>
        <v/>
      </c>
      <c r="Z48" s="13" t="str">
        <f t="shared" si="5"/>
        <v/>
      </c>
      <c r="AA48" s="54" t="str">
        <f t="shared" si="6"/>
        <v/>
      </c>
      <c r="AB48" s="47"/>
      <c r="AC48" s="55">
        <f t="shared" si="7"/>
        <v>0</v>
      </c>
      <c r="AD48" s="56">
        <f t="shared" si="8"/>
        <v>0</v>
      </c>
      <c r="AE48" s="59">
        <f t="shared" si="13"/>
        <v>0</v>
      </c>
      <c r="AF48" s="58">
        <f t="shared" si="9"/>
        <v>0</v>
      </c>
      <c r="AG48" s="47"/>
      <c r="AH48" s="55">
        <f t="shared" si="10"/>
        <v>0</v>
      </c>
      <c r="AI48" s="56">
        <f t="shared" si="11"/>
        <v>0</v>
      </c>
      <c r="AJ48" s="57">
        <f t="shared" si="14"/>
        <v>0</v>
      </c>
      <c r="AK48" s="58">
        <f t="shared" si="12"/>
        <v>0</v>
      </c>
      <c r="AL48" s="58"/>
    </row>
    <row r="49" spans="6:38" x14ac:dyDescent="0.15">
      <c r="F49" s="46">
        <v>21</v>
      </c>
      <c r="G49" s="47"/>
      <c r="H49" s="48"/>
      <c r="I49" s="49" t="str">
        <f t="shared" si="0"/>
        <v/>
      </c>
      <c r="J49" s="47"/>
      <c r="K49" s="50" t="str">
        <f t="shared" si="1"/>
        <v/>
      </c>
      <c r="L49" s="7"/>
      <c r="M49" s="7"/>
      <c r="O49" s="51"/>
      <c r="P49" s="51"/>
      <c r="Q49" s="47"/>
      <c r="R49" s="52">
        <f t="shared" si="2"/>
        <v>0</v>
      </c>
      <c r="S49" s="47"/>
      <c r="T49" s="51"/>
      <c r="U49" s="51"/>
      <c r="V49" s="2"/>
      <c r="W49" s="52">
        <f t="shared" si="3"/>
        <v>0</v>
      </c>
      <c r="X49" s="13"/>
      <c r="Y49" s="53" t="str">
        <f t="shared" si="4"/>
        <v/>
      </c>
      <c r="Z49" s="13" t="str">
        <f t="shared" si="5"/>
        <v/>
      </c>
      <c r="AA49" s="54" t="str">
        <f t="shared" si="6"/>
        <v/>
      </c>
      <c r="AB49" s="47"/>
      <c r="AC49" s="55">
        <f t="shared" si="7"/>
        <v>0</v>
      </c>
      <c r="AD49" s="56">
        <f t="shared" si="8"/>
        <v>0</v>
      </c>
      <c r="AE49" s="59">
        <f t="shared" si="13"/>
        <v>0</v>
      </c>
      <c r="AF49" s="58">
        <f t="shared" si="9"/>
        <v>0</v>
      </c>
      <c r="AG49" s="47"/>
      <c r="AH49" s="55">
        <f t="shared" si="10"/>
        <v>0</v>
      </c>
      <c r="AI49" s="56">
        <f t="shared" si="11"/>
        <v>0</v>
      </c>
      <c r="AJ49" s="57">
        <f t="shared" si="14"/>
        <v>0</v>
      </c>
      <c r="AK49" s="58">
        <f t="shared" si="12"/>
        <v>0</v>
      </c>
      <c r="AL49" s="58"/>
    </row>
    <row r="50" spans="6:38" x14ac:dyDescent="0.15">
      <c r="F50" s="46">
        <v>22</v>
      </c>
      <c r="G50" s="47"/>
      <c r="H50" s="48"/>
      <c r="I50" s="49" t="str">
        <f t="shared" si="0"/>
        <v/>
      </c>
      <c r="J50" s="47"/>
      <c r="K50" s="50" t="str">
        <f t="shared" si="1"/>
        <v/>
      </c>
      <c r="L50" s="7"/>
      <c r="M50" s="7"/>
      <c r="O50" s="51"/>
      <c r="P50" s="51"/>
      <c r="Q50" s="47"/>
      <c r="R50" s="52">
        <f t="shared" si="2"/>
        <v>0</v>
      </c>
      <c r="S50" s="47"/>
      <c r="T50" s="51"/>
      <c r="U50" s="51"/>
      <c r="V50" s="2"/>
      <c r="W50" s="52">
        <f t="shared" si="3"/>
        <v>0</v>
      </c>
      <c r="X50" s="13"/>
      <c r="Y50" s="53" t="str">
        <f t="shared" si="4"/>
        <v/>
      </c>
      <c r="Z50" s="13" t="str">
        <f t="shared" si="5"/>
        <v/>
      </c>
      <c r="AA50" s="54" t="str">
        <f t="shared" si="6"/>
        <v/>
      </c>
      <c r="AB50" s="47"/>
      <c r="AC50" s="55">
        <f t="shared" si="7"/>
        <v>0</v>
      </c>
      <c r="AD50" s="56">
        <f t="shared" si="8"/>
        <v>0</v>
      </c>
      <c r="AE50" s="59">
        <f t="shared" si="13"/>
        <v>0</v>
      </c>
      <c r="AF50" s="58">
        <f t="shared" si="9"/>
        <v>0</v>
      </c>
      <c r="AG50" s="47"/>
      <c r="AH50" s="55">
        <f t="shared" si="10"/>
        <v>0</v>
      </c>
      <c r="AI50" s="56">
        <f t="shared" si="11"/>
        <v>0</v>
      </c>
      <c r="AJ50" s="57">
        <f t="shared" si="14"/>
        <v>0</v>
      </c>
      <c r="AK50" s="58">
        <f t="shared" si="12"/>
        <v>0</v>
      </c>
      <c r="AL50" s="58"/>
    </row>
    <row r="51" spans="6:38" x14ac:dyDescent="0.15">
      <c r="F51" s="46">
        <v>23</v>
      </c>
      <c r="G51" s="47"/>
      <c r="H51" s="48"/>
      <c r="I51" s="49" t="str">
        <f t="shared" si="0"/>
        <v/>
      </c>
      <c r="J51" s="47"/>
      <c r="K51" s="50" t="str">
        <f t="shared" si="1"/>
        <v/>
      </c>
      <c r="L51" s="7"/>
      <c r="M51" s="7"/>
      <c r="O51" s="51"/>
      <c r="P51" s="51"/>
      <c r="Q51" s="47"/>
      <c r="R51" s="52">
        <f t="shared" si="2"/>
        <v>0</v>
      </c>
      <c r="S51" s="47"/>
      <c r="T51" s="51"/>
      <c r="U51" s="51"/>
      <c r="V51" s="2"/>
      <c r="W51" s="52">
        <f t="shared" si="3"/>
        <v>0</v>
      </c>
      <c r="X51" s="13"/>
      <c r="Y51" s="53" t="str">
        <f t="shared" si="4"/>
        <v/>
      </c>
      <c r="Z51" s="13" t="str">
        <f t="shared" si="5"/>
        <v/>
      </c>
      <c r="AA51" s="54" t="str">
        <f t="shared" si="6"/>
        <v/>
      </c>
      <c r="AB51" s="47"/>
      <c r="AC51" s="55">
        <f t="shared" si="7"/>
        <v>0</v>
      </c>
      <c r="AD51" s="56">
        <f t="shared" si="8"/>
        <v>0</v>
      </c>
      <c r="AE51" s="59">
        <f t="shared" si="13"/>
        <v>0</v>
      </c>
      <c r="AF51" s="58">
        <f t="shared" si="9"/>
        <v>0</v>
      </c>
      <c r="AG51" s="47"/>
      <c r="AH51" s="55">
        <f t="shared" si="10"/>
        <v>0</v>
      </c>
      <c r="AI51" s="56">
        <f t="shared" si="11"/>
        <v>0</v>
      </c>
      <c r="AJ51" s="57">
        <f t="shared" si="14"/>
        <v>0</v>
      </c>
      <c r="AK51" s="58">
        <f t="shared" si="12"/>
        <v>0</v>
      </c>
      <c r="AL51" s="58"/>
    </row>
    <row r="52" spans="6:38" x14ac:dyDescent="0.15">
      <c r="F52" s="46">
        <v>24</v>
      </c>
      <c r="G52" s="47"/>
      <c r="H52" s="48"/>
      <c r="I52" s="49" t="str">
        <f t="shared" si="0"/>
        <v/>
      </c>
      <c r="J52" s="47"/>
      <c r="K52" s="50" t="str">
        <f t="shared" si="1"/>
        <v/>
      </c>
      <c r="L52" s="7"/>
      <c r="M52" s="7"/>
      <c r="O52" s="51"/>
      <c r="P52" s="51"/>
      <c r="Q52" s="47"/>
      <c r="R52" s="52">
        <f t="shared" si="2"/>
        <v>0</v>
      </c>
      <c r="S52" s="47"/>
      <c r="T52" s="51"/>
      <c r="U52" s="51"/>
      <c r="V52" s="2"/>
      <c r="W52" s="52">
        <f t="shared" si="3"/>
        <v>0</v>
      </c>
      <c r="X52" s="13"/>
      <c r="Y52" s="53" t="str">
        <f t="shared" si="4"/>
        <v/>
      </c>
      <c r="Z52" s="13" t="str">
        <f t="shared" si="5"/>
        <v/>
      </c>
      <c r="AA52" s="54" t="str">
        <f t="shared" si="6"/>
        <v/>
      </c>
      <c r="AB52" s="47"/>
      <c r="AC52" s="55">
        <f t="shared" si="7"/>
        <v>0</v>
      </c>
      <c r="AD52" s="56">
        <f t="shared" si="8"/>
        <v>0</v>
      </c>
      <c r="AE52" s="59">
        <f t="shared" si="13"/>
        <v>0</v>
      </c>
      <c r="AF52" s="58">
        <f t="shared" si="9"/>
        <v>0</v>
      </c>
      <c r="AG52" s="47"/>
      <c r="AH52" s="55">
        <f t="shared" si="10"/>
        <v>0</v>
      </c>
      <c r="AI52" s="56">
        <f t="shared" si="11"/>
        <v>0</v>
      </c>
      <c r="AJ52" s="57">
        <f t="shared" si="14"/>
        <v>0</v>
      </c>
      <c r="AK52" s="58">
        <f t="shared" si="12"/>
        <v>0</v>
      </c>
      <c r="AL52" s="58"/>
    </row>
    <row r="53" spans="6:38" x14ac:dyDescent="0.15">
      <c r="F53" s="46">
        <v>25</v>
      </c>
      <c r="G53" s="47"/>
      <c r="H53" s="48"/>
      <c r="I53" s="49" t="str">
        <f t="shared" si="0"/>
        <v/>
      </c>
      <c r="J53" s="47"/>
      <c r="K53" s="50" t="str">
        <f t="shared" si="1"/>
        <v/>
      </c>
      <c r="L53" s="7"/>
      <c r="M53" s="7"/>
      <c r="O53" s="51"/>
      <c r="P53" s="51"/>
      <c r="Q53" s="47"/>
      <c r="R53" s="52">
        <f t="shared" si="2"/>
        <v>0</v>
      </c>
      <c r="S53" s="47"/>
      <c r="T53" s="51"/>
      <c r="U53" s="51"/>
      <c r="V53" s="2"/>
      <c r="W53" s="52">
        <f t="shared" si="3"/>
        <v>0</v>
      </c>
      <c r="X53" s="13"/>
      <c r="Y53" s="53" t="str">
        <f t="shared" si="4"/>
        <v/>
      </c>
      <c r="Z53" s="13" t="str">
        <f t="shared" si="5"/>
        <v/>
      </c>
      <c r="AA53" s="54" t="str">
        <f t="shared" si="6"/>
        <v/>
      </c>
      <c r="AB53" s="47"/>
      <c r="AC53" s="55">
        <f t="shared" si="7"/>
        <v>0</v>
      </c>
      <c r="AD53" s="56">
        <f t="shared" si="8"/>
        <v>0</v>
      </c>
      <c r="AE53" s="59">
        <f t="shared" si="13"/>
        <v>0</v>
      </c>
      <c r="AF53" s="58">
        <f t="shared" si="9"/>
        <v>0</v>
      </c>
      <c r="AG53" s="47"/>
      <c r="AH53" s="55">
        <f t="shared" si="10"/>
        <v>0</v>
      </c>
      <c r="AI53" s="56">
        <f t="shared" si="11"/>
        <v>0</v>
      </c>
      <c r="AJ53" s="57">
        <f t="shared" si="14"/>
        <v>0</v>
      </c>
      <c r="AK53" s="58">
        <f t="shared" si="12"/>
        <v>0</v>
      </c>
      <c r="AL53" s="58"/>
    </row>
    <row r="54" spans="6:38" x14ac:dyDescent="0.15">
      <c r="F54" s="46">
        <v>26</v>
      </c>
      <c r="G54" s="47"/>
      <c r="H54" s="48"/>
      <c r="I54" s="49" t="str">
        <f t="shared" si="0"/>
        <v/>
      </c>
      <c r="J54" s="47"/>
      <c r="K54" s="50" t="str">
        <f t="shared" si="1"/>
        <v/>
      </c>
      <c r="L54" s="7"/>
      <c r="M54" s="7"/>
      <c r="O54" s="51"/>
      <c r="P54" s="51"/>
      <c r="Q54" s="47"/>
      <c r="R54" s="52">
        <f t="shared" si="2"/>
        <v>0</v>
      </c>
      <c r="S54" s="47"/>
      <c r="T54" s="51"/>
      <c r="U54" s="51"/>
      <c r="V54" s="2"/>
      <c r="W54" s="52">
        <f t="shared" si="3"/>
        <v>0</v>
      </c>
      <c r="X54" s="13"/>
      <c r="Y54" s="53" t="str">
        <f t="shared" si="4"/>
        <v/>
      </c>
      <c r="Z54" s="13" t="str">
        <f t="shared" si="5"/>
        <v/>
      </c>
      <c r="AA54" s="54" t="str">
        <f t="shared" si="6"/>
        <v/>
      </c>
      <c r="AB54" s="47"/>
      <c r="AC54" s="55">
        <f t="shared" si="7"/>
        <v>0</v>
      </c>
      <c r="AD54" s="56">
        <f t="shared" si="8"/>
        <v>0</v>
      </c>
      <c r="AE54" s="59">
        <f t="shared" si="13"/>
        <v>0</v>
      </c>
      <c r="AF54" s="58">
        <f t="shared" si="9"/>
        <v>0</v>
      </c>
      <c r="AG54" s="47"/>
      <c r="AH54" s="55">
        <f t="shared" si="10"/>
        <v>0</v>
      </c>
      <c r="AI54" s="56">
        <f t="shared" si="11"/>
        <v>0</v>
      </c>
      <c r="AJ54" s="57">
        <f t="shared" si="14"/>
        <v>0</v>
      </c>
      <c r="AK54" s="58">
        <f t="shared" si="12"/>
        <v>0</v>
      </c>
      <c r="AL54" s="58"/>
    </row>
    <row r="55" spans="6:38" x14ac:dyDescent="0.15">
      <c r="F55" s="46">
        <v>27</v>
      </c>
      <c r="G55" s="47"/>
      <c r="H55" s="48"/>
      <c r="I55" s="49" t="str">
        <f t="shared" si="0"/>
        <v/>
      </c>
      <c r="J55" s="47"/>
      <c r="K55" s="50" t="str">
        <f t="shared" si="1"/>
        <v/>
      </c>
      <c r="L55" s="7"/>
      <c r="M55" s="7"/>
      <c r="O55" s="51"/>
      <c r="P55" s="51"/>
      <c r="Q55" s="47"/>
      <c r="R55" s="52">
        <f t="shared" si="2"/>
        <v>0</v>
      </c>
      <c r="S55" s="47"/>
      <c r="T55" s="51"/>
      <c r="U55" s="51"/>
      <c r="V55" s="2"/>
      <c r="W55" s="52">
        <f t="shared" si="3"/>
        <v>0</v>
      </c>
      <c r="X55" s="13"/>
      <c r="Y55" s="53" t="str">
        <f t="shared" si="4"/>
        <v/>
      </c>
      <c r="Z55" s="13" t="str">
        <f t="shared" si="5"/>
        <v/>
      </c>
      <c r="AA55" s="54" t="str">
        <f t="shared" si="6"/>
        <v/>
      </c>
      <c r="AB55" s="47"/>
      <c r="AC55" s="55">
        <f t="shared" si="7"/>
        <v>0</v>
      </c>
      <c r="AD55" s="56">
        <f t="shared" si="8"/>
        <v>0</v>
      </c>
      <c r="AE55" s="59">
        <f t="shared" si="13"/>
        <v>0</v>
      </c>
      <c r="AF55" s="58">
        <f t="shared" si="9"/>
        <v>0</v>
      </c>
      <c r="AG55" s="47"/>
      <c r="AH55" s="55">
        <f t="shared" si="10"/>
        <v>0</v>
      </c>
      <c r="AI55" s="56">
        <f t="shared" si="11"/>
        <v>0</v>
      </c>
      <c r="AJ55" s="57">
        <f t="shared" si="14"/>
        <v>0</v>
      </c>
      <c r="AK55" s="58">
        <f t="shared" si="12"/>
        <v>0</v>
      </c>
      <c r="AL55" s="58"/>
    </row>
    <row r="56" spans="6:38" x14ac:dyDescent="0.15">
      <c r="F56" s="46">
        <v>28</v>
      </c>
      <c r="G56" s="47"/>
      <c r="H56" s="48"/>
      <c r="I56" s="49" t="str">
        <f t="shared" si="0"/>
        <v/>
      </c>
      <c r="J56" s="47"/>
      <c r="K56" s="50" t="str">
        <f t="shared" si="1"/>
        <v/>
      </c>
      <c r="L56" s="7"/>
      <c r="M56" s="7"/>
      <c r="O56" s="51"/>
      <c r="P56" s="51"/>
      <c r="Q56" s="47"/>
      <c r="R56" s="52">
        <f t="shared" si="2"/>
        <v>0</v>
      </c>
      <c r="S56" s="47"/>
      <c r="T56" s="51"/>
      <c r="U56" s="51"/>
      <c r="V56" s="2"/>
      <c r="W56" s="52">
        <f t="shared" si="3"/>
        <v>0</v>
      </c>
      <c r="X56" s="13"/>
      <c r="Y56" s="53" t="str">
        <f t="shared" si="4"/>
        <v/>
      </c>
      <c r="Z56" s="13" t="str">
        <f t="shared" si="5"/>
        <v/>
      </c>
      <c r="AA56" s="54" t="str">
        <f t="shared" si="6"/>
        <v/>
      </c>
      <c r="AB56" s="47"/>
      <c r="AC56" s="55">
        <f t="shared" si="7"/>
        <v>0</v>
      </c>
      <c r="AD56" s="56">
        <f t="shared" si="8"/>
        <v>0</v>
      </c>
      <c r="AE56" s="59">
        <f t="shared" si="13"/>
        <v>0</v>
      </c>
      <c r="AF56" s="58">
        <f t="shared" si="9"/>
        <v>0</v>
      </c>
      <c r="AG56" s="47"/>
      <c r="AH56" s="55">
        <f t="shared" si="10"/>
        <v>0</v>
      </c>
      <c r="AI56" s="56">
        <f t="shared" si="11"/>
        <v>0</v>
      </c>
      <c r="AJ56" s="57">
        <f t="shared" si="14"/>
        <v>0</v>
      </c>
      <c r="AK56" s="58">
        <f t="shared" si="12"/>
        <v>0</v>
      </c>
      <c r="AL56" s="58"/>
    </row>
    <row r="57" spans="6:38" x14ac:dyDescent="0.15">
      <c r="F57" s="46">
        <v>29</v>
      </c>
      <c r="G57" s="47"/>
      <c r="H57" s="48"/>
      <c r="I57" s="49" t="str">
        <f t="shared" si="0"/>
        <v/>
      </c>
      <c r="J57" s="47"/>
      <c r="K57" s="50" t="str">
        <f t="shared" si="1"/>
        <v/>
      </c>
      <c r="L57" s="7"/>
      <c r="M57" s="7"/>
      <c r="O57" s="51"/>
      <c r="P57" s="51"/>
      <c r="Q57" s="47"/>
      <c r="R57" s="52">
        <f t="shared" si="2"/>
        <v>0</v>
      </c>
      <c r="S57" s="47"/>
      <c r="T57" s="51"/>
      <c r="U57" s="51"/>
      <c r="V57" s="2"/>
      <c r="W57" s="52">
        <f t="shared" si="3"/>
        <v>0</v>
      </c>
      <c r="X57" s="13"/>
      <c r="Y57" s="53" t="str">
        <f t="shared" si="4"/>
        <v/>
      </c>
      <c r="Z57" s="13" t="str">
        <f t="shared" si="5"/>
        <v/>
      </c>
      <c r="AA57" s="54" t="str">
        <f t="shared" si="6"/>
        <v/>
      </c>
      <c r="AB57" s="47"/>
      <c r="AC57" s="55">
        <f t="shared" si="7"/>
        <v>0</v>
      </c>
      <c r="AD57" s="56">
        <f t="shared" si="8"/>
        <v>0</v>
      </c>
      <c r="AE57" s="59">
        <f t="shared" si="13"/>
        <v>0</v>
      </c>
      <c r="AF57" s="58">
        <f t="shared" si="9"/>
        <v>0</v>
      </c>
      <c r="AG57" s="47"/>
      <c r="AH57" s="55">
        <f t="shared" si="10"/>
        <v>0</v>
      </c>
      <c r="AI57" s="56">
        <f t="shared" si="11"/>
        <v>0</v>
      </c>
      <c r="AJ57" s="57">
        <f t="shared" si="14"/>
        <v>0</v>
      </c>
      <c r="AK57" s="58">
        <f t="shared" si="12"/>
        <v>0</v>
      </c>
      <c r="AL57" s="58"/>
    </row>
    <row r="58" spans="6:38" x14ac:dyDescent="0.15">
      <c r="F58" s="46">
        <v>30</v>
      </c>
      <c r="G58" s="47"/>
      <c r="H58" s="48"/>
      <c r="I58" s="49" t="str">
        <f t="shared" si="0"/>
        <v/>
      </c>
      <c r="J58" s="47"/>
      <c r="K58" s="50" t="str">
        <f t="shared" si="1"/>
        <v/>
      </c>
      <c r="L58" s="7"/>
      <c r="M58" s="7"/>
      <c r="O58" s="51"/>
      <c r="P58" s="51"/>
      <c r="Q58" s="47"/>
      <c r="R58" s="52">
        <f t="shared" si="2"/>
        <v>0</v>
      </c>
      <c r="S58" s="47"/>
      <c r="T58" s="51"/>
      <c r="U58" s="51"/>
      <c r="V58" s="2"/>
      <c r="W58" s="52">
        <f t="shared" si="3"/>
        <v>0</v>
      </c>
      <c r="X58" s="13"/>
      <c r="Y58" s="53" t="str">
        <f t="shared" si="4"/>
        <v/>
      </c>
      <c r="Z58" s="13" t="str">
        <f t="shared" si="5"/>
        <v/>
      </c>
      <c r="AA58" s="54" t="str">
        <f t="shared" si="6"/>
        <v/>
      </c>
      <c r="AB58" s="47"/>
      <c r="AC58" s="55">
        <f t="shared" si="7"/>
        <v>0</v>
      </c>
      <c r="AD58" s="56">
        <f t="shared" si="8"/>
        <v>0</v>
      </c>
      <c r="AE58" s="59">
        <f t="shared" si="13"/>
        <v>0</v>
      </c>
      <c r="AF58" s="58">
        <f t="shared" si="9"/>
        <v>0</v>
      </c>
      <c r="AG58" s="47"/>
      <c r="AH58" s="55">
        <f t="shared" si="10"/>
        <v>0</v>
      </c>
      <c r="AI58" s="56">
        <f t="shared" si="11"/>
        <v>0</v>
      </c>
      <c r="AJ58" s="57">
        <f t="shared" si="14"/>
        <v>0</v>
      </c>
      <c r="AK58" s="58">
        <f t="shared" si="12"/>
        <v>0</v>
      </c>
      <c r="AL58" s="58"/>
    </row>
    <row r="59" spans="6:38" x14ac:dyDescent="0.15">
      <c r="F59" s="46">
        <v>31</v>
      </c>
      <c r="G59" s="47"/>
      <c r="H59" s="48"/>
      <c r="I59" s="49" t="str">
        <f t="shared" si="0"/>
        <v/>
      </c>
      <c r="J59" s="47"/>
      <c r="K59" s="50" t="str">
        <f t="shared" si="1"/>
        <v/>
      </c>
      <c r="L59" s="7"/>
      <c r="M59" s="7"/>
      <c r="O59" s="51"/>
      <c r="P59" s="51"/>
      <c r="Q59" s="47"/>
      <c r="R59" s="52">
        <f t="shared" si="2"/>
        <v>0</v>
      </c>
      <c r="S59" s="47"/>
      <c r="T59" s="51"/>
      <c r="U59" s="51"/>
      <c r="V59" s="2"/>
      <c r="W59" s="52">
        <f t="shared" si="3"/>
        <v>0</v>
      </c>
      <c r="X59" s="13"/>
      <c r="Y59" s="53" t="str">
        <f t="shared" si="4"/>
        <v/>
      </c>
      <c r="Z59" s="13" t="str">
        <f t="shared" si="5"/>
        <v/>
      </c>
      <c r="AA59" s="54" t="str">
        <f t="shared" si="6"/>
        <v/>
      </c>
      <c r="AB59" s="47"/>
      <c r="AC59" s="55">
        <f t="shared" si="7"/>
        <v>0</v>
      </c>
      <c r="AD59" s="56">
        <f t="shared" si="8"/>
        <v>0</v>
      </c>
      <c r="AE59" s="59">
        <f t="shared" si="13"/>
        <v>0</v>
      </c>
      <c r="AF59" s="58">
        <f t="shared" si="9"/>
        <v>0</v>
      </c>
      <c r="AG59" s="47"/>
      <c r="AH59" s="55">
        <f t="shared" si="10"/>
        <v>0</v>
      </c>
      <c r="AI59" s="56">
        <f t="shared" si="11"/>
        <v>0</v>
      </c>
      <c r="AJ59" s="57">
        <f t="shared" si="14"/>
        <v>0</v>
      </c>
      <c r="AK59" s="58">
        <f t="shared" si="12"/>
        <v>0</v>
      </c>
      <c r="AL59" s="58"/>
    </row>
    <row r="60" spans="6:38" x14ac:dyDescent="0.15">
      <c r="F60" s="46">
        <v>32</v>
      </c>
      <c r="G60" s="47"/>
      <c r="H60" s="48"/>
      <c r="I60" s="49" t="str">
        <f t="shared" si="0"/>
        <v/>
      </c>
      <c r="J60" s="47"/>
      <c r="K60" s="50" t="str">
        <f t="shared" si="1"/>
        <v/>
      </c>
      <c r="L60" s="7"/>
      <c r="M60" s="7"/>
      <c r="O60" s="51"/>
      <c r="P60" s="51"/>
      <c r="Q60" s="47"/>
      <c r="R60" s="52">
        <f t="shared" si="2"/>
        <v>0</v>
      </c>
      <c r="S60" s="47"/>
      <c r="T60" s="51"/>
      <c r="U60" s="51"/>
      <c r="V60" s="2"/>
      <c r="W60" s="52">
        <f t="shared" si="3"/>
        <v>0</v>
      </c>
      <c r="X60" s="13"/>
      <c r="Y60" s="53" t="str">
        <f t="shared" si="4"/>
        <v/>
      </c>
      <c r="Z60" s="13" t="str">
        <f t="shared" si="5"/>
        <v/>
      </c>
      <c r="AA60" s="54" t="str">
        <f t="shared" si="6"/>
        <v/>
      </c>
      <c r="AB60" s="47"/>
      <c r="AC60" s="55">
        <f t="shared" si="7"/>
        <v>0</v>
      </c>
      <c r="AD60" s="56">
        <f t="shared" si="8"/>
        <v>0</v>
      </c>
      <c r="AE60" s="59">
        <f t="shared" si="13"/>
        <v>0</v>
      </c>
      <c r="AF60" s="58">
        <f t="shared" si="9"/>
        <v>0</v>
      </c>
      <c r="AG60" s="47"/>
      <c r="AH60" s="55">
        <f t="shared" si="10"/>
        <v>0</v>
      </c>
      <c r="AI60" s="56">
        <f t="shared" si="11"/>
        <v>0</v>
      </c>
      <c r="AJ60" s="57">
        <f t="shared" si="14"/>
        <v>0</v>
      </c>
      <c r="AK60" s="58">
        <f t="shared" si="12"/>
        <v>0</v>
      </c>
      <c r="AL60" s="58"/>
    </row>
    <row r="61" spans="6:38" x14ac:dyDescent="0.15">
      <c r="F61" s="46">
        <v>33</v>
      </c>
      <c r="G61" s="47"/>
      <c r="H61" s="48"/>
      <c r="I61" s="49" t="str">
        <f t="shared" si="0"/>
        <v/>
      </c>
      <c r="J61" s="47"/>
      <c r="K61" s="50" t="str">
        <f t="shared" si="1"/>
        <v/>
      </c>
      <c r="L61" s="7"/>
      <c r="M61" s="7"/>
      <c r="O61" s="51"/>
      <c r="P61" s="51"/>
      <c r="Q61" s="47"/>
      <c r="R61" s="52">
        <f t="shared" si="2"/>
        <v>0</v>
      </c>
      <c r="S61" s="47"/>
      <c r="T61" s="51"/>
      <c r="U61" s="51"/>
      <c r="V61" s="2"/>
      <c r="W61" s="52">
        <f t="shared" si="3"/>
        <v>0</v>
      </c>
      <c r="X61" s="13"/>
      <c r="Y61" s="53" t="str">
        <f t="shared" si="4"/>
        <v/>
      </c>
      <c r="Z61" s="13" t="str">
        <f t="shared" si="5"/>
        <v/>
      </c>
      <c r="AA61" s="54" t="str">
        <f t="shared" si="6"/>
        <v/>
      </c>
      <c r="AB61" s="47"/>
      <c r="AC61" s="55">
        <f t="shared" si="7"/>
        <v>0</v>
      </c>
      <c r="AD61" s="56">
        <f t="shared" si="8"/>
        <v>0</v>
      </c>
      <c r="AE61" s="59">
        <f t="shared" si="13"/>
        <v>0</v>
      </c>
      <c r="AF61" s="58">
        <f t="shared" si="9"/>
        <v>0</v>
      </c>
      <c r="AG61" s="47"/>
      <c r="AH61" s="55">
        <f t="shared" si="10"/>
        <v>0</v>
      </c>
      <c r="AI61" s="56">
        <f t="shared" si="11"/>
        <v>0</v>
      </c>
      <c r="AJ61" s="57">
        <f t="shared" si="14"/>
        <v>0</v>
      </c>
      <c r="AK61" s="58">
        <f t="shared" si="12"/>
        <v>0</v>
      </c>
      <c r="AL61" s="58"/>
    </row>
    <row r="62" spans="6:38" x14ac:dyDescent="0.15">
      <c r="F62" s="46">
        <v>34</v>
      </c>
      <c r="G62" s="47"/>
      <c r="H62" s="48"/>
      <c r="I62" s="49" t="str">
        <f t="shared" si="0"/>
        <v/>
      </c>
      <c r="J62" s="47"/>
      <c r="K62" s="50" t="str">
        <f t="shared" si="1"/>
        <v/>
      </c>
      <c r="L62" s="7"/>
      <c r="M62" s="7"/>
      <c r="O62" s="51"/>
      <c r="P62" s="51"/>
      <c r="Q62" s="47"/>
      <c r="R62" s="52">
        <f t="shared" si="2"/>
        <v>0</v>
      </c>
      <c r="S62" s="47"/>
      <c r="T62" s="51"/>
      <c r="U62" s="51"/>
      <c r="V62" s="2"/>
      <c r="W62" s="52">
        <f t="shared" si="3"/>
        <v>0</v>
      </c>
      <c r="X62" s="13"/>
      <c r="Y62" s="53" t="str">
        <f t="shared" si="4"/>
        <v/>
      </c>
      <c r="Z62" s="13" t="str">
        <f t="shared" si="5"/>
        <v/>
      </c>
      <c r="AA62" s="54" t="str">
        <f t="shared" si="6"/>
        <v/>
      </c>
      <c r="AB62" s="47"/>
      <c r="AC62" s="55">
        <f t="shared" si="7"/>
        <v>0</v>
      </c>
      <c r="AD62" s="56">
        <f t="shared" si="8"/>
        <v>0</v>
      </c>
      <c r="AE62" s="59">
        <f t="shared" si="13"/>
        <v>0</v>
      </c>
      <c r="AF62" s="58">
        <f t="shared" si="9"/>
        <v>0</v>
      </c>
      <c r="AG62" s="47"/>
      <c r="AH62" s="55">
        <f t="shared" si="10"/>
        <v>0</v>
      </c>
      <c r="AI62" s="56">
        <f t="shared" si="11"/>
        <v>0</v>
      </c>
      <c r="AJ62" s="57">
        <f t="shared" si="14"/>
        <v>0</v>
      </c>
      <c r="AK62" s="58">
        <f t="shared" si="12"/>
        <v>0</v>
      </c>
      <c r="AL62" s="58"/>
    </row>
    <row r="63" spans="6:38" x14ac:dyDescent="0.15">
      <c r="F63" s="46">
        <v>35</v>
      </c>
      <c r="G63" s="47"/>
      <c r="H63" s="48"/>
      <c r="I63" s="49" t="str">
        <f t="shared" si="0"/>
        <v/>
      </c>
      <c r="J63" s="47"/>
      <c r="K63" s="50" t="str">
        <f t="shared" si="1"/>
        <v/>
      </c>
      <c r="L63" s="7"/>
      <c r="M63" s="7"/>
      <c r="O63" s="51"/>
      <c r="P63" s="51"/>
      <c r="Q63" s="47"/>
      <c r="R63" s="52">
        <f t="shared" si="2"/>
        <v>0</v>
      </c>
      <c r="S63" s="47"/>
      <c r="T63" s="51"/>
      <c r="U63" s="51"/>
      <c r="V63" s="2"/>
      <c r="W63" s="52">
        <f t="shared" si="3"/>
        <v>0</v>
      </c>
      <c r="X63" s="13"/>
      <c r="Y63" s="53" t="str">
        <f t="shared" si="4"/>
        <v/>
      </c>
      <c r="Z63" s="13" t="str">
        <f t="shared" si="5"/>
        <v/>
      </c>
      <c r="AA63" s="54" t="str">
        <f t="shared" si="6"/>
        <v/>
      </c>
      <c r="AB63" s="47"/>
      <c r="AC63" s="55">
        <f t="shared" si="7"/>
        <v>0</v>
      </c>
      <c r="AD63" s="56">
        <f t="shared" si="8"/>
        <v>0</v>
      </c>
      <c r="AE63" s="59">
        <f t="shared" si="13"/>
        <v>0</v>
      </c>
      <c r="AF63" s="58">
        <f t="shared" si="9"/>
        <v>0</v>
      </c>
      <c r="AG63" s="47"/>
      <c r="AH63" s="55">
        <f t="shared" si="10"/>
        <v>0</v>
      </c>
      <c r="AI63" s="56">
        <f t="shared" si="11"/>
        <v>0</v>
      </c>
      <c r="AJ63" s="57">
        <f t="shared" si="14"/>
        <v>0</v>
      </c>
      <c r="AK63" s="58">
        <f t="shared" si="12"/>
        <v>0</v>
      </c>
      <c r="AL63" s="58"/>
    </row>
    <row r="64" spans="6:38" x14ac:dyDescent="0.15">
      <c r="F64" s="46">
        <v>36</v>
      </c>
      <c r="G64" s="47"/>
      <c r="H64" s="48"/>
      <c r="I64" s="49" t="str">
        <f t="shared" si="0"/>
        <v/>
      </c>
      <c r="J64" s="47"/>
      <c r="K64" s="50" t="str">
        <f t="shared" si="1"/>
        <v/>
      </c>
      <c r="L64" s="7"/>
      <c r="M64" s="7"/>
      <c r="O64" s="51"/>
      <c r="P64" s="51"/>
      <c r="Q64" s="47"/>
      <c r="R64" s="52">
        <f t="shared" si="2"/>
        <v>0</v>
      </c>
      <c r="S64" s="47"/>
      <c r="T64" s="51"/>
      <c r="U64" s="51"/>
      <c r="V64" s="2"/>
      <c r="W64" s="52">
        <f t="shared" si="3"/>
        <v>0</v>
      </c>
      <c r="X64" s="13"/>
      <c r="Y64" s="53" t="str">
        <f t="shared" si="4"/>
        <v/>
      </c>
      <c r="Z64" s="13" t="str">
        <f t="shared" si="5"/>
        <v/>
      </c>
      <c r="AA64" s="54" t="str">
        <f t="shared" si="6"/>
        <v/>
      </c>
      <c r="AB64" s="47"/>
      <c r="AC64" s="55">
        <f t="shared" si="7"/>
        <v>0</v>
      </c>
      <c r="AD64" s="56">
        <f t="shared" si="8"/>
        <v>0</v>
      </c>
      <c r="AE64" s="59">
        <f t="shared" si="13"/>
        <v>0</v>
      </c>
      <c r="AF64" s="58">
        <f t="shared" si="9"/>
        <v>0</v>
      </c>
      <c r="AG64" s="47"/>
      <c r="AH64" s="55">
        <f t="shared" si="10"/>
        <v>0</v>
      </c>
      <c r="AI64" s="56">
        <f t="shared" si="11"/>
        <v>0</v>
      </c>
      <c r="AJ64" s="57">
        <f t="shared" si="14"/>
        <v>0</v>
      </c>
      <c r="AK64" s="58">
        <f t="shared" si="12"/>
        <v>0</v>
      </c>
      <c r="AL64" s="58"/>
    </row>
    <row r="65" spans="6:38" x14ac:dyDescent="0.15">
      <c r="F65" s="46">
        <v>37</v>
      </c>
      <c r="G65" s="47"/>
      <c r="H65" s="48"/>
      <c r="I65" s="49" t="str">
        <f t="shared" si="0"/>
        <v/>
      </c>
      <c r="J65" s="47"/>
      <c r="K65" s="50" t="str">
        <f t="shared" si="1"/>
        <v/>
      </c>
      <c r="L65" s="7"/>
      <c r="M65" s="7"/>
      <c r="O65" s="51"/>
      <c r="P65" s="51"/>
      <c r="Q65" s="47"/>
      <c r="R65" s="52">
        <f t="shared" si="2"/>
        <v>0</v>
      </c>
      <c r="S65" s="47"/>
      <c r="T65" s="51"/>
      <c r="U65" s="51"/>
      <c r="V65" s="2"/>
      <c r="W65" s="52">
        <f t="shared" si="3"/>
        <v>0</v>
      </c>
      <c r="X65" s="13"/>
      <c r="Y65" s="53" t="str">
        <f t="shared" si="4"/>
        <v/>
      </c>
      <c r="Z65" s="13" t="str">
        <f t="shared" si="5"/>
        <v/>
      </c>
      <c r="AA65" s="54" t="str">
        <f t="shared" si="6"/>
        <v/>
      </c>
      <c r="AB65" s="47"/>
      <c r="AC65" s="55">
        <f t="shared" si="7"/>
        <v>0</v>
      </c>
      <c r="AD65" s="56">
        <f t="shared" si="8"/>
        <v>0</v>
      </c>
      <c r="AE65" s="59">
        <f t="shared" si="13"/>
        <v>0</v>
      </c>
      <c r="AF65" s="58">
        <f t="shared" si="9"/>
        <v>0</v>
      </c>
      <c r="AG65" s="47"/>
      <c r="AH65" s="55">
        <f t="shared" si="10"/>
        <v>0</v>
      </c>
      <c r="AI65" s="56">
        <f t="shared" si="11"/>
        <v>0</v>
      </c>
      <c r="AJ65" s="57">
        <f t="shared" si="14"/>
        <v>0</v>
      </c>
      <c r="AK65" s="58">
        <f t="shared" si="12"/>
        <v>0</v>
      </c>
      <c r="AL65" s="58"/>
    </row>
    <row r="66" spans="6:38" x14ac:dyDescent="0.15">
      <c r="F66" s="46">
        <v>38</v>
      </c>
      <c r="G66" s="47"/>
      <c r="H66" s="48"/>
      <c r="I66" s="49" t="str">
        <f t="shared" si="0"/>
        <v/>
      </c>
      <c r="J66" s="47"/>
      <c r="K66" s="50" t="str">
        <f t="shared" si="1"/>
        <v/>
      </c>
      <c r="L66" s="7"/>
      <c r="M66" s="7"/>
      <c r="O66" s="51"/>
      <c r="P66" s="51"/>
      <c r="Q66" s="47"/>
      <c r="R66" s="52">
        <f t="shared" si="2"/>
        <v>0</v>
      </c>
      <c r="S66" s="47"/>
      <c r="T66" s="51"/>
      <c r="U66" s="51"/>
      <c r="V66" s="2"/>
      <c r="W66" s="52">
        <f t="shared" si="3"/>
        <v>0</v>
      </c>
      <c r="X66" s="13"/>
      <c r="Y66" s="53" t="str">
        <f t="shared" si="4"/>
        <v/>
      </c>
      <c r="Z66" s="13" t="str">
        <f t="shared" si="5"/>
        <v/>
      </c>
      <c r="AA66" s="54" t="str">
        <f t="shared" si="6"/>
        <v/>
      </c>
      <c r="AB66" s="47"/>
      <c r="AC66" s="55">
        <f t="shared" si="7"/>
        <v>0</v>
      </c>
      <c r="AD66" s="56">
        <f t="shared" si="8"/>
        <v>0</v>
      </c>
      <c r="AE66" s="59">
        <f t="shared" si="13"/>
        <v>0</v>
      </c>
      <c r="AF66" s="58">
        <f t="shared" si="9"/>
        <v>0</v>
      </c>
      <c r="AG66" s="47"/>
      <c r="AH66" s="55">
        <f t="shared" si="10"/>
        <v>0</v>
      </c>
      <c r="AI66" s="56">
        <f t="shared" si="11"/>
        <v>0</v>
      </c>
      <c r="AJ66" s="57">
        <f t="shared" si="14"/>
        <v>0</v>
      </c>
      <c r="AK66" s="58">
        <f t="shared" si="12"/>
        <v>0</v>
      </c>
      <c r="AL66" s="58"/>
    </row>
    <row r="67" spans="6:38" x14ac:dyDescent="0.15">
      <c r="F67" s="46">
        <v>39</v>
      </c>
      <c r="G67" s="47"/>
      <c r="H67" s="48"/>
      <c r="I67" s="49" t="str">
        <f t="shared" si="0"/>
        <v/>
      </c>
      <c r="J67" s="47"/>
      <c r="K67" s="50" t="str">
        <f t="shared" si="1"/>
        <v/>
      </c>
      <c r="L67" s="7"/>
      <c r="M67" s="7"/>
      <c r="O67" s="51"/>
      <c r="P67" s="51"/>
      <c r="Q67" s="47"/>
      <c r="R67" s="52">
        <f t="shared" si="2"/>
        <v>0</v>
      </c>
      <c r="S67" s="47"/>
      <c r="T67" s="51"/>
      <c r="U67" s="51"/>
      <c r="V67" s="2"/>
      <c r="W67" s="52">
        <f t="shared" si="3"/>
        <v>0</v>
      </c>
      <c r="X67" s="13"/>
      <c r="Y67" s="53" t="str">
        <f t="shared" si="4"/>
        <v/>
      </c>
      <c r="Z67" s="13" t="str">
        <f t="shared" si="5"/>
        <v/>
      </c>
      <c r="AA67" s="54" t="str">
        <f t="shared" si="6"/>
        <v/>
      </c>
      <c r="AB67" s="47"/>
      <c r="AC67" s="55">
        <f t="shared" si="7"/>
        <v>0</v>
      </c>
      <c r="AD67" s="56">
        <f t="shared" si="8"/>
        <v>0</v>
      </c>
      <c r="AE67" s="59">
        <f t="shared" si="13"/>
        <v>0</v>
      </c>
      <c r="AF67" s="58">
        <f t="shared" si="9"/>
        <v>0</v>
      </c>
      <c r="AG67" s="47"/>
      <c r="AH67" s="55">
        <f t="shared" si="10"/>
        <v>0</v>
      </c>
      <c r="AI67" s="56">
        <f t="shared" si="11"/>
        <v>0</v>
      </c>
      <c r="AJ67" s="57">
        <f t="shared" si="14"/>
        <v>0</v>
      </c>
      <c r="AK67" s="58">
        <f t="shared" si="12"/>
        <v>0</v>
      </c>
      <c r="AL67" s="58"/>
    </row>
    <row r="68" spans="6:38" x14ac:dyDescent="0.15">
      <c r="F68" s="46">
        <v>40</v>
      </c>
      <c r="G68" s="47"/>
      <c r="H68" s="48"/>
      <c r="I68" s="49" t="str">
        <f t="shared" si="0"/>
        <v/>
      </c>
      <c r="J68" s="47"/>
      <c r="K68" s="50" t="str">
        <f t="shared" si="1"/>
        <v/>
      </c>
      <c r="L68" s="7"/>
      <c r="M68" s="7"/>
      <c r="O68" s="51"/>
      <c r="P68" s="51"/>
      <c r="Q68" s="47"/>
      <c r="R68" s="52">
        <f t="shared" si="2"/>
        <v>0</v>
      </c>
      <c r="S68" s="47"/>
      <c r="T68" s="51"/>
      <c r="U68" s="51"/>
      <c r="V68" s="2"/>
      <c r="W68" s="52">
        <f t="shared" si="3"/>
        <v>0</v>
      </c>
      <c r="X68" s="13"/>
      <c r="Y68" s="53" t="str">
        <f t="shared" si="4"/>
        <v/>
      </c>
      <c r="Z68" s="13" t="str">
        <f t="shared" si="5"/>
        <v/>
      </c>
      <c r="AA68" s="54" t="str">
        <f t="shared" si="6"/>
        <v/>
      </c>
      <c r="AB68" s="47"/>
      <c r="AC68" s="55">
        <f t="shared" si="7"/>
        <v>0</v>
      </c>
      <c r="AD68" s="56">
        <f t="shared" si="8"/>
        <v>0</v>
      </c>
      <c r="AE68" s="59">
        <f t="shared" si="13"/>
        <v>0</v>
      </c>
      <c r="AF68" s="58">
        <f t="shared" si="9"/>
        <v>0</v>
      </c>
      <c r="AG68" s="47"/>
      <c r="AH68" s="55">
        <f t="shared" si="10"/>
        <v>0</v>
      </c>
      <c r="AI68" s="56">
        <f t="shared" si="11"/>
        <v>0</v>
      </c>
      <c r="AJ68" s="57">
        <f t="shared" si="14"/>
        <v>0</v>
      </c>
      <c r="AK68" s="58">
        <f t="shared" si="12"/>
        <v>0</v>
      </c>
      <c r="AL68" s="58"/>
    </row>
    <row r="69" spans="6:38" ht="5.65" customHeight="1" x14ac:dyDescent="0.15">
      <c r="F69" s="43"/>
      <c r="G69" s="35"/>
      <c r="H69" s="43"/>
      <c r="I69" s="44"/>
      <c r="J69" s="35"/>
      <c r="K69" s="43"/>
      <c r="L69" s="30"/>
      <c r="M69" s="30"/>
      <c r="N69" s="44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45"/>
      <c r="AD69" s="45"/>
      <c r="AE69" s="45"/>
      <c r="AF69" s="45"/>
      <c r="AG69" s="35"/>
      <c r="AH69" s="45"/>
      <c r="AI69" s="45"/>
      <c r="AJ69" s="45"/>
      <c r="AK69" s="45"/>
      <c r="AL69" s="45"/>
    </row>
    <row r="71" spans="6:38" x14ac:dyDescent="0.15">
      <c r="F71" s="72" t="s">
        <v>40</v>
      </c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</row>
    <row r="72" spans="6:38" x14ac:dyDescent="0.15">
      <c r="F72" s="60" t="str">
        <f>"http://reidasplanilhas.blogspot.com"</f>
        <v>http://reidasplanilhas.blogspot.com</v>
      </c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</row>
  </sheetData>
  <sheetProtection selectLockedCells="1"/>
  <mergeCells count="17">
    <mergeCell ref="K25:L27"/>
    <mergeCell ref="F72:AL72"/>
    <mergeCell ref="C1:D1"/>
    <mergeCell ref="C2:D2"/>
    <mergeCell ref="A4:B4"/>
    <mergeCell ref="F15:AL18"/>
    <mergeCell ref="B21:D25"/>
    <mergeCell ref="AF21:AL21"/>
    <mergeCell ref="AF22:AL22"/>
    <mergeCell ref="F25:F27"/>
    <mergeCell ref="H25:I27"/>
    <mergeCell ref="F1:U6"/>
    <mergeCell ref="O25:P25"/>
    <mergeCell ref="T25:U25"/>
    <mergeCell ref="AC25:AF25"/>
    <mergeCell ref="AH25:AK25"/>
    <mergeCell ref="F71:AL71"/>
  </mergeCells>
  <conditionalFormatting sqref="Y29:Y68">
    <cfRule type="cellIs" dxfId="1" priority="1" stopIfTrue="1" operator="greaterThan">
      <formula>AA29</formula>
    </cfRule>
    <cfRule type="cellIs" dxfId="0" priority="2" stopIfTrue="1" operator="lessThan">
      <formula>AA29</formula>
    </cfRule>
  </conditionalFormatting>
  <dataValidations count="2">
    <dataValidation type="list" operator="equal" sqref="B7" xr:uid="{00000000-0002-0000-0000-000000000000}">
      <formula1>"NÃO,SIM"</formula1>
      <formula2>0</formula2>
    </dataValidation>
    <dataValidation type="list" operator="equal" sqref="K29:K68" xr:uid="{00000000-0002-0000-0000-000001000000}">
      <formula1>$B$12:$D$12</formula1>
      <formula2>0</formula2>
    </dataValidation>
  </dataValidations>
  <pageMargins left="0.78749999999999998" right="0.78749999999999998" top="0.59027777777777779" bottom="0.39374999999999999" header="0.51180555555555551" footer="0.51180555555555551"/>
  <pageSetup paperSize="9" scale="78" orientation="landscape" useFirstPageNumber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HORAS EXTRAS</vt:lpstr>
      <vt:lpstr>HORAS EXTRAS!Area_de_impressao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Jadir Carlos de Sousa</dc:creator>
  <cp:lastModifiedBy/>
  <dcterms:created xsi:type="dcterms:W3CDTF">2010-08-22T18:14:52Z</dcterms:created>
  <dcterms:modified xsi:type="dcterms:W3CDTF">2018-02-09T07:46:12Z</dcterms:modified>
</cp:coreProperties>
</file>