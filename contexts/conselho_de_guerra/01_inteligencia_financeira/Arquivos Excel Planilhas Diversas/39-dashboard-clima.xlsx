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\Desktop\teste excel\FORA DO PADRÃO\76 - Clima\DASHBOARD - Clima Organizacional\"/>
    </mc:Choice>
  </mc:AlternateContent>
  <xr:revisionPtr revIDLastSave="0" documentId="13_ncr:1_{266CE922-7449-415A-8FD0-D5E270D44D8E}" xr6:coauthVersionLast="45" xr6:coauthVersionMax="45" xr10:uidLastSave="{00000000-0000-0000-0000-000000000000}"/>
  <bookViews>
    <workbookView xWindow="-120" yWindow="-120" windowWidth="24240" windowHeight="13140" activeTab="1" xr2:uid="{4EC1FF7F-A424-4DF9-8785-50776786215E}"/>
  </bookViews>
  <sheets>
    <sheet name="DASHBOARD (2)" sheetId="5" r:id="rId1"/>
    <sheet name="DASHBOARD" sheetId="1" r:id="rId2"/>
    <sheet name="AUXILIAR" sheetId="4" r:id="rId3"/>
    <sheet name="BASE" sheetId="2" r:id="rId4"/>
    <sheet name="PERGUNTAS" sheetId="3" r:id="rId5"/>
  </sheets>
  <definedNames>
    <definedName name="SegmentaçãodeDados_Perguntas">#N/A</definedName>
    <definedName name="SegmentaçãodeDados_Setor">#N/A</definedName>
  </definedNames>
  <calcPr calcId="181029" concurrentCalc="0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" i="4" l="1"/>
  <c r="AF6" i="4"/>
  <c r="AE3" i="4"/>
  <c r="AF3" i="4"/>
  <c r="AE5" i="4"/>
  <c r="AF5" i="4"/>
  <c r="AE4" i="4"/>
  <c r="AF4" i="4"/>
  <c r="AO8" i="4"/>
  <c r="AO9" i="4"/>
  <c r="AO10" i="4"/>
  <c r="AO11" i="4"/>
  <c r="AO12" i="4"/>
  <c r="AK8" i="4"/>
  <c r="AK9" i="4"/>
  <c r="AK10" i="4"/>
  <c r="AK11" i="4"/>
  <c r="AK12" i="4"/>
  <c r="AK13" i="4"/>
  <c r="AK14" i="4"/>
  <c r="AO6" i="4"/>
  <c r="AO7" i="4"/>
  <c r="AO5" i="4"/>
  <c r="AK5" i="4"/>
  <c r="AK6" i="4"/>
  <c r="AK7" i="4"/>
  <c r="AK15" i="4"/>
  <c r="AK16" i="4"/>
  <c r="AK17" i="4"/>
  <c r="AK18" i="4"/>
  <c r="AK19" i="4"/>
  <c r="Q4" i="4"/>
  <c r="N4" i="4"/>
  <c r="K4" i="4"/>
  <c r="H4" i="4"/>
  <c r="B4" i="4"/>
</calcChain>
</file>

<file path=xl/sharedStrings.xml><?xml version="1.0" encoding="utf-8"?>
<sst xmlns="http://schemas.openxmlformats.org/spreadsheetml/2006/main" count="567" uniqueCount="42">
  <si>
    <t>Colaborador</t>
  </si>
  <si>
    <t>Setor</t>
  </si>
  <si>
    <t>Perguntas</t>
  </si>
  <si>
    <t>Respostas</t>
  </si>
  <si>
    <t>Muito Insatisfeito</t>
  </si>
  <si>
    <t>Insatisfeito</t>
  </si>
  <si>
    <t>Satisfeito</t>
  </si>
  <si>
    <t>Muito Satisfeito</t>
  </si>
  <si>
    <t xml:space="preserve">Pedrinho </t>
  </si>
  <si>
    <t>Produção</t>
  </si>
  <si>
    <t>Maria</t>
  </si>
  <si>
    <t>Carlos</t>
  </si>
  <si>
    <t>Compras</t>
  </si>
  <si>
    <t>Contagem de Colaborador</t>
  </si>
  <si>
    <t>Rótulos de Linha</t>
  </si>
  <si>
    <t>Contagem de Respostas</t>
  </si>
  <si>
    <t>A-Como você se sente em relação à comunicação interna da empresa?</t>
  </si>
  <si>
    <t>B-Como você se sente em relação aos recursos materiais disponibilizados pela empresa para execução do seu trabalho?</t>
  </si>
  <si>
    <t>C-Como você se sente em relação ao ambiente de trabalho da empresa?</t>
  </si>
  <si>
    <t>D-Como você se sente em relação aos investimentos realizados pela empresa nos funcionários?</t>
  </si>
  <si>
    <t>E-Como você se sente em relação ao reconhecimento de funcionários que apresentam um bom desempenho?</t>
  </si>
  <si>
    <t>F-Como você se sente em relação à política de remuneração, benefícios e promoções da empresa?</t>
  </si>
  <si>
    <t>G-Como você se sente em relação à  sua preparação para realização do seu trabalho diário?</t>
  </si>
  <si>
    <t>H-Como você se sente em relação ao seu relacionamento profissional com os seus superiores?</t>
  </si>
  <si>
    <t>I-Como você se sente em relação ao seu relacionamento profissional com os seus colegas de trabalho?</t>
  </si>
  <si>
    <t>J-Como você se sente em relação à transparência no que se refere à tomada de decisões de seus superiores?</t>
  </si>
  <si>
    <t>K-Como você se sente em relação à sua autonomia na sugestão de novas ideias e soluções para seus superiores?</t>
  </si>
  <si>
    <t>L-Como você se sente em relação à sua remuneração (salário)?</t>
  </si>
  <si>
    <t xml:space="preserve">M-Como você se sente em relação aos benefícios que você recebe? </t>
  </si>
  <si>
    <t>N-Como você se sente em relação à sua carga horária de trabalho?</t>
  </si>
  <si>
    <t>O-Como você se sente em relação à quantidade de treinamentos que você recebe?</t>
  </si>
  <si>
    <t>P-Como você se sente em relação à qualidade de treinamentos que você recebe?</t>
  </si>
  <si>
    <t>Q-Como você se sente em relação ao reconhecimento e valorização do seu trabalho?</t>
  </si>
  <si>
    <t>R-Como você se sente em relação à  empresa de forma geral?</t>
  </si>
  <si>
    <t>Rótulos de Coluna</t>
  </si>
  <si>
    <t>Manutenção</t>
  </si>
  <si>
    <t>Lucas</t>
  </si>
  <si>
    <t>Éder</t>
  </si>
  <si>
    <t>Victor</t>
  </si>
  <si>
    <t>.</t>
  </si>
  <si>
    <t>Matheus</t>
  </si>
  <si>
    <t>Youtuber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</si>
</sst>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9" fontId="0" fillId="0" borderId="0" xfId="1" applyFont="1"/>
    <xf numFmtId="9" fontId="0" fillId="0" borderId="0" xfId="1" applyFont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2" borderId="0" xfId="0" applyFill="1"/>
    <xf numFmtId="0" fontId="3" fillId="0" borderId="0" xfId="0" applyFont="1" applyBorder="1"/>
    <xf numFmtId="0" fontId="5" fillId="0" borderId="0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Alignment="1">
      <alignment horizontal="left" vertical="center"/>
    </xf>
  </cellXfs>
  <cellStyles count="2">
    <cellStyle name="Normal" xfId="0" builtinId="0"/>
    <cellStyle name="Porcentagem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color theme="0"/>
      </font>
      <border>
        <bottom style="thin">
          <color theme="0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0"/>
      </font>
      <border>
        <bottom style="thin">
          <color theme="0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Light1 2" pivot="0" table="0" count="10" xr9:uid="{61887EE9-8354-4E4F-A85F-8C77D8B4D603}">
      <tableStyleElement type="wholeTable" dxfId="20"/>
      <tableStyleElement type="headerRow" dxfId="19"/>
    </tableStyle>
    <tableStyle name="SlicerStyleLight1 3" pivot="0" table="0" count="10" xr9:uid="{E370A525-63CB-4950-AEA5-C77EEB26B6FE}">
      <tableStyleElement type="wholeTable" dxfId="18"/>
      <tableStyleElement type="headerRow" dxfId="17"/>
    </tableStyle>
  </tableStyles>
  <colors>
    <mruColors>
      <color rgb="FFFFFF99"/>
      <color rgb="FFFFFFFF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bgColor theme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1"/>
          </font>
          <fill>
            <patternFill>
              <bgColor theme="0"/>
            </patternFill>
          </fill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FFFFFF"/>
              <bgColor theme="1"/>
            </patternFill>
          </fill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>
              <bgColor theme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1"/>
          </font>
          <fill>
            <patternFill patternType="solid">
              <fgColor theme="0"/>
              <bgColor theme="0"/>
            </patternFill>
          </fill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Ánalise</a:t>
            </a:r>
            <a:r>
              <a:rPr lang="en-US" sz="1800" b="1" i="0" baseline="0">
                <a:effectLst/>
              </a:rPr>
              <a:t> </a:t>
            </a:r>
            <a:r>
              <a:rPr lang="en-US" sz="3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Por</a:t>
            </a:r>
            <a:r>
              <a:rPr lang="en-US" sz="1800" b="1" i="0" baseline="0">
                <a:effectLst/>
              </a:rPr>
              <a:t> </a:t>
            </a:r>
            <a:r>
              <a:rPr lang="en-US" sz="3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Pergunta</a:t>
            </a:r>
            <a:endParaRPr lang="pt-BR" sz="3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43-43FA-8CB2-3FE0ED867E16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43-43FA-8CB2-3FE0ED867E1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43-43FA-8CB2-3FE0ED867E1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43-43FA-8CB2-3FE0ED867E16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743-43FA-8CB2-3FE0ED867E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AUXILIAR!$AE$3:$AE$6</c:f>
              <c:strCache>
                <c:ptCount val="4"/>
                <c:pt idx="0">
                  <c:v>Muito Satisfeito</c:v>
                </c:pt>
                <c:pt idx="1">
                  <c:v>Satisfeito</c:v>
                </c:pt>
                <c:pt idx="2">
                  <c:v>Insatisfeito</c:v>
                </c:pt>
                <c:pt idx="3">
                  <c:v>Muito Insatisfeito</c:v>
                </c:pt>
              </c:strCache>
            </c:strRef>
          </c:cat>
          <c:val>
            <c:numRef>
              <c:f>AUXILIAR!$AF$3:$AF$6</c:f>
              <c:numCache>
                <c:formatCode>General</c:formatCode>
                <c:ptCount val="4"/>
                <c:pt idx="0">
                  <c:v>32</c:v>
                </c:pt>
                <c:pt idx="1">
                  <c:v>7</c:v>
                </c:pt>
                <c:pt idx="2">
                  <c:v>12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43-43FA-8CB2-3FE0ED867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Ánalise</a:t>
            </a:r>
            <a:r>
              <a:rPr lang="en-US" sz="1800" b="1" i="0" baseline="0">
                <a:effectLst/>
              </a:rPr>
              <a:t> </a:t>
            </a:r>
            <a:r>
              <a:rPr lang="en-US" sz="3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Por</a:t>
            </a:r>
            <a:r>
              <a:rPr lang="en-US" sz="1800" b="1" i="0" baseline="0">
                <a:effectLst/>
              </a:rPr>
              <a:t> </a:t>
            </a:r>
            <a:r>
              <a:rPr lang="en-US" sz="3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Pergunta</a:t>
            </a:r>
            <a:endParaRPr lang="pt-BR" sz="3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B-4318-9188-30676F9B7617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7B-4318-9188-30676F9B761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7B-4318-9188-30676F9B761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7B-4318-9188-30676F9B7617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A7B-4318-9188-30676F9B76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AUXILIAR!$AE$3:$AE$6</c:f>
              <c:strCache>
                <c:ptCount val="4"/>
                <c:pt idx="0">
                  <c:v>Muito Satisfeito</c:v>
                </c:pt>
                <c:pt idx="1">
                  <c:v>Satisfeito</c:v>
                </c:pt>
                <c:pt idx="2">
                  <c:v>Insatisfeito</c:v>
                </c:pt>
                <c:pt idx="3">
                  <c:v>Muito Insatisfeito</c:v>
                </c:pt>
              </c:strCache>
            </c:strRef>
          </c:cat>
          <c:val>
            <c:numRef>
              <c:f>AUXILIAR!$AF$3:$AF$6</c:f>
              <c:numCache>
                <c:formatCode>General</c:formatCode>
                <c:ptCount val="4"/>
                <c:pt idx="0">
                  <c:v>32</c:v>
                </c:pt>
                <c:pt idx="1">
                  <c:v>7</c:v>
                </c:pt>
                <c:pt idx="2">
                  <c:v>12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7B-4318-9188-30676F9B7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3.png"/><Relationship Id="rId7" Type="http://schemas.openxmlformats.org/officeDocument/2006/relationships/hyperlink" Target="#DASHBOARD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3.png"/><Relationship Id="rId7" Type="http://schemas.openxmlformats.org/officeDocument/2006/relationships/hyperlink" Target="#'DASHBOARD (2)'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110539</xdr:rowOff>
    </xdr:from>
    <xdr:to>
      <xdr:col>5</xdr:col>
      <xdr:colOff>152400</xdr:colOff>
      <xdr:row>10</xdr:row>
      <xdr:rowOff>139114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F09164F6-0031-4657-8792-3B4625D3FD50}"/>
            </a:ext>
          </a:extLst>
        </xdr:cNvPr>
        <xdr:cNvGrpSpPr/>
      </xdr:nvGrpSpPr>
      <xdr:grpSpPr>
        <a:xfrm>
          <a:off x="228600" y="110539"/>
          <a:ext cx="2971800" cy="1933575"/>
          <a:chOff x="76200" y="80774"/>
          <a:chExt cx="2971800" cy="1933575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E0785242-718D-42EB-8D2C-E00782585540}"/>
              </a:ext>
            </a:extLst>
          </xdr:cNvPr>
          <xdr:cNvGrpSpPr/>
        </xdr:nvGrpSpPr>
        <xdr:grpSpPr>
          <a:xfrm>
            <a:off x="76200" y="80774"/>
            <a:ext cx="2971800" cy="1933575"/>
            <a:chOff x="104775" y="476250"/>
            <a:chExt cx="2971800" cy="19335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C02321D-FE32-428A-A6C3-34466DD60958}"/>
                </a:ext>
              </a:extLst>
            </xdr:cNvPr>
            <xdr:cNvSpPr/>
          </xdr:nvSpPr>
          <xdr:spPr>
            <a:xfrm>
              <a:off x="104775" y="476250"/>
              <a:ext cx="2971800" cy="1933575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6" name="Agrupar 5">
              <a:extLst>
                <a:ext uri="{FF2B5EF4-FFF2-40B4-BE49-F238E27FC236}">
                  <a16:creationId xmlns:a16="http://schemas.microsoft.com/office/drawing/2014/main" id="{0834DEDE-D99F-40E1-A224-8F1D9888AA36}"/>
                </a:ext>
              </a:extLst>
            </xdr:cNvPr>
            <xdr:cNvGrpSpPr/>
          </xdr:nvGrpSpPr>
          <xdr:grpSpPr>
            <a:xfrm>
              <a:off x="219075" y="647701"/>
              <a:ext cx="2838451" cy="1590673"/>
              <a:chOff x="200024" y="95251"/>
              <a:chExt cx="2838451" cy="1590673"/>
            </a:xfrm>
          </xdr:grpSpPr>
          <xdr:sp macro="" textlink="">
            <xdr:nvSpPr>
              <xdr:cNvPr id="7" name="CaixaDeTexto 6">
                <a:extLst>
                  <a:ext uri="{FF2B5EF4-FFF2-40B4-BE49-F238E27FC236}">
                    <a16:creationId xmlns:a16="http://schemas.microsoft.com/office/drawing/2014/main" id="{7DD9C833-F257-4DA4-B0BA-39C6C6B3AF49}"/>
                  </a:ext>
                </a:extLst>
              </xdr:cNvPr>
              <xdr:cNvSpPr txBox="1"/>
            </xdr:nvSpPr>
            <xdr:spPr>
              <a:xfrm>
                <a:off x="200024" y="95251"/>
                <a:ext cx="2838451" cy="60007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pt-BR" sz="1600" b="1">
                    <a:solidFill>
                      <a:schemeClr val="tx1"/>
                    </a:solidFill>
                  </a:rPr>
                  <a:t>QTDE  de Pessoas</a:t>
                </a:r>
                <a:r>
                  <a:rPr lang="pt-BR" sz="1600" b="1" baseline="0">
                    <a:solidFill>
                      <a:schemeClr val="tx1"/>
                    </a:solidFill>
                  </a:rPr>
                  <a:t> Entrevistadas</a:t>
                </a:r>
                <a:endParaRPr lang="pt-BR" sz="16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8" name="Agrupar 7">
                <a:extLst>
                  <a:ext uri="{FF2B5EF4-FFF2-40B4-BE49-F238E27FC236}">
                    <a16:creationId xmlns:a16="http://schemas.microsoft.com/office/drawing/2014/main" id="{3E98413B-5F70-4513-A0C1-C914D6E7063D}"/>
                  </a:ext>
                </a:extLst>
              </xdr:cNvPr>
              <xdr:cNvGrpSpPr/>
            </xdr:nvGrpSpPr>
            <xdr:grpSpPr>
              <a:xfrm>
                <a:off x="559592" y="733424"/>
                <a:ext cx="2119314" cy="952500"/>
                <a:chOff x="595311" y="733424"/>
                <a:chExt cx="2119314" cy="952500"/>
              </a:xfrm>
            </xdr:grpSpPr>
            <xdr:pic>
              <xdr:nvPicPr>
                <xdr:cNvPr id="9" name="Imagem 8">
                  <a:extLst>
                    <a:ext uri="{FF2B5EF4-FFF2-40B4-BE49-F238E27FC236}">
                      <a16:creationId xmlns:a16="http://schemas.microsoft.com/office/drawing/2014/main" id="{94888D73-B18B-4B00-B8E5-8EACFB15923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595311" y="733424"/>
                  <a:ext cx="952500" cy="952500"/>
                </a:xfrm>
                <a:prstGeom prst="rect">
                  <a:avLst/>
                </a:prstGeom>
              </xdr:spPr>
            </xdr:pic>
            <xdr:sp macro="" textlink="AUXILIAR!B4">
              <xdr:nvSpPr>
                <xdr:cNvPr id="10" name="CaixaDeTexto 9">
                  <a:extLst>
                    <a:ext uri="{FF2B5EF4-FFF2-40B4-BE49-F238E27FC236}">
                      <a16:creationId xmlns:a16="http://schemas.microsoft.com/office/drawing/2014/main" id="{7406B68F-A11E-4F09-9C2D-FE09EA51ADFE}"/>
                    </a:ext>
                  </a:extLst>
                </xdr:cNvPr>
                <xdr:cNvSpPr txBox="1"/>
              </xdr:nvSpPr>
              <xdr:spPr>
                <a:xfrm>
                  <a:off x="1743075" y="952499"/>
                  <a:ext cx="971550" cy="51435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129FA17C-777A-4A9B-960D-3BE9E3DFF650}" type="TxLink">
                    <a:rPr lang="en-US" sz="2400" b="1" i="0" u="none" strike="noStrike">
                      <a:solidFill>
                        <a:schemeClr val="tx1"/>
                      </a:solidFill>
                      <a:latin typeface="Calibri"/>
                    </a:rPr>
                    <a:pPr algn="ctr"/>
                    <a:t>7</a:t>
                  </a:fld>
                  <a:endParaRPr lang="pt-BR" sz="2400">
                    <a:solidFill>
                      <a:schemeClr val="tx1"/>
                    </a:solidFill>
                  </a:endParaRPr>
                </a:p>
              </xdr:txBody>
            </xdr:sp>
          </xdr:grpSp>
        </xdr:grpSp>
      </xdr:grpSp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4AB89E90-F396-4D22-8C2B-7447654C50C1}"/>
              </a:ext>
            </a:extLst>
          </xdr:cNvPr>
          <xdr:cNvCxnSpPr/>
        </xdr:nvCxnSpPr>
        <xdr:spPr>
          <a:xfrm>
            <a:off x="228600" y="209361"/>
            <a:ext cx="9525" cy="1676400"/>
          </a:xfrm>
          <a:prstGeom prst="line">
            <a:avLst/>
          </a:prstGeom>
          <a:ln w="381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321468</xdr:colOff>
      <xdr:row>0</xdr:row>
      <xdr:rowOff>110867</xdr:rowOff>
    </xdr:from>
    <xdr:to>
      <xdr:col>9</xdr:col>
      <xdr:colOff>559594</xdr:colOff>
      <xdr:row>10</xdr:row>
      <xdr:rowOff>139067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B8FB8D5A-BCC4-4B5F-AE3F-304AA99B7ED8}"/>
            </a:ext>
          </a:extLst>
        </xdr:cNvPr>
        <xdr:cNvGrpSpPr/>
      </xdr:nvGrpSpPr>
      <xdr:grpSpPr>
        <a:xfrm>
          <a:off x="3369468" y="110867"/>
          <a:ext cx="2676526" cy="1933200"/>
          <a:chOff x="3105149" y="80961"/>
          <a:chExt cx="2676526" cy="19332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FFD4D56-3DCF-44C6-A746-3ED985527A51}"/>
              </a:ext>
            </a:extLst>
          </xdr:cNvPr>
          <xdr:cNvGrpSpPr/>
        </xdr:nvGrpSpPr>
        <xdr:grpSpPr>
          <a:xfrm>
            <a:off x="3105149" y="80961"/>
            <a:ext cx="2676526" cy="1933200"/>
            <a:chOff x="3105149" y="85723"/>
            <a:chExt cx="2676526" cy="1933200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9F6AA02D-4922-45DD-BDF9-253C8BDF9376}"/>
                </a:ext>
              </a:extLst>
            </xdr:cNvPr>
            <xdr:cNvSpPr/>
          </xdr:nvSpPr>
          <xdr:spPr>
            <a:xfrm>
              <a:off x="3105149" y="85723"/>
              <a:ext cx="2676526" cy="1933200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1BB67A3E-8B59-4D7E-AEBB-EB184DEF546D}"/>
                </a:ext>
              </a:extLst>
            </xdr:cNvPr>
            <xdr:cNvGrpSpPr/>
          </xdr:nvGrpSpPr>
          <xdr:grpSpPr>
            <a:xfrm>
              <a:off x="3505200" y="317736"/>
              <a:ext cx="1876425" cy="1469174"/>
              <a:chOff x="3257550" y="233362"/>
              <a:chExt cx="1876425" cy="1469174"/>
            </a:xfrm>
          </xdr:grpSpPr>
          <xdr:sp macro="" textlink="">
            <xdr:nvSpPr>
              <xdr:cNvPr id="16" name="CaixaDeTexto 15">
                <a:extLst>
                  <a:ext uri="{FF2B5EF4-FFF2-40B4-BE49-F238E27FC236}">
                    <a16:creationId xmlns:a16="http://schemas.microsoft.com/office/drawing/2014/main" id="{44C73129-E2CB-4BB3-B4B2-66A4B20AB636}"/>
                  </a:ext>
                </a:extLst>
              </xdr:cNvPr>
              <xdr:cNvSpPr txBox="1"/>
            </xdr:nvSpPr>
            <xdr:spPr>
              <a:xfrm>
                <a:off x="3257550" y="233362"/>
                <a:ext cx="1876425" cy="5429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tx1"/>
                    </a:solidFill>
                  </a:rPr>
                  <a:t>Muito Satisfeito</a:t>
                </a:r>
              </a:p>
            </xdr:txBody>
          </xdr:sp>
          <xdr:grpSp>
            <xdr:nvGrpSpPr>
              <xdr:cNvPr id="17" name="Agrupar 16">
                <a:extLst>
                  <a:ext uri="{FF2B5EF4-FFF2-40B4-BE49-F238E27FC236}">
                    <a16:creationId xmlns:a16="http://schemas.microsoft.com/office/drawing/2014/main" id="{CA964B30-FAA6-4223-BF62-22481DE7F7D6}"/>
                  </a:ext>
                </a:extLst>
              </xdr:cNvPr>
              <xdr:cNvGrpSpPr/>
            </xdr:nvGrpSpPr>
            <xdr:grpSpPr>
              <a:xfrm>
                <a:off x="3287343" y="802536"/>
                <a:ext cx="1816838" cy="900000"/>
                <a:chOff x="3698137" y="850161"/>
                <a:chExt cx="1816838" cy="900000"/>
              </a:xfrm>
            </xdr:grpSpPr>
            <xdr:pic>
              <xdr:nvPicPr>
                <xdr:cNvPr id="18" name="Imagem 17">
                  <a:extLst>
                    <a:ext uri="{FF2B5EF4-FFF2-40B4-BE49-F238E27FC236}">
                      <a16:creationId xmlns:a16="http://schemas.microsoft.com/office/drawing/2014/main" id="{5D2E4F97-AE54-419C-A606-E923CA8B19C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 rot="10800000" flipV="1">
                  <a:off x="3698137" y="850161"/>
                  <a:ext cx="900000" cy="900000"/>
                </a:xfrm>
                <a:prstGeom prst="rect">
                  <a:avLst/>
                </a:prstGeom>
              </xdr:spPr>
            </xdr:pic>
            <xdr:sp macro="" textlink="AUXILIAR!H4">
              <xdr:nvSpPr>
                <xdr:cNvPr id="19" name="CaixaDeTexto 18">
                  <a:extLst>
                    <a:ext uri="{FF2B5EF4-FFF2-40B4-BE49-F238E27FC236}">
                      <a16:creationId xmlns:a16="http://schemas.microsoft.com/office/drawing/2014/main" id="{3021F7E2-4473-45A2-92DC-EF2C7D092AAE}"/>
                    </a:ext>
                  </a:extLst>
                </xdr:cNvPr>
                <xdr:cNvSpPr txBox="1"/>
              </xdr:nvSpPr>
              <xdr:spPr>
                <a:xfrm>
                  <a:off x="4610100" y="947736"/>
                  <a:ext cx="904875" cy="70485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D01AFECC-3BFA-4040-9C06-F28F771A908B}" type="TxLink">
                    <a:rPr lang="en-US" sz="2400" b="1" i="0" u="none" strike="noStrike">
                      <a:solidFill>
                        <a:schemeClr val="tx1"/>
                      </a:solidFill>
                      <a:latin typeface="Calibri"/>
                    </a:rPr>
                    <a:pPr algn="ctr"/>
                    <a:t>25%</a:t>
                  </a:fld>
                  <a:endParaRPr lang="pt-BR" sz="2400" b="1">
                    <a:solidFill>
                      <a:schemeClr val="tx1"/>
                    </a:solidFill>
                  </a:endParaRPr>
                </a:p>
              </xdr:txBody>
            </xdr:sp>
          </xdr:grpSp>
        </xdr:grpSp>
      </xdr:grpSp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C0768562-A1FA-4B71-96C1-F5E2C0F85A62}"/>
              </a:ext>
            </a:extLst>
          </xdr:cNvPr>
          <xdr:cNvCxnSpPr/>
        </xdr:nvCxnSpPr>
        <xdr:spPr>
          <a:xfrm>
            <a:off x="3257550" y="209361"/>
            <a:ext cx="9525" cy="1676400"/>
          </a:xfrm>
          <a:prstGeom prst="line">
            <a:avLst/>
          </a:prstGeom>
          <a:ln w="38100">
            <a:solidFill>
              <a:schemeClr val="accent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526256</xdr:colOff>
      <xdr:row>0</xdr:row>
      <xdr:rowOff>110773</xdr:rowOff>
    </xdr:from>
    <xdr:to>
      <xdr:col>19</xdr:col>
      <xdr:colOff>154782</xdr:colOff>
      <xdr:row>10</xdr:row>
      <xdr:rowOff>138973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C4FFE28-3492-4012-A8E8-AE7C387EF2B3}"/>
            </a:ext>
          </a:extLst>
        </xdr:cNvPr>
        <xdr:cNvGrpSpPr/>
      </xdr:nvGrpSpPr>
      <xdr:grpSpPr>
        <a:xfrm>
          <a:off x="9060656" y="110773"/>
          <a:ext cx="2676526" cy="1933200"/>
          <a:chOff x="8060019" y="2717005"/>
          <a:chExt cx="2676526" cy="1933200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C0D33B8D-BF16-476C-9BF1-2DF05AE84168}"/>
              </a:ext>
            </a:extLst>
          </xdr:cNvPr>
          <xdr:cNvGrpSpPr/>
        </xdr:nvGrpSpPr>
        <xdr:grpSpPr>
          <a:xfrm>
            <a:off x="8060019" y="2717005"/>
            <a:ext cx="2676526" cy="1933200"/>
            <a:chOff x="8060019" y="2717005"/>
            <a:chExt cx="2676526" cy="1933200"/>
          </a:xfrm>
        </xdr:grpSpPr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A48F836F-0543-4035-8DAA-E39BB7910F02}"/>
                </a:ext>
              </a:extLst>
            </xdr:cNvPr>
            <xdr:cNvSpPr/>
          </xdr:nvSpPr>
          <xdr:spPr>
            <a:xfrm>
              <a:off x="8060019" y="2717005"/>
              <a:ext cx="2676526" cy="1933200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F76C1C72-C983-490D-88B0-BE848892CE94}"/>
                </a:ext>
              </a:extLst>
            </xdr:cNvPr>
            <xdr:cNvGrpSpPr/>
          </xdr:nvGrpSpPr>
          <xdr:grpSpPr>
            <a:xfrm>
              <a:off x="8460482" y="2925206"/>
              <a:ext cx="1875600" cy="1516799"/>
              <a:chOff x="8529440" y="223837"/>
              <a:chExt cx="1875600" cy="1516799"/>
            </a:xfrm>
          </xdr:grpSpPr>
          <xdr:sp macro="" textlink="">
            <xdr:nvSpPr>
              <xdr:cNvPr id="25" name="CaixaDeTexto 24">
                <a:extLst>
                  <a:ext uri="{FF2B5EF4-FFF2-40B4-BE49-F238E27FC236}">
                    <a16:creationId xmlns:a16="http://schemas.microsoft.com/office/drawing/2014/main" id="{EA7A945E-1910-49C9-8927-C83AC407AD6B}"/>
                  </a:ext>
                </a:extLst>
              </xdr:cNvPr>
              <xdr:cNvSpPr txBox="1"/>
            </xdr:nvSpPr>
            <xdr:spPr>
              <a:xfrm>
                <a:off x="8529440" y="223837"/>
                <a:ext cx="1875600" cy="5429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tx1"/>
                    </a:solidFill>
                  </a:rPr>
                  <a:t>Insatisfeito</a:t>
                </a:r>
              </a:p>
            </xdr:txBody>
          </xdr:sp>
          <xdr:pic>
            <xdr:nvPicPr>
              <xdr:cNvPr id="26" name="Imagem 25">
                <a:extLst>
                  <a:ext uri="{FF2B5EF4-FFF2-40B4-BE49-F238E27FC236}">
                    <a16:creationId xmlns:a16="http://schemas.microsoft.com/office/drawing/2014/main" id="{7BFF0A4F-F53C-4089-8AB1-CBE3CF63845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545143" y="840636"/>
                <a:ext cx="900000" cy="900000"/>
              </a:xfrm>
              <a:prstGeom prst="rect">
                <a:avLst/>
              </a:prstGeom>
            </xdr:spPr>
          </xdr:pic>
          <xdr:sp macro="" textlink="AUXILIAR!N4">
            <xdr:nvSpPr>
              <xdr:cNvPr id="27" name="CaixaDeTexto 26">
                <a:extLst>
                  <a:ext uri="{FF2B5EF4-FFF2-40B4-BE49-F238E27FC236}">
                    <a16:creationId xmlns:a16="http://schemas.microsoft.com/office/drawing/2014/main" id="{CEB96B13-1C63-4EF8-8AE5-763948CDA81E}"/>
                  </a:ext>
                </a:extLst>
              </xdr:cNvPr>
              <xdr:cNvSpPr txBox="1"/>
            </xdr:nvSpPr>
            <xdr:spPr>
              <a:xfrm>
                <a:off x="9484462" y="945023"/>
                <a:ext cx="904875" cy="6912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3BDE14D9-5B14-4E21-8F3E-398F0870820E}" type="TxLink">
                  <a:rPr lang="en-US" sz="2400" b="1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10%</a:t>
                </a:fld>
                <a:endParaRPr lang="pt-BR" sz="2400" b="1">
                  <a:solidFill>
                    <a:schemeClr val="tx1"/>
                  </a:solidFill>
                </a:endParaRPr>
              </a:p>
            </xdr:txBody>
          </xdr:sp>
        </xdr:grpSp>
      </xdr:grpSp>
      <xdr:cxnSp macro="">
        <xdr:nvCxnSpPr>
          <xdr:cNvPr id="22" name="Conector reto 21">
            <a:extLst>
              <a:ext uri="{FF2B5EF4-FFF2-40B4-BE49-F238E27FC236}">
                <a16:creationId xmlns:a16="http://schemas.microsoft.com/office/drawing/2014/main" id="{5C07509B-6174-4DE2-B05B-A4B6285C4568}"/>
              </a:ext>
            </a:extLst>
          </xdr:cNvPr>
          <xdr:cNvCxnSpPr/>
        </xdr:nvCxnSpPr>
        <xdr:spPr>
          <a:xfrm>
            <a:off x="8229600" y="2845405"/>
            <a:ext cx="9525" cy="1676400"/>
          </a:xfrm>
          <a:prstGeom prst="line">
            <a:avLst/>
          </a:prstGeom>
          <a:ln w="38100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119062</xdr:colOff>
      <xdr:row>0</xdr:row>
      <xdr:rowOff>110820</xdr:rowOff>
    </xdr:from>
    <xdr:to>
      <xdr:col>14</xdr:col>
      <xdr:colOff>357188</xdr:colOff>
      <xdr:row>10</xdr:row>
      <xdr:rowOff>139020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B5C24AE6-7C0B-4B83-8E0A-73032F19FE56}"/>
            </a:ext>
          </a:extLst>
        </xdr:cNvPr>
        <xdr:cNvGrpSpPr/>
      </xdr:nvGrpSpPr>
      <xdr:grpSpPr>
        <a:xfrm>
          <a:off x="6215062" y="110820"/>
          <a:ext cx="2676526" cy="1933200"/>
          <a:chOff x="5867399" y="76198"/>
          <a:chExt cx="2676526" cy="1933200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63FB8344-0041-431F-89A1-E13AC2092FD1}"/>
              </a:ext>
            </a:extLst>
          </xdr:cNvPr>
          <xdr:cNvGrpSpPr/>
        </xdr:nvGrpSpPr>
        <xdr:grpSpPr>
          <a:xfrm>
            <a:off x="5867399" y="76198"/>
            <a:ext cx="2676526" cy="1933200"/>
            <a:chOff x="5886449" y="2266948"/>
            <a:chExt cx="2676526" cy="1933200"/>
          </a:xfrm>
        </xdr:grpSpPr>
        <xdr:sp macro="" textlink="">
          <xdr:nvSpPr>
            <xdr:cNvPr id="31" name="Retângulo: Cantos Arredondados 30">
              <a:extLst>
                <a:ext uri="{FF2B5EF4-FFF2-40B4-BE49-F238E27FC236}">
                  <a16:creationId xmlns:a16="http://schemas.microsoft.com/office/drawing/2014/main" id="{DEE9D902-23D7-4669-BC19-089FB780A9DE}"/>
                </a:ext>
              </a:extLst>
            </xdr:cNvPr>
            <xdr:cNvSpPr/>
          </xdr:nvSpPr>
          <xdr:spPr>
            <a:xfrm>
              <a:off x="5886449" y="2266948"/>
              <a:ext cx="2676526" cy="1933200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32" name="Agrupar 31">
              <a:extLst>
                <a:ext uri="{FF2B5EF4-FFF2-40B4-BE49-F238E27FC236}">
                  <a16:creationId xmlns:a16="http://schemas.microsoft.com/office/drawing/2014/main" id="{7F41AD04-BDC3-46D6-B76A-063769951513}"/>
                </a:ext>
              </a:extLst>
            </xdr:cNvPr>
            <xdr:cNvGrpSpPr/>
          </xdr:nvGrpSpPr>
          <xdr:grpSpPr>
            <a:xfrm>
              <a:off x="6259143" y="2490450"/>
              <a:ext cx="1931138" cy="1486196"/>
              <a:chOff x="5906718" y="195262"/>
              <a:chExt cx="1931138" cy="1486196"/>
            </a:xfrm>
          </xdr:grpSpPr>
          <xdr:sp macro="" textlink="">
            <xdr:nvSpPr>
              <xdr:cNvPr id="33" name="CaixaDeTexto 32">
                <a:extLst>
                  <a:ext uri="{FF2B5EF4-FFF2-40B4-BE49-F238E27FC236}">
                    <a16:creationId xmlns:a16="http://schemas.microsoft.com/office/drawing/2014/main" id="{8B93E5CA-1253-47DB-9BF2-D2B295A8EF7F}"/>
                  </a:ext>
                </a:extLst>
              </xdr:cNvPr>
              <xdr:cNvSpPr txBox="1"/>
            </xdr:nvSpPr>
            <xdr:spPr>
              <a:xfrm>
                <a:off x="5934487" y="195262"/>
                <a:ext cx="1875600" cy="53243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tx1"/>
                    </a:solidFill>
                  </a:rPr>
                  <a:t>Satisfeito</a:t>
                </a:r>
              </a:p>
            </xdr:txBody>
          </xdr:sp>
          <xdr:pic>
            <xdr:nvPicPr>
              <xdr:cNvPr id="34" name="Imagem 33">
                <a:extLst>
                  <a:ext uri="{FF2B5EF4-FFF2-40B4-BE49-F238E27FC236}">
                    <a16:creationId xmlns:a16="http://schemas.microsoft.com/office/drawing/2014/main" id="{16EBA9B5-487F-472E-9A42-5B53C24874E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5906718" y="781457"/>
                <a:ext cx="917739" cy="900001"/>
              </a:xfrm>
              <a:prstGeom prst="rect">
                <a:avLst/>
              </a:prstGeom>
            </xdr:spPr>
          </xdr:pic>
          <xdr:sp macro="" textlink="AUXILIAR!K4">
            <xdr:nvSpPr>
              <xdr:cNvPr id="35" name="CaixaDeTexto 34">
                <a:extLst>
                  <a:ext uri="{FF2B5EF4-FFF2-40B4-BE49-F238E27FC236}">
                    <a16:creationId xmlns:a16="http://schemas.microsoft.com/office/drawing/2014/main" id="{43AE2349-F504-46FD-9532-7413E76C75BB}"/>
                  </a:ext>
                </a:extLst>
              </xdr:cNvPr>
              <xdr:cNvSpPr txBox="1"/>
            </xdr:nvSpPr>
            <xdr:spPr>
              <a:xfrm>
                <a:off x="6932981" y="877146"/>
                <a:ext cx="904875" cy="6912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1C546085-8CD6-4DAA-87FA-ECD4164BB5A4}" type="TxLink">
                  <a:rPr lang="en-US" sz="2400" b="1" i="0" u="none" strike="noStrike">
                    <a:solidFill>
                      <a:schemeClr val="tx1"/>
                    </a:solidFill>
                    <a:latin typeface="Calibri"/>
                  </a:rPr>
                  <a:pPr algn="ctr"/>
                  <a:t>6%</a:t>
                </a:fld>
                <a:endParaRPr lang="pt-BR" sz="2400" b="1">
                  <a:solidFill>
                    <a:schemeClr val="tx1"/>
                  </a:solidFill>
                </a:endParaRPr>
              </a:p>
            </xdr:txBody>
          </xdr:sp>
        </xdr:grpSp>
      </xdr:grpSp>
      <xdr:cxnSp macro="">
        <xdr:nvCxnSpPr>
          <xdr:cNvPr id="30" name="Conector reto 29">
            <a:extLst>
              <a:ext uri="{FF2B5EF4-FFF2-40B4-BE49-F238E27FC236}">
                <a16:creationId xmlns:a16="http://schemas.microsoft.com/office/drawing/2014/main" id="{F54DA08A-D5C4-4E18-878C-9CF69A136C2B}"/>
              </a:ext>
            </a:extLst>
          </xdr:cNvPr>
          <xdr:cNvCxnSpPr/>
        </xdr:nvCxnSpPr>
        <xdr:spPr>
          <a:xfrm>
            <a:off x="6048375" y="204598"/>
            <a:ext cx="9525" cy="1676400"/>
          </a:xfrm>
          <a:prstGeom prst="line">
            <a:avLst/>
          </a:prstGeom>
          <a:ln w="381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323849</xdr:colOff>
      <xdr:row>0</xdr:row>
      <xdr:rowOff>110726</xdr:rowOff>
    </xdr:from>
    <xdr:to>
      <xdr:col>23</xdr:col>
      <xdr:colOff>561975</xdr:colOff>
      <xdr:row>10</xdr:row>
      <xdr:rowOff>138926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DF450C3F-1700-45D4-A104-369AC6888DE2}"/>
            </a:ext>
          </a:extLst>
        </xdr:cNvPr>
        <xdr:cNvGrpSpPr/>
      </xdr:nvGrpSpPr>
      <xdr:grpSpPr>
        <a:xfrm>
          <a:off x="11906249" y="110726"/>
          <a:ext cx="2676526" cy="1933200"/>
          <a:chOff x="11925299" y="2345530"/>
          <a:chExt cx="2676526" cy="1933200"/>
        </a:xfrm>
      </xdr:grpSpPr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FA8B8562-8395-47C0-9B98-00D28CD9C7B7}"/>
              </a:ext>
            </a:extLst>
          </xdr:cNvPr>
          <xdr:cNvGrpSpPr/>
        </xdr:nvGrpSpPr>
        <xdr:grpSpPr>
          <a:xfrm>
            <a:off x="11925299" y="2345530"/>
            <a:ext cx="2676526" cy="1933200"/>
            <a:chOff x="11925299" y="2345530"/>
            <a:chExt cx="2676526" cy="1933200"/>
          </a:xfrm>
        </xdr:grpSpPr>
        <xdr:sp macro="" textlink="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BB9DB9FA-25D2-441F-8E5B-71A44F0C832E}"/>
                </a:ext>
              </a:extLst>
            </xdr:cNvPr>
            <xdr:cNvSpPr/>
          </xdr:nvSpPr>
          <xdr:spPr>
            <a:xfrm>
              <a:off x="11925299" y="2345530"/>
              <a:ext cx="2676526" cy="1933200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40" name="Agrupar 39">
              <a:extLst>
                <a:ext uri="{FF2B5EF4-FFF2-40B4-BE49-F238E27FC236}">
                  <a16:creationId xmlns:a16="http://schemas.microsoft.com/office/drawing/2014/main" id="{A62FF8D5-6336-486D-907F-8CBB2B9CBDDD}"/>
                </a:ext>
              </a:extLst>
            </xdr:cNvPr>
            <xdr:cNvGrpSpPr/>
          </xdr:nvGrpSpPr>
          <xdr:grpSpPr>
            <a:xfrm>
              <a:off x="12318262" y="2553731"/>
              <a:ext cx="1890600" cy="1516799"/>
              <a:chOff x="12430125" y="233362"/>
              <a:chExt cx="1890600" cy="1516799"/>
            </a:xfrm>
          </xdr:grpSpPr>
          <xdr:sp macro="" textlink="">
            <xdr:nvSpPr>
              <xdr:cNvPr id="41" name="CaixaDeTexto 40">
                <a:extLst>
                  <a:ext uri="{FF2B5EF4-FFF2-40B4-BE49-F238E27FC236}">
                    <a16:creationId xmlns:a16="http://schemas.microsoft.com/office/drawing/2014/main" id="{04FDC61B-0013-4FAA-A5C9-4218E222D9FB}"/>
                  </a:ext>
                </a:extLst>
              </xdr:cNvPr>
              <xdr:cNvSpPr txBox="1"/>
            </xdr:nvSpPr>
            <xdr:spPr>
              <a:xfrm>
                <a:off x="12430125" y="233362"/>
                <a:ext cx="1875600" cy="5429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tx1"/>
                    </a:solidFill>
                  </a:rPr>
                  <a:t>Muito Insatisfeito</a:t>
                </a:r>
              </a:p>
            </xdr:txBody>
          </xdr:sp>
          <xdr:grpSp>
            <xdr:nvGrpSpPr>
              <xdr:cNvPr id="42" name="Agrupar 41">
                <a:extLst>
                  <a:ext uri="{FF2B5EF4-FFF2-40B4-BE49-F238E27FC236}">
                    <a16:creationId xmlns:a16="http://schemas.microsoft.com/office/drawing/2014/main" id="{4598CD01-5C1C-4DBB-B648-FC704A69B7B6}"/>
                  </a:ext>
                </a:extLst>
              </xdr:cNvPr>
              <xdr:cNvGrpSpPr/>
            </xdr:nvGrpSpPr>
            <xdr:grpSpPr>
              <a:xfrm>
                <a:off x="12430125" y="850161"/>
                <a:ext cx="1890600" cy="900000"/>
                <a:chOff x="12804037" y="850161"/>
                <a:chExt cx="1890600" cy="900000"/>
              </a:xfrm>
            </xdr:grpSpPr>
            <xdr:pic>
              <xdr:nvPicPr>
                <xdr:cNvPr id="43" name="Imagem 42">
                  <a:extLst>
                    <a:ext uri="{FF2B5EF4-FFF2-40B4-BE49-F238E27FC236}">
                      <a16:creationId xmlns:a16="http://schemas.microsoft.com/office/drawing/2014/main" id="{17646C4B-0229-43FD-A736-54FABF38003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804037" y="850161"/>
                  <a:ext cx="900000" cy="900000"/>
                </a:xfrm>
                <a:prstGeom prst="rect">
                  <a:avLst/>
                </a:prstGeom>
              </xdr:spPr>
            </xdr:pic>
            <xdr:sp macro="" textlink="AUXILIAR!Q4">
              <xdr:nvSpPr>
                <xdr:cNvPr id="44" name="CaixaDeTexto 43">
                  <a:extLst>
                    <a:ext uri="{FF2B5EF4-FFF2-40B4-BE49-F238E27FC236}">
                      <a16:creationId xmlns:a16="http://schemas.microsoft.com/office/drawing/2014/main" id="{6F540EAA-7260-46B3-B436-5D4EA182345C}"/>
                    </a:ext>
                  </a:extLst>
                </xdr:cNvPr>
                <xdr:cNvSpPr txBox="1"/>
              </xdr:nvSpPr>
              <xdr:spPr>
                <a:xfrm>
                  <a:off x="13789762" y="954548"/>
                  <a:ext cx="904875" cy="69122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47788099-F1D3-4FE6-B01C-5D49AE1E4D74}" type="TxLink">
                    <a:rPr lang="en-US" sz="2400" b="1" i="0" u="none" strike="noStrike">
                      <a:solidFill>
                        <a:srgbClr val="000000"/>
                      </a:solidFill>
                      <a:latin typeface="Calibri"/>
                    </a:rPr>
                    <a:pPr algn="ctr"/>
                    <a:t>60%</a:t>
                  </a:fld>
                  <a:endParaRPr lang="pt-BR" sz="2400" b="1">
                    <a:solidFill>
                      <a:schemeClr val="tx1"/>
                    </a:solidFill>
                  </a:endParaRPr>
                </a:p>
              </xdr:txBody>
            </xdr:sp>
          </xdr:grpSp>
        </xdr:grpSp>
      </xdr:grpSp>
      <xdr:cxnSp macro="">
        <xdr:nvCxnSpPr>
          <xdr:cNvPr id="38" name="Conector reto 37">
            <a:extLst>
              <a:ext uri="{FF2B5EF4-FFF2-40B4-BE49-F238E27FC236}">
                <a16:creationId xmlns:a16="http://schemas.microsoft.com/office/drawing/2014/main" id="{779F1F83-4AA6-4533-8CC3-B4174F4928F1}"/>
              </a:ext>
            </a:extLst>
          </xdr:cNvPr>
          <xdr:cNvCxnSpPr/>
        </xdr:nvCxnSpPr>
        <xdr:spPr>
          <a:xfrm>
            <a:off x="12096750" y="2473930"/>
            <a:ext cx="9525" cy="167640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223837</xdr:colOff>
      <xdr:row>11</xdr:row>
      <xdr:rowOff>9525</xdr:rowOff>
    </xdr:from>
    <xdr:to>
      <xdr:col>5</xdr:col>
      <xdr:colOff>161925</xdr:colOff>
      <xdr:row>37</xdr:row>
      <xdr:rowOff>47624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6EB227A9-6A9D-4C7D-A3A9-6EA9A0660DD3}"/>
            </a:ext>
          </a:extLst>
        </xdr:cNvPr>
        <xdr:cNvGrpSpPr/>
      </xdr:nvGrpSpPr>
      <xdr:grpSpPr>
        <a:xfrm>
          <a:off x="223837" y="2105025"/>
          <a:ext cx="2986088" cy="4991099"/>
          <a:chOff x="300037" y="2105025"/>
          <a:chExt cx="1915200" cy="4991099"/>
        </a:xfrm>
      </xdr:grpSpPr>
      <xdr:sp macro="" textlink="">
        <xdr:nvSpPr>
          <xdr:cNvPr id="46" name="Retângulo: Cantos Arredondados 45">
            <a:extLst>
              <a:ext uri="{FF2B5EF4-FFF2-40B4-BE49-F238E27FC236}">
                <a16:creationId xmlns:a16="http://schemas.microsoft.com/office/drawing/2014/main" id="{650EFE2F-F4B8-4413-BD6D-0557FDBA1CA1}"/>
              </a:ext>
            </a:extLst>
          </xdr:cNvPr>
          <xdr:cNvSpPr/>
        </xdr:nvSpPr>
        <xdr:spPr>
          <a:xfrm>
            <a:off x="300375" y="2105025"/>
            <a:ext cx="1914525" cy="4991099"/>
          </a:xfrm>
          <a:prstGeom prst="roundRect">
            <a:avLst>
              <a:gd name="adj" fmla="val 219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6F38D7D3-D53B-4221-93C2-25FF93B5B5F7}"/>
              </a:ext>
            </a:extLst>
          </xdr:cNvPr>
          <xdr:cNvSpPr txBox="1"/>
        </xdr:nvSpPr>
        <xdr:spPr>
          <a:xfrm>
            <a:off x="300037" y="2105025"/>
            <a:ext cx="1915200" cy="4571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400" b="1" u="sng">
                <a:solidFill>
                  <a:schemeClr val="tx1"/>
                </a:solidFill>
              </a:rPr>
              <a:t>FILTROS</a:t>
            </a:r>
          </a:p>
        </xdr:txBody>
      </xdr:sp>
    </xdr:grpSp>
    <xdr:clientData/>
  </xdr:twoCellAnchor>
  <xdr:twoCellAnchor>
    <xdr:from>
      <xdr:col>14</xdr:col>
      <xdr:colOff>523875</xdr:colOff>
      <xdr:row>10</xdr:row>
      <xdr:rowOff>180974</xdr:rowOff>
    </xdr:from>
    <xdr:to>
      <xdr:col>23</xdr:col>
      <xdr:colOff>581025</xdr:colOff>
      <xdr:row>37</xdr:row>
      <xdr:rowOff>27074</xdr:rowOff>
    </xdr:to>
    <xdr:sp macro="" textlink="">
      <xdr:nvSpPr>
        <xdr:cNvPr id="49" name="Retângulo: Cantos Arredondados 48">
          <a:extLst>
            <a:ext uri="{FF2B5EF4-FFF2-40B4-BE49-F238E27FC236}">
              <a16:creationId xmlns:a16="http://schemas.microsoft.com/office/drawing/2014/main" id="{EF337C0C-DF1B-47EA-95A9-A0548AB66601}"/>
            </a:ext>
          </a:extLst>
        </xdr:cNvPr>
        <xdr:cNvSpPr/>
      </xdr:nvSpPr>
      <xdr:spPr>
        <a:xfrm>
          <a:off x="9058275" y="2085974"/>
          <a:ext cx="5543550" cy="4989600"/>
        </a:xfrm>
        <a:prstGeom prst="roundRect">
          <a:avLst>
            <a:gd name="adj" fmla="val 2489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228599</xdr:colOff>
      <xdr:row>13</xdr:row>
      <xdr:rowOff>171451</xdr:rowOff>
    </xdr:from>
    <xdr:to>
      <xdr:col>5</xdr:col>
      <xdr:colOff>161925</xdr:colOff>
      <xdr:row>18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Setor 1">
              <a:extLst>
                <a:ext uri="{FF2B5EF4-FFF2-40B4-BE49-F238E27FC236}">
                  <a16:creationId xmlns:a16="http://schemas.microsoft.com/office/drawing/2014/main" id="{8C45CC77-CFDE-4195-BB1B-AE9B600960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599" y="2647951"/>
              <a:ext cx="2981326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238125</xdr:colOff>
      <xdr:row>19</xdr:row>
      <xdr:rowOff>114300</xdr:rowOff>
    </xdr:from>
    <xdr:to>
      <xdr:col>5</xdr:col>
      <xdr:colOff>142875</xdr:colOff>
      <xdr:row>36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Perguntas 1">
              <a:extLst>
                <a:ext uri="{FF2B5EF4-FFF2-40B4-BE49-F238E27FC236}">
                  <a16:creationId xmlns:a16="http://schemas.microsoft.com/office/drawing/2014/main" id="{DABFA3E2-D664-4C40-A52A-6179E560F2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gunta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3733800"/>
              <a:ext cx="2952750" cy="329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147638</xdr:colOff>
      <xdr:row>11</xdr:row>
      <xdr:rowOff>9524</xdr:rowOff>
    </xdr:from>
    <xdr:to>
      <xdr:col>22</xdr:col>
      <xdr:colOff>347663</xdr:colOff>
      <xdr:row>14</xdr:row>
      <xdr:rowOff>171449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5B19CEC1-3884-4B8B-B7F2-5E0071DB1E9B}"/>
            </a:ext>
          </a:extLst>
        </xdr:cNvPr>
        <xdr:cNvGrpSpPr/>
      </xdr:nvGrpSpPr>
      <xdr:grpSpPr>
        <a:xfrm>
          <a:off x="9901238" y="2105024"/>
          <a:ext cx="3857625" cy="733425"/>
          <a:chOff x="9820275" y="4210049"/>
          <a:chExt cx="3857625" cy="733425"/>
        </a:xfrm>
      </xdr:grpSpPr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6EA24B11-344C-4094-B0F5-8BF06EBA4D95}"/>
              </a:ext>
            </a:extLst>
          </xdr:cNvPr>
          <xdr:cNvSpPr txBox="1"/>
        </xdr:nvSpPr>
        <xdr:spPr>
          <a:xfrm>
            <a:off x="10172700" y="4210049"/>
            <a:ext cx="3505200" cy="733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u="none">
                <a:solidFill>
                  <a:schemeClr val="tx1"/>
                </a:solidFill>
                <a:uFill>
                  <a:solidFill>
                    <a:schemeClr val="accent6"/>
                  </a:solidFill>
                </a:uFill>
              </a:rPr>
              <a:t>TOP 3 -</a:t>
            </a:r>
            <a:r>
              <a:rPr lang="pt-BR" sz="1800" b="1" u="none" baseline="0">
                <a:solidFill>
                  <a:schemeClr val="tx1"/>
                </a:solidFill>
                <a:uFill>
                  <a:solidFill>
                    <a:schemeClr val="accent6"/>
                  </a:solidFill>
                </a:uFill>
              </a:rPr>
              <a:t> Perguntas Bem Avaliadas</a:t>
            </a:r>
            <a:endParaRPr lang="pt-BR" sz="1800" b="1" u="none">
              <a:solidFill>
                <a:schemeClr val="tx1"/>
              </a:solidFill>
              <a:uFill>
                <a:solidFill>
                  <a:schemeClr val="accent6"/>
                </a:solidFill>
              </a:uFill>
            </a:endParaRPr>
          </a:p>
        </xdr:txBody>
      </xdr:sp>
      <xdr:pic>
        <xdr:nvPicPr>
          <xdr:cNvPr id="57" name="Imagem 56">
            <a:extLst>
              <a:ext uri="{FF2B5EF4-FFF2-40B4-BE49-F238E27FC236}">
                <a16:creationId xmlns:a16="http://schemas.microsoft.com/office/drawing/2014/main" id="{4DBE15E8-1D7D-48B4-8C1A-347DF74E83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20275" y="4319361"/>
            <a:ext cx="514800" cy="514800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428625</xdr:colOff>
      <xdr:row>12</xdr:row>
      <xdr:rowOff>19050</xdr:rowOff>
    </xdr:from>
    <xdr:to>
      <xdr:col>23</xdr:col>
      <xdr:colOff>400050</xdr:colOff>
      <xdr:row>13</xdr:row>
      <xdr:rowOff>152400</xdr:rowOff>
    </xdr:to>
    <xdr:sp macro="" textlink="">
      <xdr:nvSpPr>
        <xdr:cNvPr id="58" name="Seta: para a Direita 5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3F9C22-0379-4943-B16A-0A5B484805C3}"/>
            </a:ext>
          </a:extLst>
        </xdr:cNvPr>
        <xdr:cNvSpPr/>
      </xdr:nvSpPr>
      <xdr:spPr>
        <a:xfrm>
          <a:off x="13839825" y="2305050"/>
          <a:ext cx="581025" cy="32385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447675</xdr:colOff>
          <xdr:row>15</xdr:row>
          <xdr:rowOff>142875</xdr:rowOff>
        </xdr:from>
        <xdr:to>
          <xdr:col>23</xdr:col>
          <xdr:colOff>47625</xdr:colOff>
          <xdr:row>35</xdr:row>
          <xdr:rowOff>152400</xdr:rowOff>
        </xdr:to>
        <xdr:pic>
          <xdr:nvPicPr>
            <xdr:cNvPr id="59" name="Imagem 58">
              <a:extLst>
                <a:ext uri="{FF2B5EF4-FFF2-40B4-BE49-F238E27FC236}">
                  <a16:creationId xmlns:a16="http://schemas.microsoft.com/office/drawing/2014/main" id="{3ACDBBC6-0975-4C7A-924B-9996030FA5B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UXILIAR!$AO$5:$AO$12" spid="_x0000_s2084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9591675" y="3000375"/>
              <a:ext cx="4476750" cy="3819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352425</xdr:colOff>
      <xdr:row>11</xdr:row>
      <xdr:rowOff>0</xdr:rowOff>
    </xdr:from>
    <xdr:to>
      <xdr:col>14</xdr:col>
      <xdr:colOff>341625</xdr:colOff>
      <xdr:row>37</xdr:row>
      <xdr:rowOff>36600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3693168D-97EC-4411-B3C8-F125418F7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110539</xdr:rowOff>
    </xdr:from>
    <xdr:to>
      <xdr:col>5</xdr:col>
      <xdr:colOff>152400</xdr:colOff>
      <xdr:row>10</xdr:row>
      <xdr:rowOff>139114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058FB036-D097-40D8-A6F2-1D4C69A495D0}"/>
            </a:ext>
          </a:extLst>
        </xdr:cNvPr>
        <xdr:cNvGrpSpPr/>
      </xdr:nvGrpSpPr>
      <xdr:grpSpPr>
        <a:xfrm>
          <a:off x="228600" y="110539"/>
          <a:ext cx="2971800" cy="1933575"/>
          <a:chOff x="76200" y="80774"/>
          <a:chExt cx="2971800" cy="1933575"/>
        </a:xfrm>
      </xdr:grpSpPr>
      <xdr:grpSp>
        <xdr:nvGrpSpPr>
          <xdr:cNvPr id="55" name="Agrupar 54">
            <a:extLst>
              <a:ext uri="{FF2B5EF4-FFF2-40B4-BE49-F238E27FC236}">
                <a16:creationId xmlns:a16="http://schemas.microsoft.com/office/drawing/2014/main" id="{D98D5E46-169D-4A31-B775-CC7047BD49EC}"/>
              </a:ext>
            </a:extLst>
          </xdr:cNvPr>
          <xdr:cNvGrpSpPr/>
        </xdr:nvGrpSpPr>
        <xdr:grpSpPr>
          <a:xfrm>
            <a:off x="76200" y="80774"/>
            <a:ext cx="2971800" cy="1933575"/>
            <a:chOff x="104775" y="476250"/>
            <a:chExt cx="2971800" cy="1933575"/>
          </a:xfrm>
        </xdr:grpSpPr>
        <xdr:sp macro="" textlink="">
          <xdr:nvSpPr>
            <xdr:cNvPr id="52" name="Retângulo: Cantos Arredondados 51">
              <a:extLst>
                <a:ext uri="{FF2B5EF4-FFF2-40B4-BE49-F238E27FC236}">
                  <a16:creationId xmlns:a16="http://schemas.microsoft.com/office/drawing/2014/main" id="{7A3900B0-816F-489A-BA91-5A27A6C35FA9}"/>
                </a:ext>
              </a:extLst>
            </xdr:cNvPr>
            <xdr:cNvSpPr/>
          </xdr:nvSpPr>
          <xdr:spPr>
            <a:xfrm>
              <a:off x="104775" y="476250"/>
              <a:ext cx="2971800" cy="1933575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6B8EDC12-B9EC-4171-9933-22236EE476F7}"/>
                </a:ext>
              </a:extLst>
            </xdr:cNvPr>
            <xdr:cNvGrpSpPr/>
          </xdr:nvGrpSpPr>
          <xdr:grpSpPr>
            <a:xfrm>
              <a:off x="219075" y="647701"/>
              <a:ext cx="2838451" cy="1590673"/>
              <a:chOff x="200024" y="95251"/>
              <a:chExt cx="2838451" cy="1590673"/>
            </a:xfrm>
          </xdr:grpSpPr>
          <xdr:sp macro="" textlink="">
            <xdr:nvSpPr>
              <xdr:cNvPr id="6" name="CaixaDeTexto 5">
                <a:extLst>
                  <a:ext uri="{FF2B5EF4-FFF2-40B4-BE49-F238E27FC236}">
                    <a16:creationId xmlns:a16="http://schemas.microsoft.com/office/drawing/2014/main" id="{4C450980-611D-4F01-B5D6-787CD45A846B}"/>
                  </a:ext>
                </a:extLst>
              </xdr:cNvPr>
              <xdr:cNvSpPr txBox="1"/>
            </xdr:nvSpPr>
            <xdr:spPr>
              <a:xfrm>
                <a:off x="200024" y="95251"/>
                <a:ext cx="2838451" cy="60007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pt-BR" sz="1600" b="1">
                    <a:solidFill>
                      <a:schemeClr val="tx1"/>
                    </a:solidFill>
                  </a:rPr>
                  <a:t>QTDE  de Pessoas</a:t>
                </a:r>
                <a:r>
                  <a:rPr lang="pt-BR" sz="1600" b="1" baseline="0">
                    <a:solidFill>
                      <a:schemeClr val="tx1"/>
                    </a:solidFill>
                  </a:rPr>
                  <a:t> Entrevistadas</a:t>
                </a:r>
                <a:endParaRPr lang="pt-BR" sz="16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9" name="Agrupar 8">
                <a:extLst>
                  <a:ext uri="{FF2B5EF4-FFF2-40B4-BE49-F238E27FC236}">
                    <a16:creationId xmlns:a16="http://schemas.microsoft.com/office/drawing/2014/main" id="{1A5422B3-379E-4A85-BF61-2A9085AFDB5D}"/>
                  </a:ext>
                </a:extLst>
              </xdr:cNvPr>
              <xdr:cNvGrpSpPr/>
            </xdr:nvGrpSpPr>
            <xdr:grpSpPr>
              <a:xfrm>
                <a:off x="559592" y="733424"/>
                <a:ext cx="2119314" cy="952500"/>
                <a:chOff x="595311" y="733424"/>
                <a:chExt cx="2119314" cy="952500"/>
              </a:xfrm>
            </xdr:grpSpPr>
            <xdr:pic>
              <xdr:nvPicPr>
                <xdr:cNvPr id="5" name="Imagem 4">
                  <a:extLst>
                    <a:ext uri="{FF2B5EF4-FFF2-40B4-BE49-F238E27FC236}">
                      <a16:creationId xmlns:a16="http://schemas.microsoft.com/office/drawing/2014/main" id="{E273984A-F405-4747-83CE-AB1804DFCC8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595311" y="733424"/>
                  <a:ext cx="952500" cy="952500"/>
                </a:xfrm>
                <a:prstGeom prst="rect">
                  <a:avLst/>
                </a:prstGeom>
              </xdr:spPr>
            </xdr:pic>
            <xdr:sp macro="" textlink="AUXILIAR!B4">
              <xdr:nvSpPr>
                <xdr:cNvPr id="8" name="CaixaDeTexto 7">
                  <a:extLst>
                    <a:ext uri="{FF2B5EF4-FFF2-40B4-BE49-F238E27FC236}">
                      <a16:creationId xmlns:a16="http://schemas.microsoft.com/office/drawing/2014/main" id="{76B3D32C-5318-4F30-AE1D-C37E380092DE}"/>
                    </a:ext>
                  </a:extLst>
                </xdr:cNvPr>
                <xdr:cNvSpPr txBox="1"/>
              </xdr:nvSpPr>
              <xdr:spPr>
                <a:xfrm>
                  <a:off x="1743075" y="952499"/>
                  <a:ext cx="971550" cy="51435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BB82B35D-4B49-4794-B91A-C9D6C4636A55}" type="TxLink">
                    <a:rPr lang="en-US" sz="2400" b="1" i="0" u="none" strike="noStrike">
                      <a:solidFill>
                        <a:srgbClr val="000000"/>
                      </a:solidFill>
                      <a:latin typeface="Calibri"/>
                    </a:rPr>
                    <a:pPr algn="ctr"/>
                    <a:t>7</a:t>
                  </a:fld>
                  <a:endParaRPr lang="pt-BR" sz="2400"/>
                </a:p>
              </xdr:txBody>
            </xdr:sp>
          </xdr:grpSp>
        </xdr:grpSp>
      </xdr:grpSp>
      <xdr:cxnSp macro="">
        <xdr:nvCxnSpPr>
          <xdr:cNvPr id="57" name="Conector reto 56">
            <a:extLst>
              <a:ext uri="{FF2B5EF4-FFF2-40B4-BE49-F238E27FC236}">
                <a16:creationId xmlns:a16="http://schemas.microsoft.com/office/drawing/2014/main" id="{C74A78B2-D464-4BD8-B754-C7394DAE5F17}"/>
              </a:ext>
            </a:extLst>
          </xdr:cNvPr>
          <xdr:cNvCxnSpPr/>
        </xdr:nvCxnSpPr>
        <xdr:spPr>
          <a:xfrm>
            <a:off x="228600" y="209361"/>
            <a:ext cx="9525" cy="1676400"/>
          </a:xfrm>
          <a:prstGeom prst="line">
            <a:avLst/>
          </a:prstGeom>
          <a:ln w="381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321468</xdr:colOff>
      <xdr:row>0</xdr:row>
      <xdr:rowOff>110867</xdr:rowOff>
    </xdr:from>
    <xdr:to>
      <xdr:col>9</xdr:col>
      <xdr:colOff>559594</xdr:colOff>
      <xdr:row>10</xdr:row>
      <xdr:rowOff>139067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C9B2075E-851A-4BFE-89A7-7E47B79BF988}"/>
            </a:ext>
          </a:extLst>
        </xdr:cNvPr>
        <xdr:cNvGrpSpPr/>
      </xdr:nvGrpSpPr>
      <xdr:grpSpPr>
        <a:xfrm>
          <a:off x="3369468" y="110867"/>
          <a:ext cx="2676526" cy="1933200"/>
          <a:chOff x="3105149" y="80961"/>
          <a:chExt cx="2676526" cy="1933200"/>
        </a:xfrm>
      </xdr:grpSpPr>
      <xdr:grpSp>
        <xdr:nvGrpSpPr>
          <xdr:cNvPr id="61" name="Agrupar 60">
            <a:extLst>
              <a:ext uri="{FF2B5EF4-FFF2-40B4-BE49-F238E27FC236}">
                <a16:creationId xmlns:a16="http://schemas.microsoft.com/office/drawing/2014/main" id="{08941FA4-4AFD-4F04-987A-C147DA3B6349}"/>
              </a:ext>
            </a:extLst>
          </xdr:cNvPr>
          <xdr:cNvGrpSpPr/>
        </xdr:nvGrpSpPr>
        <xdr:grpSpPr>
          <a:xfrm>
            <a:off x="3105149" y="80961"/>
            <a:ext cx="2676526" cy="1933200"/>
            <a:chOff x="3105149" y="85723"/>
            <a:chExt cx="2676526" cy="1933200"/>
          </a:xfrm>
        </xdr:grpSpPr>
        <xdr:sp macro="" textlink="">
          <xdr:nvSpPr>
            <xdr:cNvPr id="53" name="Retângulo: Cantos Arredondados 52">
              <a:extLst>
                <a:ext uri="{FF2B5EF4-FFF2-40B4-BE49-F238E27FC236}">
                  <a16:creationId xmlns:a16="http://schemas.microsoft.com/office/drawing/2014/main" id="{3729AD40-8CD4-41B1-8906-0666C423C7AF}"/>
                </a:ext>
              </a:extLst>
            </xdr:cNvPr>
            <xdr:cNvSpPr/>
          </xdr:nvSpPr>
          <xdr:spPr>
            <a:xfrm>
              <a:off x="3105149" y="85723"/>
              <a:ext cx="2676526" cy="1933200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41" name="Agrupar 40">
              <a:extLst>
                <a:ext uri="{FF2B5EF4-FFF2-40B4-BE49-F238E27FC236}">
                  <a16:creationId xmlns:a16="http://schemas.microsoft.com/office/drawing/2014/main" id="{DC92A42D-DA52-413E-A3A6-5DE5CE2120FF}"/>
                </a:ext>
              </a:extLst>
            </xdr:cNvPr>
            <xdr:cNvGrpSpPr/>
          </xdr:nvGrpSpPr>
          <xdr:grpSpPr>
            <a:xfrm>
              <a:off x="3505200" y="317736"/>
              <a:ext cx="1876425" cy="1469174"/>
              <a:chOff x="3257550" y="233362"/>
              <a:chExt cx="1876425" cy="1469174"/>
            </a:xfrm>
          </xdr:grpSpPr>
          <xdr:sp macro="" textlink="">
            <xdr:nvSpPr>
              <xdr:cNvPr id="26" name="CaixaDeTexto 25">
                <a:extLst>
                  <a:ext uri="{FF2B5EF4-FFF2-40B4-BE49-F238E27FC236}">
                    <a16:creationId xmlns:a16="http://schemas.microsoft.com/office/drawing/2014/main" id="{AB254F50-F9EA-4A00-8EFB-2EA253560A0A}"/>
                  </a:ext>
                </a:extLst>
              </xdr:cNvPr>
              <xdr:cNvSpPr txBox="1"/>
            </xdr:nvSpPr>
            <xdr:spPr>
              <a:xfrm>
                <a:off x="3257550" y="233362"/>
                <a:ext cx="1876425" cy="5429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tx1"/>
                    </a:solidFill>
                  </a:rPr>
                  <a:t>Muito Satisfeito</a:t>
                </a:r>
              </a:p>
            </xdr:txBody>
          </xdr:sp>
          <xdr:grpSp>
            <xdr:nvGrpSpPr>
              <xdr:cNvPr id="40" name="Agrupar 39">
                <a:extLst>
                  <a:ext uri="{FF2B5EF4-FFF2-40B4-BE49-F238E27FC236}">
                    <a16:creationId xmlns:a16="http://schemas.microsoft.com/office/drawing/2014/main" id="{5809FB65-F995-459A-AA27-DE5D1598474F}"/>
                  </a:ext>
                </a:extLst>
              </xdr:cNvPr>
              <xdr:cNvGrpSpPr/>
            </xdr:nvGrpSpPr>
            <xdr:grpSpPr>
              <a:xfrm>
                <a:off x="3287343" y="802536"/>
                <a:ext cx="1816838" cy="900000"/>
                <a:chOff x="3698137" y="850161"/>
                <a:chExt cx="1816838" cy="900000"/>
              </a:xfrm>
            </xdr:grpSpPr>
            <xdr:pic>
              <xdr:nvPicPr>
                <xdr:cNvPr id="19" name="Imagem 18">
                  <a:extLst>
                    <a:ext uri="{FF2B5EF4-FFF2-40B4-BE49-F238E27FC236}">
                      <a16:creationId xmlns:a16="http://schemas.microsoft.com/office/drawing/2014/main" id="{A55D7A48-6D7A-4797-BE3F-5B9D6AE40E3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 rot="10800000" flipV="1">
                  <a:off x="3698137" y="850161"/>
                  <a:ext cx="900000" cy="900000"/>
                </a:xfrm>
                <a:prstGeom prst="rect">
                  <a:avLst/>
                </a:prstGeom>
              </xdr:spPr>
            </xdr:pic>
            <xdr:sp macro="" textlink="AUXILIAR!H4">
              <xdr:nvSpPr>
                <xdr:cNvPr id="37" name="CaixaDeTexto 36">
                  <a:extLst>
                    <a:ext uri="{FF2B5EF4-FFF2-40B4-BE49-F238E27FC236}">
                      <a16:creationId xmlns:a16="http://schemas.microsoft.com/office/drawing/2014/main" id="{446FE052-6C3D-4F4A-AEC2-F91C21AB30B6}"/>
                    </a:ext>
                  </a:extLst>
                </xdr:cNvPr>
                <xdr:cNvSpPr txBox="1"/>
              </xdr:nvSpPr>
              <xdr:spPr>
                <a:xfrm>
                  <a:off x="4610100" y="947736"/>
                  <a:ext cx="904875" cy="70485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32E50DEA-2FD1-40D2-AED8-E8D6EC1F2A5A}" type="TxLink">
                    <a:rPr lang="en-US" sz="2400" b="1" i="0" u="none" strike="noStrike">
                      <a:solidFill>
                        <a:schemeClr val="tx1"/>
                      </a:solidFill>
                      <a:latin typeface="Calibri"/>
                    </a:rPr>
                    <a:pPr algn="ctr"/>
                    <a:t>25%</a:t>
                  </a:fld>
                  <a:endParaRPr lang="pt-BR" sz="2400" b="1">
                    <a:solidFill>
                      <a:schemeClr val="tx1"/>
                    </a:solidFill>
                  </a:endParaRPr>
                </a:p>
              </xdr:txBody>
            </xdr:sp>
          </xdr:grpSp>
        </xdr:grpSp>
      </xdr:grpSp>
      <xdr:cxnSp macro="">
        <xdr:nvCxnSpPr>
          <xdr:cNvPr id="62" name="Conector reto 61">
            <a:extLst>
              <a:ext uri="{FF2B5EF4-FFF2-40B4-BE49-F238E27FC236}">
                <a16:creationId xmlns:a16="http://schemas.microsoft.com/office/drawing/2014/main" id="{FAD0D136-284E-4542-8E3D-2F782F65B1BB}"/>
              </a:ext>
            </a:extLst>
          </xdr:cNvPr>
          <xdr:cNvCxnSpPr/>
        </xdr:nvCxnSpPr>
        <xdr:spPr>
          <a:xfrm>
            <a:off x="3257550" y="209361"/>
            <a:ext cx="9525" cy="1676400"/>
          </a:xfrm>
          <a:prstGeom prst="line">
            <a:avLst/>
          </a:prstGeom>
          <a:ln w="38100">
            <a:solidFill>
              <a:schemeClr val="accent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526256</xdr:colOff>
      <xdr:row>0</xdr:row>
      <xdr:rowOff>110773</xdr:rowOff>
    </xdr:from>
    <xdr:to>
      <xdr:col>19</xdr:col>
      <xdr:colOff>154782</xdr:colOff>
      <xdr:row>10</xdr:row>
      <xdr:rowOff>138973</xdr:rowOff>
    </xdr:to>
    <xdr:grpSp>
      <xdr:nvGrpSpPr>
        <xdr:cNvPr id="80" name="Agrupar 79">
          <a:extLst>
            <a:ext uri="{FF2B5EF4-FFF2-40B4-BE49-F238E27FC236}">
              <a16:creationId xmlns:a16="http://schemas.microsoft.com/office/drawing/2014/main" id="{E21AA63F-05DA-49FE-A2A3-A5E706712527}"/>
            </a:ext>
          </a:extLst>
        </xdr:cNvPr>
        <xdr:cNvGrpSpPr/>
      </xdr:nvGrpSpPr>
      <xdr:grpSpPr>
        <a:xfrm>
          <a:off x="9060656" y="110773"/>
          <a:ext cx="2676526" cy="1933200"/>
          <a:chOff x="8060019" y="2717005"/>
          <a:chExt cx="2676526" cy="1933200"/>
        </a:xfrm>
      </xdr:grpSpPr>
      <xdr:grpSp>
        <xdr:nvGrpSpPr>
          <xdr:cNvPr id="71" name="Agrupar 70">
            <a:extLst>
              <a:ext uri="{FF2B5EF4-FFF2-40B4-BE49-F238E27FC236}">
                <a16:creationId xmlns:a16="http://schemas.microsoft.com/office/drawing/2014/main" id="{DF237A34-5752-4DAE-9939-8002349DD09C}"/>
              </a:ext>
            </a:extLst>
          </xdr:cNvPr>
          <xdr:cNvGrpSpPr/>
        </xdr:nvGrpSpPr>
        <xdr:grpSpPr>
          <a:xfrm>
            <a:off x="8060019" y="2717005"/>
            <a:ext cx="2676526" cy="1933200"/>
            <a:chOff x="8060019" y="2717005"/>
            <a:chExt cx="2676526" cy="1933200"/>
          </a:xfrm>
        </xdr:grpSpPr>
        <xdr:sp macro="" textlink="">
          <xdr:nvSpPr>
            <xdr:cNvPr id="70" name="Retângulo: Cantos Arredondados 69">
              <a:extLst>
                <a:ext uri="{FF2B5EF4-FFF2-40B4-BE49-F238E27FC236}">
                  <a16:creationId xmlns:a16="http://schemas.microsoft.com/office/drawing/2014/main" id="{33F87C18-72EE-4323-A2C6-B3844BF3223F}"/>
                </a:ext>
              </a:extLst>
            </xdr:cNvPr>
            <xdr:cNvSpPr/>
          </xdr:nvSpPr>
          <xdr:spPr>
            <a:xfrm>
              <a:off x="8060019" y="2717005"/>
              <a:ext cx="2676526" cy="1933200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49" name="Agrupar 48">
              <a:extLst>
                <a:ext uri="{FF2B5EF4-FFF2-40B4-BE49-F238E27FC236}">
                  <a16:creationId xmlns:a16="http://schemas.microsoft.com/office/drawing/2014/main" id="{EB2FDB0F-C14A-45D0-8931-49222C4517FF}"/>
                </a:ext>
              </a:extLst>
            </xdr:cNvPr>
            <xdr:cNvGrpSpPr/>
          </xdr:nvGrpSpPr>
          <xdr:grpSpPr>
            <a:xfrm>
              <a:off x="8460482" y="2925206"/>
              <a:ext cx="1875600" cy="1516799"/>
              <a:chOff x="8529440" y="223837"/>
              <a:chExt cx="1875600" cy="1516799"/>
            </a:xfrm>
          </xdr:grpSpPr>
          <xdr:sp macro="" textlink="">
            <xdr:nvSpPr>
              <xdr:cNvPr id="28" name="CaixaDeTexto 27">
                <a:extLst>
                  <a:ext uri="{FF2B5EF4-FFF2-40B4-BE49-F238E27FC236}">
                    <a16:creationId xmlns:a16="http://schemas.microsoft.com/office/drawing/2014/main" id="{4351D093-24F6-4705-908C-36216B1E3CE3}"/>
                  </a:ext>
                </a:extLst>
              </xdr:cNvPr>
              <xdr:cNvSpPr txBox="1"/>
            </xdr:nvSpPr>
            <xdr:spPr>
              <a:xfrm>
                <a:off x="8529440" y="223837"/>
                <a:ext cx="1875600" cy="5429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tx1"/>
                    </a:solidFill>
                  </a:rPr>
                  <a:t>Insatisfeito</a:t>
                </a:r>
              </a:p>
            </xdr:txBody>
          </xdr:sp>
          <xdr:pic>
            <xdr:nvPicPr>
              <xdr:cNvPr id="23" name="Imagem 22">
                <a:extLst>
                  <a:ext uri="{FF2B5EF4-FFF2-40B4-BE49-F238E27FC236}">
                    <a16:creationId xmlns:a16="http://schemas.microsoft.com/office/drawing/2014/main" id="{D2903078-5743-4BBA-80E7-23FDCC14ED9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545143" y="840636"/>
                <a:ext cx="900000" cy="900000"/>
              </a:xfrm>
              <a:prstGeom prst="rect">
                <a:avLst/>
              </a:prstGeom>
            </xdr:spPr>
          </xdr:pic>
          <xdr:sp macro="" textlink="AUXILIAR!N4">
            <xdr:nvSpPr>
              <xdr:cNvPr id="44" name="CaixaDeTexto 43">
                <a:extLst>
                  <a:ext uri="{FF2B5EF4-FFF2-40B4-BE49-F238E27FC236}">
                    <a16:creationId xmlns:a16="http://schemas.microsoft.com/office/drawing/2014/main" id="{D4274AFF-A8C3-49EA-97F0-9D0DE14F6F85}"/>
                  </a:ext>
                </a:extLst>
              </xdr:cNvPr>
              <xdr:cNvSpPr txBox="1"/>
            </xdr:nvSpPr>
            <xdr:spPr>
              <a:xfrm>
                <a:off x="9484462" y="945023"/>
                <a:ext cx="904875" cy="6912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646AF1B5-6C6B-4651-9E73-B004F1D7BA6D}" type="TxLink">
                  <a:rPr lang="en-US" sz="2400" b="1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10%</a:t>
                </a:fld>
                <a:endParaRPr lang="pt-BR" sz="2400" b="1">
                  <a:solidFill>
                    <a:schemeClr val="tx1"/>
                  </a:solidFill>
                </a:endParaRPr>
              </a:p>
            </xdr:txBody>
          </xdr:sp>
        </xdr:grpSp>
      </xdr:grpSp>
      <xdr:cxnSp macro="">
        <xdr:nvCxnSpPr>
          <xdr:cNvPr id="64" name="Conector reto 63">
            <a:extLst>
              <a:ext uri="{FF2B5EF4-FFF2-40B4-BE49-F238E27FC236}">
                <a16:creationId xmlns:a16="http://schemas.microsoft.com/office/drawing/2014/main" id="{76712AD4-595F-49A4-A772-A96C9501A598}"/>
              </a:ext>
            </a:extLst>
          </xdr:cNvPr>
          <xdr:cNvCxnSpPr/>
        </xdr:nvCxnSpPr>
        <xdr:spPr>
          <a:xfrm>
            <a:off x="8229600" y="2845405"/>
            <a:ext cx="9525" cy="1676400"/>
          </a:xfrm>
          <a:prstGeom prst="line">
            <a:avLst/>
          </a:prstGeom>
          <a:ln w="38100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119062</xdr:colOff>
      <xdr:row>0</xdr:row>
      <xdr:rowOff>110820</xdr:rowOff>
    </xdr:from>
    <xdr:to>
      <xdr:col>14</xdr:col>
      <xdr:colOff>357188</xdr:colOff>
      <xdr:row>10</xdr:row>
      <xdr:rowOff>139020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B05F003B-54B3-4ACA-BD5F-61B6C68505F6}"/>
            </a:ext>
          </a:extLst>
        </xdr:cNvPr>
        <xdr:cNvGrpSpPr/>
      </xdr:nvGrpSpPr>
      <xdr:grpSpPr>
        <a:xfrm>
          <a:off x="6215062" y="110820"/>
          <a:ext cx="2676526" cy="1933200"/>
          <a:chOff x="5867399" y="76198"/>
          <a:chExt cx="2676526" cy="1933200"/>
        </a:xfrm>
      </xdr:grpSpPr>
      <xdr:grpSp>
        <xdr:nvGrpSpPr>
          <xdr:cNvPr id="68" name="Agrupar 67">
            <a:extLst>
              <a:ext uri="{FF2B5EF4-FFF2-40B4-BE49-F238E27FC236}">
                <a16:creationId xmlns:a16="http://schemas.microsoft.com/office/drawing/2014/main" id="{80B19892-F50A-45EA-BC90-BC49753A27C9}"/>
              </a:ext>
            </a:extLst>
          </xdr:cNvPr>
          <xdr:cNvGrpSpPr/>
        </xdr:nvGrpSpPr>
        <xdr:grpSpPr>
          <a:xfrm>
            <a:off x="5867399" y="76198"/>
            <a:ext cx="2676526" cy="1933200"/>
            <a:chOff x="5886449" y="2266948"/>
            <a:chExt cx="2676526" cy="1933200"/>
          </a:xfrm>
        </xdr:grpSpPr>
        <xdr:sp macro="" textlink="">
          <xdr:nvSpPr>
            <xdr:cNvPr id="60" name="Retângulo: Cantos Arredondados 59">
              <a:extLst>
                <a:ext uri="{FF2B5EF4-FFF2-40B4-BE49-F238E27FC236}">
                  <a16:creationId xmlns:a16="http://schemas.microsoft.com/office/drawing/2014/main" id="{E9C88949-3D82-4670-BBE1-CD9A525EED4F}"/>
                </a:ext>
              </a:extLst>
            </xdr:cNvPr>
            <xdr:cNvSpPr/>
          </xdr:nvSpPr>
          <xdr:spPr>
            <a:xfrm>
              <a:off x="5886449" y="2266948"/>
              <a:ext cx="2676526" cy="1933200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45" name="Agrupar 44">
              <a:extLst>
                <a:ext uri="{FF2B5EF4-FFF2-40B4-BE49-F238E27FC236}">
                  <a16:creationId xmlns:a16="http://schemas.microsoft.com/office/drawing/2014/main" id="{ADBD621C-182E-439D-BFD8-527E45F675B5}"/>
                </a:ext>
              </a:extLst>
            </xdr:cNvPr>
            <xdr:cNvGrpSpPr/>
          </xdr:nvGrpSpPr>
          <xdr:grpSpPr>
            <a:xfrm>
              <a:off x="6259143" y="2490450"/>
              <a:ext cx="1931138" cy="1486196"/>
              <a:chOff x="5906718" y="195262"/>
              <a:chExt cx="1931138" cy="1486196"/>
            </a:xfrm>
          </xdr:grpSpPr>
          <xdr:sp macro="" textlink="">
            <xdr:nvSpPr>
              <xdr:cNvPr id="27" name="CaixaDeTexto 26">
                <a:extLst>
                  <a:ext uri="{FF2B5EF4-FFF2-40B4-BE49-F238E27FC236}">
                    <a16:creationId xmlns:a16="http://schemas.microsoft.com/office/drawing/2014/main" id="{225DD352-F007-4646-96AD-C8727C731169}"/>
                  </a:ext>
                </a:extLst>
              </xdr:cNvPr>
              <xdr:cNvSpPr txBox="1"/>
            </xdr:nvSpPr>
            <xdr:spPr>
              <a:xfrm>
                <a:off x="5934487" y="195262"/>
                <a:ext cx="1875600" cy="53243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tx1"/>
                    </a:solidFill>
                  </a:rPr>
                  <a:t>Satisfeito</a:t>
                </a:r>
              </a:p>
            </xdr:txBody>
          </xdr:sp>
          <xdr:pic>
            <xdr:nvPicPr>
              <xdr:cNvPr id="21" name="Imagem 20">
                <a:extLst>
                  <a:ext uri="{FF2B5EF4-FFF2-40B4-BE49-F238E27FC236}">
                    <a16:creationId xmlns:a16="http://schemas.microsoft.com/office/drawing/2014/main" id="{2C7E941F-759D-423F-B105-B37D5D2FC8E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5906718" y="781457"/>
                <a:ext cx="917739" cy="900001"/>
              </a:xfrm>
              <a:prstGeom prst="rect">
                <a:avLst/>
              </a:prstGeom>
            </xdr:spPr>
          </xdr:pic>
          <xdr:sp macro="" textlink="AUXILIAR!K4">
            <xdr:nvSpPr>
              <xdr:cNvPr id="38" name="CaixaDeTexto 37">
                <a:extLst>
                  <a:ext uri="{FF2B5EF4-FFF2-40B4-BE49-F238E27FC236}">
                    <a16:creationId xmlns:a16="http://schemas.microsoft.com/office/drawing/2014/main" id="{E5C0DE53-7B0F-4A7B-BE0D-3C7F681CDC7A}"/>
                  </a:ext>
                </a:extLst>
              </xdr:cNvPr>
              <xdr:cNvSpPr txBox="1"/>
            </xdr:nvSpPr>
            <xdr:spPr>
              <a:xfrm>
                <a:off x="6932981" y="877146"/>
                <a:ext cx="904875" cy="6912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8F811DEC-0AF5-43A5-89CC-0717936226F6}" type="TxLink">
                  <a:rPr lang="en-US" sz="2400" b="1" i="0" u="none" strike="noStrike">
                    <a:solidFill>
                      <a:schemeClr val="tx1"/>
                    </a:solidFill>
                    <a:latin typeface="Calibri"/>
                  </a:rPr>
                  <a:pPr algn="ctr"/>
                  <a:t>6%</a:t>
                </a:fld>
                <a:endParaRPr lang="pt-BR" sz="2400" b="1">
                  <a:solidFill>
                    <a:schemeClr val="tx1"/>
                  </a:solidFill>
                </a:endParaRPr>
              </a:p>
            </xdr:txBody>
          </xdr:sp>
        </xdr:grpSp>
      </xdr:grpSp>
      <xdr:cxnSp macro="">
        <xdr:nvCxnSpPr>
          <xdr:cNvPr id="65" name="Conector reto 64">
            <a:extLst>
              <a:ext uri="{FF2B5EF4-FFF2-40B4-BE49-F238E27FC236}">
                <a16:creationId xmlns:a16="http://schemas.microsoft.com/office/drawing/2014/main" id="{AABB6BCD-C779-4A0A-A540-28A6B77518E7}"/>
              </a:ext>
            </a:extLst>
          </xdr:cNvPr>
          <xdr:cNvCxnSpPr/>
        </xdr:nvCxnSpPr>
        <xdr:spPr>
          <a:xfrm>
            <a:off x="6048375" y="204598"/>
            <a:ext cx="9525" cy="1676400"/>
          </a:xfrm>
          <a:prstGeom prst="line">
            <a:avLst/>
          </a:prstGeom>
          <a:ln w="381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323849</xdr:colOff>
      <xdr:row>0</xdr:row>
      <xdr:rowOff>110726</xdr:rowOff>
    </xdr:from>
    <xdr:to>
      <xdr:col>23</xdr:col>
      <xdr:colOff>561975</xdr:colOff>
      <xdr:row>10</xdr:row>
      <xdr:rowOff>138926</xdr:rowOff>
    </xdr:to>
    <xdr:grpSp>
      <xdr:nvGrpSpPr>
        <xdr:cNvPr id="82" name="Agrupar 81">
          <a:extLst>
            <a:ext uri="{FF2B5EF4-FFF2-40B4-BE49-F238E27FC236}">
              <a16:creationId xmlns:a16="http://schemas.microsoft.com/office/drawing/2014/main" id="{211AC82F-CC7D-42BE-9AB7-B5EA2697E961}"/>
            </a:ext>
          </a:extLst>
        </xdr:cNvPr>
        <xdr:cNvGrpSpPr/>
      </xdr:nvGrpSpPr>
      <xdr:grpSpPr>
        <a:xfrm>
          <a:off x="11906249" y="110726"/>
          <a:ext cx="2676526" cy="1933200"/>
          <a:chOff x="11925299" y="2345530"/>
          <a:chExt cx="2676526" cy="1933200"/>
        </a:xfrm>
      </xdr:grpSpPr>
      <xdr:grpSp>
        <xdr:nvGrpSpPr>
          <xdr:cNvPr id="81" name="Agrupar 80">
            <a:extLst>
              <a:ext uri="{FF2B5EF4-FFF2-40B4-BE49-F238E27FC236}">
                <a16:creationId xmlns:a16="http://schemas.microsoft.com/office/drawing/2014/main" id="{942D2243-0A56-439D-8EF9-3A53A2795E24}"/>
              </a:ext>
            </a:extLst>
          </xdr:cNvPr>
          <xdr:cNvGrpSpPr/>
        </xdr:nvGrpSpPr>
        <xdr:grpSpPr>
          <a:xfrm>
            <a:off x="11925299" y="2345530"/>
            <a:ext cx="2676526" cy="1933200"/>
            <a:chOff x="11925299" y="2345530"/>
            <a:chExt cx="2676526" cy="1933200"/>
          </a:xfrm>
        </xdr:grpSpPr>
        <xdr:sp macro="" textlink="">
          <xdr:nvSpPr>
            <xdr:cNvPr id="67" name="Retângulo: Cantos Arredondados 66">
              <a:extLst>
                <a:ext uri="{FF2B5EF4-FFF2-40B4-BE49-F238E27FC236}">
                  <a16:creationId xmlns:a16="http://schemas.microsoft.com/office/drawing/2014/main" id="{EFBF01E8-978F-4D27-8989-226746B42287}"/>
                </a:ext>
              </a:extLst>
            </xdr:cNvPr>
            <xdr:cNvSpPr/>
          </xdr:nvSpPr>
          <xdr:spPr>
            <a:xfrm>
              <a:off x="11925299" y="2345530"/>
              <a:ext cx="2676526" cy="1933200"/>
            </a:xfrm>
            <a:prstGeom prst="roundRect">
              <a:avLst>
                <a:gd name="adj" fmla="val 405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51" name="Agrupar 50">
              <a:extLst>
                <a:ext uri="{FF2B5EF4-FFF2-40B4-BE49-F238E27FC236}">
                  <a16:creationId xmlns:a16="http://schemas.microsoft.com/office/drawing/2014/main" id="{955BC64C-7785-4913-9FBE-DF739323C89A}"/>
                </a:ext>
              </a:extLst>
            </xdr:cNvPr>
            <xdr:cNvGrpSpPr/>
          </xdr:nvGrpSpPr>
          <xdr:grpSpPr>
            <a:xfrm>
              <a:off x="12318262" y="2553731"/>
              <a:ext cx="1890600" cy="1516799"/>
              <a:chOff x="12430125" y="233362"/>
              <a:chExt cx="1890600" cy="1516799"/>
            </a:xfrm>
          </xdr:grpSpPr>
          <xdr:sp macro="" textlink="">
            <xdr:nvSpPr>
              <xdr:cNvPr id="29" name="CaixaDeTexto 28">
                <a:extLst>
                  <a:ext uri="{FF2B5EF4-FFF2-40B4-BE49-F238E27FC236}">
                    <a16:creationId xmlns:a16="http://schemas.microsoft.com/office/drawing/2014/main" id="{DA08D524-4F97-491D-9791-8F4ECC1E081B}"/>
                  </a:ext>
                </a:extLst>
              </xdr:cNvPr>
              <xdr:cNvSpPr txBox="1"/>
            </xdr:nvSpPr>
            <xdr:spPr>
              <a:xfrm>
                <a:off x="12430125" y="233362"/>
                <a:ext cx="1875600" cy="5429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tx1"/>
                    </a:solidFill>
                  </a:rPr>
                  <a:t>Muito Insatisfeito</a:t>
                </a:r>
              </a:p>
            </xdr:txBody>
          </xdr:sp>
          <xdr:grpSp>
            <xdr:nvGrpSpPr>
              <xdr:cNvPr id="50" name="Agrupar 49">
                <a:extLst>
                  <a:ext uri="{FF2B5EF4-FFF2-40B4-BE49-F238E27FC236}">
                    <a16:creationId xmlns:a16="http://schemas.microsoft.com/office/drawing/2014/main" id="{28BB16A7-3203-4EB0-A0FA-8BCCBB8BC8CF}"/>
                  </a:ext>
                </a:extLst>
              </xdr:cNvPr>
              <xdr:cNvGrpSpPr/>
            </xdr:nvGrpSpPr>
            <xdr:grpSpPr>
              <a:xfrm>
                <a:off x="12430125" y="850161"/>
                <a:ext cx="1890600" cy="900000"/>
                <a:chOff x="12804037" y="850161"/>
                <a:chExt cx="1890600" cy="900000"/>
              </a:xfrm>
            </xdr:grpSpPr>
            <xdr:pic>
              <xdr:nvPicPr>
                <xdr:cNvPr id="25" name="Imagem 24">
                  <a:extLst>
                    <a:ext uri="{FF2B5EF4-FFF2-40B4-BE49-F238E27FC236}">
                      <a16:creationId xmlns:a16="http://schemas.microsoft.com/office/drawing/2014/main" id="{CB53521A-B6CB-437C-B845-6745149C424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804037" y="850161"/>
                  <a:ext cx="900000" cy="900000"/>
                </a:xfrm>
                <a:prstGeom prst="rect">
                  <a:avLst/>
                </a:prstGeom>
              </xdr:spPr>
            </xdr:pic>
            <xdr:sp macro="" textlink="AUXILIAR!Q4">
              <xdr:nvSpPr>
                <xdr:cNvPr id="48" name="CaixaDeTexto 47">
                  <a:extLst>
                    <a:ext uri="{FF2B5EF4-FFF2-40B4-BE49-F238E27FC236}">
                      <a16:creationId xmlns:a16="http://schemas.microsoft.com/office/drawing/2014/main" id="{C8971C4A-3E88-4487-BF91-6773A7AC1CD9}"/>
                    </a:ext>
                  </a:extLst>
                </xdr:cNvPr>
                <xdr:cNvSpPr txBox="1"/>
              </xdr:nvSpPr>
              <xdr:spPr>
                <a:xfrm>
                  <a:off x="13789762" y="954548"/>
                  <a:ext cx="904875" cy="69122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0C6BE75E-0E51-4987-8CC3-DC17CC96A91C}" type="TxLink">
                    <a:rPr lang="en-US" sz="2400" b="1" i="0" u="none" strike="noStrike">
                      <a:solidFill>
                        <a:schemeClr val="tx1"/>
                      </a:solidFill>
                      <a:latin typeface="Calibri"/>
                    </a:rPr>
                    <a:pPr algn="ctr"/>
                    <a:t>60%</a:t>
                  </a:fld>
                  <a:endParaRPr lang="pt-BR" sz="2400" b="1">
                    <a:solidFill>
                      <a:schemeClr val="tx1"/>
                    </a:solidFill>
                  </a:endParaRPr>
                </a:p>
              </xdr:txBody>
            </xdr:sp>
          </xdr:grpSp>
        </xdr:grpSp>
      </xdr:grpSp>
      <xdr:cxnSp macro="">
        <xdr:nvCxnSpPr>
          <xdr:cNvPr id="79" name="Conector reto 78">
            <a:extLst>
              <a:ext uri="{FF2B5EF4-FFF2-40B4-BE49-F238E27FC236}">
                <a16:creationId xmlns:a16="http://schemas.microsoft.com/office/drawing/2014/main" id="{840EF028-61A4-4C1C-9D4F-9C2855BEB0A2}"/>
              </a:ext>
            </a:extLst>
          </xdr:cNvPr>
          <xdr:cNvCxnSpPr/>
        </xdr:nvCxnSpPr>
        <xdr:spPr>
          <a:xfrm>
            <a:off x="12096750" y="2473930"/>
            <a:ext cx="9525" cy="167640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223837</xdr:colOff>
      <xdr:row>11</xdr:row>
      <xdr:rowOff>9525</xdr:rowOff>
    </xdr:from>
    <xdr:to>
      <xdr:col>5</xdr:col>
      <xdr:colOff>161925</xdr:colOff>
      <xdr:row>37</xdr:row>
      <xdr:rowOff>47624</xdr:rowOff>
    </xdr:to>
    <xdr:grpSp>
      <xdr:nvGrpSpPr>
        <xdr:cNvPr id="85" name="Agrupar 84">
          <a:extLst>
            <a:ext uri="{FF2B5EF4-FFF2-40B4-BE49-F238E27FC236}">
              <a16:creationId xmlns:a16="http://schemas.microsoft.com/office/drawing/2014/main" id="{EDBFFE57-13A9-4BEC-A961-CC7D39B69C8F}"/>
            </a:ext>
          </a:extLst>
        </xdr:cNvPr>
        <xdr:cNvGrpSpPr/>
      </xdr:nvGrpSpPr>
      <xdr:grpSpPr>
        <a:xfrm>
          <a:off x="223837" y="2105025"/>
          <a:ext cx="2986088" cy="4991099"/>
          <a:chOff x="300037" y="2105025"/>
          <a:chExt cx="1915200" cy="4991099"/>
        </a:xfrm>
      </xdr:grpSpPr>
      <xdr:sp macro="" textlink="">
        <xdr:nvSpPr>
          <xdr:cNvPr id="83" name="Retângulo: Cantos Arredondados 82">
            <a:extLst>
              <a:ext uri="{FF2B5EF4-FFF2-40B4-BE49-F238E27FC236}">
                <a16:creationId xmlns:a16="http://schemas.microsoft.com/office/drawing/2014/main" id="{836AB667-94B6-4B94-BA93-614C70DC2AEB}"/>
              </a:ext>
            </a:extLst>
          </xdr:cNvPr>
          <xdr:cNvSpPr/>
        </xdr:nvSpPr>
        <xdr:spPr>
          <a:xfrm>
            <a:off x="300375" y="2105025"/>
            <a:ext cx="1914525" cy="4991099"/>
          </a:xfrm>
          <a:prstGeom prst="roundRect">
            <a:avLst>
              <a:gd name="adj" fmla="val 219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4" name="CaixaDeTexto 83">
            <a:extLst>
              <a:ext uri="{FF2B5EF4-FFF2-40B4-BE49-F238E27FC236}">
                <a16:creationId xmlns:a16="http://schemas.microsoft.com/office/drawing/2014/main" id="{7E3896C8-7316-4A85-A319-208E9300D778}"/>
              </a:ext>
            </a:extLst>
          </xdr:cNvPr>
          <xdr:cNvSpPr txBox="1"/>
        </xdr:nvSpPr>
        <xdr:spPr>
          <a:xfrm>
            <a:off x="300037" y="2105025"/>
            <a:ext cx="1915200" cy="4571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400" b="1" u="sng">
                <a:solidFill>
                  <a:schemeClr val="tx1"/>
                </a:solidFill>
              </a:rPr>
              <a:t>FILTROS</a:t>
            </a:r>
          </a:p>
        </xdr:txBody>
      </xdr:sp>
    </xdr:grpSp>
    <xdr:clientData/>
  </xdr:twoCellAnchor>
  <xdr:twoCellAnchor>
    <xdr:from>
      <xdr:col>14</xdr:col>
      <xdr:colOff>523875</xdr:colOff>
      <xdr:row>10</xdr:row>
      <xdr:rowOff>180974</xdr:rowOff>
    </xdr:from>
    <xdr:to>
      <xdr:col>23</xdr:col>
      <xdr:colOff>581025</xdr:colOff>
      <xdr:row>37</xdr:row>
      <xdr:rowOff>27074</xdr:rowOff>
    </xdr:to>
    <xdr:sp macro="" textlink="">
      <xdr:nvSpPr>
        <xdr:cNvPr id="88" name="Retângulo: Cantos Arredondados 87">
          <a:extLst>
            <a:ext uri="{FF2B5EF4-FFF2-40B4-BE49-F238E27FC236}">
              <a16:creationId xmlns:a16="http://schemas.microsoft.com/office/drawing/2014/main" id="{2BE8B250-1174-43A6-871C-9A3CBDF2545B}"/>
            </a:ext>
          </a:extLst>
        </xdr:cNvPr>
        <xdr:cNvSpPr/>
      </xdr:nvSpPr>
      <xdr:spPr>
        <a:xfrm>
          <a:off x="9058275" y="2085974"/>
          <a:ext cx="5543550" cy="4989600"/>
        </a:xfrm>
        <a:prstGeom prst="roundRect">
          <a:avLst>
            <a:gd name="adj" fmla="val 2489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228599</xdr:colOff>
      <xdr:row>13</xdr:row>
      <xdr:rowOff>171451</xdr:rowOff>
    </xdr:from>
    <xdr:to>
      <xdr:col>5</xdr:col>
      <xdr:colOff>161925</xdr:colOff>
      <xdr:row>18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6" name="Setor">
              <a:extLst>
                <a:ext uri="{FF2B5EF4-FFF2-40B4-BE49-F238E27FC236}">
                  <a16:creationId xmlns:a16="http://schemas.microsoft.com/office/drawing/2014/main" id="{40411C8E-7DE0-481E-A6AF-CD44C3079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599" y="2647951"/>
              <a:ext cx="2981326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238125</xdr:colOff>
      <xdr:row>19</xdr:row>
      <xdr:rowOff>85725</xdr:rowOff>
    </xdr:from>
    <xdr:to>
      <xdr:col>5</xdr:col>
      <xdr:colOff>142875</xdr:colOff>
      <xdr:row>36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7" name="Perguntas">
              <a:extLst>
                <a:ext uri="{FF2B5EF4-FFF2-40B4-BE49-F238E27FC236}">
                  <a16:creationId xmlns:a16="http://schemas.microsoft.com/office/drawing/2014/main" id="{9EF9746D-30F6-4567-9BA1-9DA32A0F03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gunt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3705225"/>
              <a:ext cx="2952750" cy="329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257175</xdr:colOff>
      <xdr:row>11</xdr:row>
      <xdr:rowOff>76199</xdr:rowOff>
    </xdr:from>
    <xdr:to>
      <xdr:col>22</xdr:col>
      <xdr:colOff>238125</xdr:colOff>
      <xdr:row>15</xdr:row>
      <xdr:rowOff>47624</xdr:rowOff>
    </xdr:to>
    <xdr:grpSp>
      <xdr:nvGrpSpPr>
        <xdr:cNvPr id="102" name="Agrupar 101">
          <a:extLst>
            <a:ext uri="{FF2B5EF4-FFF2-40B4-BE49-F238E27FC236}">
              <a16:creationId xmlns:a16="http://schemas.microsoft.com/office/drawing/2014/main" id="{3F2BA836-29C9-4C46-A47C-55CFCEAAC8AC}"/>
            </a:ext>
          </a:extLst>
        </xdr:cNvPr>
        <xdr:cNvGrpSpPr/>
      </xdr:nvGrpSpPr>
      <xdr:grpSpPr>
        <a:xfrm>
          <a:off x="10010775" y="2171699"/>
          <a:ext cx="3638550" cy="733425"/>
          <a:chOff x="9944100" y="2085974"/>
          <a:chExt cx="3638550" cy="733425"/>
        </a:xfrm>
      </xdr:grpSpPr>
      <xdr:sp macro="" textlink="">
        <xdr:nvSpPr>
          <xdr:cNvPr id="93" name="CaixaDeTexto 92">
            <a:extLst>
              <a:ext uri="{FF2B5EF4-FFF2-40B4-BE49-F238E27FC236}">
                <a16:creationId xmlns:a16="http://schemas.microsoft.com/office/drawing/2014/main" id="{6F390A1F-9EE9-4270-8ED1-12B1EF94508B}"/>
              </a:ext>
            </a:extLst>
          </xdr:cNvPr>
          <xdr:cNvSpPr txBox="1"/>
        </xdr:nvSpPr>
        <xdr:spPr>
          <a:xfrm>
            <a:off x="10077450" y="2085974"/>
            <a:ext cx="3505200" cy="733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u="none">
                <a:solidFill>
                  <a:schemeClr val="tx1"/>
                </a:solidFill>
                <a:uFill>
                  <a:solidFill>
                    <a:srgbClr val="FF0000"/>
                  </a:solidFill>
                </a:uFill>
              </a:rPr>
              <a:t>TOP 3 -</a:t>
            </a:r>
            <a:r>
              <a:rPr lang="pt-BR" sz="1800" b="1" u="none" baseline="0">
                <a:solidFill>
                  <a:schemeClr val="tx1"/>
                </a:solidFill>
                <a:uFill>
                  <a:solidFill>
                    <a:srgbClr val="FF0000"/>
                  </a:solidFill>
                </a:uFill>
              </a:rPr>
              <a:t> Perguntas Não Bem Avaliadas</a:t>
            </a:r>
            <a:endParaRPr lang="pt-BR" sz="1800" b="1" u="none">
              <a:solidFill>
                <a:schemeClr val="tx1"/>
              </a:solidFill>
              <a:uFill>
                <a:solidFill>
                  <a:srgbClr val="FF0000"/>
                </a:solidFill>
              </a:uFill>
            </a:endParaRPr>
          </a:p>
        </xdr:txBody>
      </xdr:sp>
      <xdr:pic>
        <xdr:nvPicPr>
          <xdr:cNvPr id="101" name="Imagem 100">
            <a:extLst>
              <a:ext uri="{FF2B5EF4-FFF2-40B4-BE49-F238E27FC236}">
                <a16:creationId xmlns:a16="http://schemas.microsoft.com/office/drawing/2014/main" id="{CB96AC2A-0C0F-4A62-92A6-DB42ED652E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44100" y="2195511"/>
            <a:ext cx="514350" cy="514350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352425</xdr:colOff>
      <xdr:row>12</xdr:row>
      <xdr:rowOff>0</xdr:rowOff>
    </xdr:from>
    <xdr:to>
      <xdr:col>23</xdr:col>
      <xdr:colOff>323850</xdr:colOff>
      <xdr:row>13</xdr:row>
      <xdr:rowOff>133350</xdr:rowOff>
    </xdr:to>
    <xdr:sp macro="" textlink="">
      <xdr:nvSpPr>
        <xdr:cNvPr id="2" name="Seta: para a Direita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2DC84DF-F40E-489F-B1A5-B43B29A7E4FC}"/>
            </a:ext>
          </a:extLst>
        </xdr:cNvPr>
        <xdr:cNvSpPr/>
      </xdr:nvSpPr>
      <xdr:spPr>
        <a:xfrm>
          <a:off x="13763625" y="2286000"/>
          <a:ext cx="581025" cy="32385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447675</xdr:colOff>
          <xdr:row>15</xdr:row>
          <xdr:rowOff>85725</xdr:rowOff>
        </xdr:from>
        <xdr:to>
          <xdr:col>23</xdr:col>
          <xdr:colOff>47625</xdr:colOff>
          <xdr:row>35</xdr:row>
          <xdr:rowOff>95250</xdr:rowOff>
        </xdr:to>
        <xdr:pic>
          <xdr:nvPicPr>
            <xdr:cNvPr id="73" name="Imagem 72">
              <a:extLst>
                <a:ext uri="{FF2B5EF4-FFF2-40B4-BE49-F238E27FC236}">
                  <a16:creationId xmlns:a16="http://schemas.microsoft.com/office/drawing/2014/main" id="{9C4A0690-349C-4340-AFF4-FC58AB2BFF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UXILIAR!$AK$5:$AK$12" spid="_x0000_s1137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9591675" y="2943225"/>
              <a:ext cx="4476750" cy="3819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342900</xdr:colOff>
      <xdr:row>11</xdr:row>
      <xdr:rowOff>19050</xdr:rowOff>
    </xdr:from>
    <xdr:to>
      <xdr:col>14</xdr:col>
      <xdr:colOff>332100</xdr:colOff>
      <xdr:row>37</xdr:row>
      <xdr:rowOff>55650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4405161B-1433-44FD-911A-D312BA7E8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" refreshedDate="43827.011326851854" createdVersion="6" refreshedVersion="6" minRefreshableVersion="3" recordCount="126" xr:uid="{1BB13D09-2D0E-42A7-B8C2-66DFB73AA871}">
  <cacheSource type="worksheet">
    <worksheetSource name="BASE"/>
  </cacheSource>
  <cacheFields count="4">
    <cacheField name="Colaborador" numFmtId="0">
      <sharedItems/>
    </cacheField>
    <cacheField name="Setor" numFmtId="0">
      <sharedItems count="4">
        <s v="Produção"/>
        <s v="Compras"/>
        <s v="Manutenção"/>
        <s v="Youtuber"/>
      </sharedItems>
    </cacheField>
    <cacheField name="Perguntas" numFmtId="0">
      <sharedItems count="18">
        <s v="A-Como você se sente em relação à comunicação interna da empresa?"/>
        <s v="B-Como você se sente em relação aos recursos materiais disponibilizados pela empresa para execução do seu trabalho?"/>
        <s v="C-Como você se sente em relação ao ambiente de trabalho da empresa?"/>
        <s v="D-Como você se sente em relação aos investimentos realizados pela empresa nos funcionários?"/>
        <s v="E-Como você se sente em relação ao reconhecimento de funcionários que apresentam um bom desempenho?"/>
        <s v="F-Como você se sente em relação à política de remuneração, benefícios e promoções da empresa?"/>
        <s v="G-Como você se sente em relação à  sua preparação para realização do seu trabalho diário?"/>
        <s v="H-Como você se sente em relação ao seu relacionamento profissional com os seus superiores?"/>
        <s v="I-Como você se sente em relação ao seu relacionamento profissional com os seus colegas de trabalho?"/>
        <s v="J-Como você se sente em relação à transparência no que se refere à tomada de decisões de seus superiores?"/>
        <s v="K-Como você se sente em relação à sua autonomia na sugestão de novas ideias e soluções para seus superiores?"/>
        <s v="L-Como você se sente em relação à sua remuneração (salário)?"/>
        <s v="M-Como você se sente em relação aos benefícios que você recebe? "/>
        <s v="N-Como você se sente em relação à sua carga horária de trabalho?"/>
        <s v="O-Como você se sente em relação à quantidade de treinamentos que você recebe?"/>
        <s v="P-Como você se sente em relação à qualidade de treinamentos que você recebe?"/>
        <s v="Q-Como você se sente em relação ao reconhecimento e valorização do seu trabalho?"/>
        <s v="R-Como você se sente em relação à  empresa de forma geral?"/>
      </sharedItems>
    </cacheField>
    <cacheField name="Respostas" numFmtId="0">
      <sharedItems count="4">
        <s v="Muito Satisfeito"/>
        <s v="Muito Insatisfeito"/>
        <s v="Insatisfeito"/>
        <s v="Satisfeito"/>
      </sharedItems>
    </cacheField>
  </cacheFields>
  <extLst>
    <ext xmlns:x14="http://schemas.microsoft.com/office/spreadsheetml/2009/9/main" uri="{725AE2AE-9491-48be-B2B4-4EB974FC3084}">
      <x14:pivotCacheDefinition pivotCacheId="6133447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Pedrinho "/>
    <x v="0"/>
    <x v="0"/>
    <x v="0"/>
  </r>
  <r>
    <s v="Pedrinho "/>
    <x v="0"/>
    <x v="1"/>
    <x v="1"/>
  </r>
  <r>
    <s v="Pedrinho "/>
    <x v="0"/>
    <x v="2"/>
    <x v="1"/>
  </r>
  <r>
    <s v="Pedrinho "/>
    <x v="0"/>
    <x v="3"/>
    <x v="1"/>
  </r>
  <r>
    <s v="Pedrinho "/>
    <x v="0"/>
    <x v="4"/>
    <x v="1"/>
  </r>
  <r>
    <s v="Pedrinho "/>
    <x v="0"/>
    <x v="5"/>
    <x v="2"/>
  </r>
  <r>
    <s v="Pedrinho "/>
    <x v="0"/>
    <x v="6"/>
    <x v="1"/>
  </r>
  <r>
    <s v="Pedrinho "/>
    <x v="0"/>
    <x v="7"/>
    <x v="0"/>
  </r>
  <r>
    <s v="Pedrinho "/>
    <x v="0"/>
    <x v="8"/>
    <x v="3"/>
  </r>
  <r>
    <s v="Pedrinho "/>
    <x v="0"/>
    <x v="9"/>
    <x v="0"/>
  </r>
  <r>
    <s v="Pedrinho "/>
    <x v="0"/>
    <x v="10"/>
    <x v="0"/>
  </r>
  <r>
    <s v="Pedrinho "/>
    <x v="0"/>
    <x v="11"/>
    <x v="1"/>
  </r>
  <r>
    <s v="Pedrinho "/>
    <x v="0"/>
    <x v="12"/>
    <x v="0"/>
  </r>
  <r>
    <s v="Pedrinho "/>
    <x v="0"/>
    <x v="13"/>
    <x v="2"/>
  </r>
  <r>
    <s v="Pedrinho "/>
    <x v="0"/>
    <x v="14"/>
    <x v="0"/>
  </r>
  <r>
    <s v="Pedrinho "/>
    <x v="0"/>
    <x v="15"/>
    <x v="2"/>
  </r>
  <r>
    <s v="Pedrinho "/>
    <x v="0"/>
    <x v="16"/>
    <x v="0"/>
  </r>
  <r>
    <s v="Pedrinho "/>
    <x v="0"/>
    <x v="17"/>
    <x v="1"/>
  </r>
  <r>
    <s v="Maria"/>
    <x v="0"/>
    <x v="0"/>
    <x v="0"/>
  </r>
  <r>
    <s v="Maria"/>
    <x v="0"/>
    <x v="1"/>
    <x v="3"/>
  </r>
  <r>
    <s v="Maria"/>
    <x v="0"/>
    <x v="2"/>
    <x v="2"/>
  </r>
  <r>
    <s v="Maria"/>
    <x v="0"/>
    <x v="3"/>
    <x v="1"/>
  </r>
  <r>
    <s v="Maria"/>
    <x v="0"/>
    <x v="4"/>
    <x v="1"/>
  </r>
  <r>
    <s v="Maria"/>
    <x v="0"/>
    <x v="5"/>
    <x v="2"/>
  </r>
  <r>
    <s v="Maria"/>
    <x v="0"/>
    <x v="6"/>
    <x v="1"/>
  </r>
  <r>
    <s v="Maria"/>
    <x v="0"/>
    <x v="7"/>
    <x v="0"/>
  </r>
  <r>
    <s v="Maria"/>
    <x v="0"/>
    <x v="8"/>
    <x v="3"/>
  </r>
  <r>
    <s v="Maria"/>
    <x v="0"/>
    <x v="9"/>
    <x v="0"/>
  </r>
  <r>
    <s v="Maria"/>
    <x v="0"/>
    <x v="10"/>
    <x v="0"/>
  </r>
  <r>
    <s v="Maria"/>
    <x v="0"/>
    <x v="11"/>
    <x v="1"/>
  </r>
  <r>
    <s v="Maria"/>
    <x v="0"/>
    <x v="12"/>
    <x v="0"/>
  </r>
  <r>
    <s v="Maria"/>
    <x v="0"/>
    <x v="13"/>
    <x v="2"/>
  </r>
  <r>
    <s v="Maria"/>
    <x v="0"/>
    <x v="14"/>
    <x v="0"/>
  </r>
  <r>
    <s v="Maria"/>
    <x v="0"/>
    <x v="15"/>
    <x v="2"/>
  </r>
  <r>
    <s v="Maria"/>
    <x v="0"/>
    <x v="16"/>
    <x v="0"/>
  </r>
  <r>
    <s v="Maria"/>
    <x v="0"/>
    <x v="17"/>
    <x v="1"/>
  </r>
  <r>
    <s v="Carlos"/>
    <x v="1"/>
    <x v="0"/>
    <x v="0"/>
  </r>
  <r>
    <s v="Carlos"/>
    <x v="1"/>
    <x v="1"/>
    <x v="3"/>
  </r>
  <r>
    <s v="Carlos"/>
    <x v="1"/>
    <x v="2"/>
    <x v="2"/>
  </r>
  <r>
    <s v="Carlos"/>
    <x v="1"/>
    <x v="3"/>
    <x v="1"/>
  </r>
  <r>
    <s v="Carlos"/>
    <x v="1"/>
    <x v="4"/>
    <x v="1"/>
  </r>
  <r>
    <s v="Carlos"/>
    <x v="1"/>
    <x v="5"/>
    <x v="2"/>
  </r>
  <r>
    <s v="Carlos"/>
    <x v="1"/>
    <x v="6"/>
    <x v="1"/>
  </r>
  <r>
    <s v="Carlos"/>
    <x v="1"/>
    <x v="7"/>
    <x v="0"/>
  </r>
  <r>
    <s v="Carlos"/>
    <x v="1"/>
    <x v="8"/>
    <x v="1"/>
  </r>
  <r>
    <s v="Carlos"/>
    <x v="1"/>
    <x v="9"/>
    <x v="0"/>
  </r>
  <r>
    <s v="Carlos"/>
    <x v="1"/>
    <x v="10"/>
    <x v="0"/>
  </r>
  <r>
    <s v="Carlos"/>
    <x v="1"/>
    <x v="11"/>
    <x v="0"/>
  </r>
  <r>
    <s v="Carlos"/>
    <x v="1"/>
    <x v="12"/>
    <x v="0"/>
  </r>
  <r>
    <s v="Carlos"/>
    <x v="1"/>
    <x v="13"/>
    <x v="1"/>
  </r>
  <r>
    <s v="Carlos"/>
    <x v="1"/>
    <x v="14"/>
    <x v="0"/>
  </r>
  <r>
    <s v="Carlos"/>
    <x v="1"/>
    <x v="15"/>
    <x v="1"/>
  </r>
  <r>
    <s v="Carlos"/>
    <x v="1"/>
    <x v="16"/>
    <x v="0"/>
  </r>
  <r>
    <s v="Carlos"/>
    <x v="1"/>
    <x v="17"/>
    <x v="0"/>
  </r>
  <r>
    <s v="Lucas"/>
    <x v="2"/>
    <x v="0"/>
    <x v="0"/>
  </r>
  <r>
    <s v="Lucas"/>
    <x v="2"/>
    <x v="1"/>
    <x v="1"/>
  </r>
  <r>
    <s v="Lucas"/>
    <x v="2"/>
    <x v="2"/>
    <x v="1"/>
  </r>
  <r>
    <s v="Lucas"/>
    <x v="2"/>
    <x v="3"/>
    <x v="1"/>
  </r>
  <r>
    <s v="Lucas"/>
    <x v="2"/>
    <x v="4"/>
    <x v="1"/>
  </r>
  <r>
    <s v="Lucas"/>
    <x v="2"/>
    <x v="5"/>
    <x v="1"/>
  </r>
  <r>
    <s v="Lucas"/>
    <x v="2"/>
    <x v="6"/>
    <x v="1"/>
  </r>
  <r>
    <s v="Lucas"/>
    <x v="2"/>
    <x v="7"/>
    <x v="1"/>
  </r>
  <r>
    <s v="Lucas"/>
    <x v="2"/>
    <x v="8"/>
    <x v="1"/>
  </r>
  <r>
    <s v="Lucas"/>
    <x v="2"/>
    <x v="9"/>
    <x v="1"/>
  </r>
  <r>
    <s v="Lucas"/>
    <x v="2"/>
    <x v="10"/>
    <x v="1"/>
  </r>
  <r>
    <s v="Lucas"/>
    <x v="2"/>
    <x v="11"/>
    <x v="1"/>
  </r>
  <r>
    <s v="Lucas"/>
    <x v="2"/>
    <x v="12"/>
    <x v="1"/>
  </r>
  <r>
    <s v="Lucas"/>
    <x v="2"/>
    <x v="13"/>
    <x v="1"/>
  </r>
  <r>
    <s v="Lucas"/>
    <x v="2"/>
    <x v="14"/>
    <x v="1"/>
  </r>
  <r>
    <s v="Lucas"/>
    <x v="2"/>
    <x v="15"/>
    <x v="1"/>
  </r>
  <r>
    <s v="Lucas"/>
    <x v="2"/>
    <x v="16"/>
    <x v="1"/>
  </r>
  <r>
    <s v="Lucas"/>
    <x v="2"/>
    <x v="17"/>
    <x v="1"/>
  </r>
  <r>
    <s v="Éder"/>
    <x v="2"/>
    <x v="0"/>
    <x v="0"/>
  </r>
  <r>
    <s v="Éder"/>
    <x v="2"/>
    <x v="1"/>
    <x v="1"/>
  </r>
  <r>
    <s v="Éder"/>
    <x v="2"/>
    <x v="2"/>
    <x v="1"/>
  </r>
  <r>
    <s v="Éder"/>
    <x v="2"/>
    <x v="3"/>
    <x v="1"/>
  </r>
  <r>
    <s v="Éder"/>
    <x v="2"/>
    <x v="4"/>
    <x v="1"/>
  </r>
  <r>
    <s v="Éder"/>
    <x v="2"/>
    <x v="5"/>
    <x v="1"/>
  </r>
  <r>
    <s v="Éder"/>
    <x v="2"/>
    <x v="6"/>
    <x v="1"/>
  </r>
  <r>
    <s v="Éder"/>
    <x v="2"/>
    <x v="7"/>
    <x v="1"/>
  </r>
  <r>
    <s v="Éder"/>
    <x v="2"/>
    <x v="8"/>
    <x v="1"/>
  </r>
  <r>
    <s v="Éder"/>
    <x v="2"/>
    <x v="9"/>
    <x v="1"/>
  </r>
  <r>
    <s v="Éder"/>
    <x v="2"/>
    <x v="10"/>
    <x v="1"/>
  </r>
  <r>
    <s v="Éder"/>
    <x v="2"/>
    <x v="11"/>
    <x v="1"/>
  </r>
  <r>
    <s v="Éder"/>
    <x v="2"/>
    <x v="12"/>
    <x v="1"/>
  </r>
  <r>
    <s v="Éder"/>
    <x v="2"/>
    <x v="13"/>
    <x v="1"/>
  </r>
  <r>
    <s v="Éder"/>
    <x v="2"/>
    <x v="14"/>
    <x v="1"/>
  </r>
  <r>
    <s v="Éder"/>
    <x v="2"/>
    <x v="15"/>
    <x v="1"/>
  </r>
  <r>
    <s v="Éder"/>
    <x v="2"/>
    <x v="16"/>
    <x v="1"/>
  </r>
  <r>
    <s v="Éder"/>
    <x v="2"/>
    <x v="17"/>
    <x v="1"/>
  </r>
  <r>
    <s v="Victor"/>
    <x v="2"/>
    <x v="0"/>
    <x v="0"/>
  </r>
  <r>
    <s v="Victor"/>
    <x v="2"/>
    <x v="1"/>
    <x v="1"/>
  </r>
  <r>
    <s v="Victor"/>
    <x v="2"/>
    <x v="2"/>
    <x v="1"/>
  </r>
  <r>
    <s v="Victor"/>
    <x v="2"/>
    <x v="3"/>
    <x v="1"/>
  </r>
  <r>
    <s v="Victor"/>
    <x v="2"/>
    <x v="4"/>
    <x v="1"/>
  </r>
  <r>
    <s v="Victor"/>
    <x v="2"/>
    <x v="5"/>
    <x v="1"/>
  </r>
  <r>
    <s v="Victor"/>
    <x v="2"/>
    <x v="6"/>
    <x v="1"/>
  </r>
  <r>
    <s v="Victor"/>
    <x v="2"/>
    <x v="7"/>
    <x v="1"/>
  </r>
  <r>
    <s v="Victor"/>
    <x v="2"/>
    <x v="8"/>
    <x v="1"/>
  </r>
  <r>
    <s v="Victor"/>
    <x v="2"/>
    <x v="9"/>
    <x v="1"/>
  </r>
  <r>
    <s v="Victor"/>
    <x v="2"/>
    <x v="10"/>
    <x v="1"/>
  </r>
  <r>
    <s v="Victor"/>
    <x v="2"/>
    <x v="11"/>
    <x v="1"/>
  </r>
  <r>
    <s v="Victor"/>
    <x v="2"/>
    <x v="12"/>
    <x v="1"/>
  </r>
  <r>
    <s v="Victor"/>
    <x v="2"/>
    <x v="13"/>
    <x v="1"/>
  </r>
  <r>
    <s v="Victor"/>
    <x v="2"/>
    <x v="14"/>
    <x v="1"/>
  </r>
  <r>
    <s v="Victor"/>
    <x v="2"/>
    <x v="15"/>
    <x v="1"/>
  </r>
  <r>
    <s v="Victor"/>
    <x v="2"/>
    <x v="16"/>
    <x v="1"/>
  </r>
  <r>
    <s v="Victor"/>
    <x v="2"/>
    <x v="17"/>
    <x v="1"/>
  </r>
  <r>
    <s v="Matheus"/>
    <x v="3"/>
    <x v="0"/>
    <x v="1"/>
  </r>
  <r>
    <s v="Matheus"/>
    <x v="3"/>
    <x v="1"/>
    <x v="3"/>
  </r>
  <r>
    <s v="Matheus"/>
    <x v="3"/>
    <x v="2"/>
    <x v="1"/>
  </r>
  <r>
    <s v="Matheus"/>
    <x v="3"/>
    <x v="3"/>
    <x v="0"/>
  </r>
  <r>
    <s v="Matheus"/>
    <x v="3"/>
    <x v="4"/>
    <x v="2"/>
  </r>
  <r>
    <s v="Matheus"/>
    <x v="3"/>
    <x v="5"/>
    <x v="1"/>
  </r>
  <r>
    <s v="Matheus"/>
    <x v="3"/>
    <x v="6"/>
    <x v="0"/>
  </r>
  <r>
    <s v="Matheus"/>
    <x v="3"/>
    <x v="7"/>
    <x v="0"/>
  </r>
  <r>
    <s v="Matheus"/>
    <x v="3"/>
    <x v="8"/>
    <x v="0"/>
  </r>
  <r>
    <s v="Matheus"/>
    <x v="3"/>
    <x v="9"/>
    <x v="1"/>
  </r>
  <r>
    <s v="Matheus"/>
    <x v="3"/>
    <x v="10"/>
    <x v="2"/>
  </r>
  <r>
    <s v="Matheus"/>
    <x v="3"/>
    <x v="11"/>
    <x v="2"/>
  </r>
  <r>
    <s v="Matheus"/>
    <x v="3"/>
    <x v="12"/>
    <x v="1"/>
  </r>
  <r>
    <s v="Matheus"/>
    <x v="3"/>
    <x v="13"/>
    <x v="3"/>
  </r>
  <r>
    <s v="Matheus"/>
    <x v="3"/>
    <x v="14"/>
    <x v="1"/>
  </r>
  <r>
    <s v="Matheus"/>
    <x v="3"/>
    <x v="15"/>
    <x v="3"/>
  </r>
  <r>
    <s v="Matheus"/>
    <x v="3"/>
    <x v="16"/>
    <x v="0"/>
  </r>
  <r>
    <s v="Matheus"/>
    <x v="3"/>
    <x v="1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5228-FDCD-4D9C-9974-B296A7E48DAB}" name="Tabela dinâmica8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>
  <location ref="F3:G4" firstHeaderRow="1" firstDataRow="1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dataField="1" showAll="0">
      <items count="5">
        <item x="0"/>
        <item h="1" x="3"/>
        <item h="1" x="2"/>
        <item h="1" x="1"/>
        <item t="default"/>
      </items>
    </pivotField>
  </pivotFields>
  <rowFields count="1">
    <field x="3"/>
  </rowFields>
  <rowItems count="1">
    <i>
      <x/>
    </i>
  </rowItems>
  <colItems count="1">
    <i/>
  </colItems>
  <dataFields count="1">
    <dataField name="Contagem de Respostas" fld="3" subtotal="count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0EE61-7D2F-4A2A-BBB2-E748340C3DAB}" name="Tabela dinâmica5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8">
  <location ref="AB3:AC4" firstHeaderRow="1" firstDataRow="1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dataField="1" showAll="0">
      <items count="5">
        <item h="1" x="0"/>
        <item h="1" x="3"/>
        <item h="1" x="2"/>
        <item x="1"/>
        <item t="default"/>
      </items>
    </pivotField>
  </pivotFields>
  <rowFields count="1">
    <field x="3"/>
  </rowFields>
  <rowItems count="1">
    <i>
      <x v="3"/>
    </i>
  </rowItems>
  <colItems count="1">
    <i/>
  </colItems>
  <dataFields count="1">
    <dataField name="." fld="3" subtotal="count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120DB-F351-4611-96C2-386FD0531D61}" name="Tabela dinâmica4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8">
  <location ref="Y3:Z4" firstHeaderRow="1" firstDataRow="1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dataField="1" showAll="0">
      <items count="5">
        <item h="1" x="0"/>
        <item h="1" x="3"/>
        <item x="2"/>
        <item h="1" x="1"/>
        <item t="default"/>
      </items>
    </pivotField>
  </pivotFields>
  <rowFields count="1">
    <field x="3"/>
  </rowFields>
  <rowItems count="1">
    <i>
      <x v="2"/>
    </i>
  </rowItems>
  <colItems count="1">
    <i/>
  </colItems>
  <dataFields count="1">
    <dataField name="." fld="3" subtotal="count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6430-6921-4689-8A51-90A393FC740B}" name="Tabela dinâmica9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>
  <location ref="I3:J4" firstHeaderRow="1" firstDataRow="1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dataField="1" showAll="0">
      <items count="5">
        <item h="1" x="0"/>
        <item x="3"/>
        <item h="1" x="2"/>
        <item h="1" x="1"/>
        <item t="default"/>
      </items>
    </pivotField>
  </pivotFields>
  <rowFields count="1">
    <field x="3"/>
  </rowFields>
  <rowItems count="1">
    <i>
      <x v="1"/>
    </i>
  </rowItems>
  <colItems count="1">
    <i/>
  </colItems>
  <dataFields count="1">
    <dataField name="Contagem de Respostas" fld="3" subtotal="count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2F813-1D22-4493-BE4B-5F4F94900614}" name="Tabela dinâmica10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>
  <location ref="L3:M4" firstHeaderRow="1" firstDataRow="1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dataField="1" showAll="0">
      <items count="5">
        <item h="1" x="0"/>
        <item h="1" x="3"/>
        <item x="2"/>
        <item h="1" x="1"/>
        <item t="default"/>
      </items>
    </pivotField>
  </pivotFields>
  <rowFields count="1">
    <field x="3"/>
  </rowFields>
  <rowItems count="1">
    <i>
      <x v="2"/>
    </i>
  </rowItems>
  <colItems count="1">
    <i/>
  </colItems>
  <dataFields count="1">
    <dataField name="Contagem de Respostas" fld="3" subtotal="count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EFE79-4E9D-4ACB-80AF-4454DEC59553}" name="Tabela dinâmica2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8">
  <location ref="V3:W4" firstHeaderRow="1" firstDataRow="1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dataField="1" showAll="0">
      <items count="5">
        <item h="1" x="0"/>
        <item x="3"/>
        <item h="1" x="2"/>
        <item h="1" x="1"/>
        <item t="default"/>
      </items>
    </pivotField>
  </pivotFields>
  <rowFields count="1">
    <field x="3"/>
  </rowFields>
  <rowItems count="1">
    <i>
      <x v="1"/>
    </i>
  </rowItems>
  <colItems count="1">
    <i/>
  </colItems>
  <dataFields count="1">
    <dataField name="." fld="3" subtotal="count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C4C74-1989-422D-AC11-1B44E89F0905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4" firstHeaderRow="1" firstDataRow="1" firstDataCol="0"/>
  <pivotFields count="4">
    <pivotField dataField="1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ontagem de Colaborador" fld="0" subtotal="count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44469-264C-48C9-ABBB-4B67D5AC8AD4}" name="Tabela dinâmica12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8">
  <location ref="S3:T4" firstHeaderRow="1" firstDataRow="1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dataFiel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5">
        <item x="0"/>
        <item h="1" x="3"/>
        <item h="1" x="2"/>
        <item h="1" x="1"/>
        <item t="default"/>
      </items>
    </pivotField>
  </pivotFields>
  <rowFields count="1">
    <field x="3"/>
  </rowFields>
  <rowItems count="1">
    <i>
      <x/>
    </i>
  </rowItems>
  <colItems count="1">
    <i/>
  </colItems>
  <dataFields count="1">
    <dataField name="." fld="2" subtotal="count" baseField="0" baseItem="0"/>
  </dataFields>
  <formats count="1">
    <format dxfId="12">
      <pivotArea outline="0" collapsedLevelsAreSubtotals="1" fieldPosition="0"/>
    </format>
  </formats>
  <chartFormats count="1"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B8318-7D40-4963-B87E-FDB08027A538}" name="Tabela dinâmica14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6">
  <location ref="AM3:AN7" firstHeaderRow="1" firstDataRow="2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axis="axisRow" showAll="0" measure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dataField="1" showAll="0">
      <items count="5">
        <item x="0"/>
        <item h="1" x="3"/>
        <item h="1" x="2"/>
        <item h="1" x="1"/>
        <item t="default"/>
      </items>
    </pivotField>
  </pivotFields>
  <rowFields count="1">
    <field x="2"/>
  </rowFields>
  <rowItems count="3">
    <i>
      <x/>
    </i>
    <i>
      <x v="7"/>
    </i>
    <i>
      <x v="16"/>
    </i>
  </rowItems>
  <colFields count="1">
    <field x="3"/>
  </colFields>
  <colItems count="1">
    <i>
      <x/>
    </i>
  </colItems>
  <dataFields count="1">
    <dataField name="Contagem de Respostas" fld="3" subtotal="count" baseField="0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FAD9C-FE8B-4AAE-B3BB-3471C2995C41}" name="Tabela dinâmica11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>
  <location ref="O3:P4" firstHeaderRow="1" firstDataRow="1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dataField="1" showAll="0">
      <items count="5">
        <item h="1" x="0"/>
        <item h="1" x="3"/>
        <item h="1" x="2"/>
        <item x="1"/>
        <item t="default"/>
      </items>
    </pivotField>
  </pivotFields>
  <rowFields count="1">
    <field x="3"/>
  </rowFields>
  <rowItems count="1">
    <i>
      <x v="3"/>
    </i>
  </rowItems>
  <colItems count="1">
    <i/>
  </colItems>
  <dataFields count="1">
    <dataField name="Contagem de Respostas" fld="3" subtotal="count" baseField="0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35755-880B-41A4-B3DA-09553AD4F4D8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3:D4" firstHeaderRow="1" firstDataRow="1" firstDataCol="0"/>
  <pivotFields count="4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Items count="1">
    <i/>
  </rowItems>
  <colItems count="1">
    <i/>
  </colItems>
  <dataFields count="1">
    <dataField name="Contagem de Respostas" fld="3" subtotal="count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FA5DA-FEA7-468F-B8AB-68968FDD036F}" name="Tabela dinâmica13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6">
  <location ref="AI3:AJ7" firstHeaderRow="1" firstDataRow="2" firstDataCol="1"/>
  <pivotFields count="4">
    <pivotField showAll="0"/>
    <pivotField showAll="0">
      <items count="5">
        <item x="1"/>
        <item x="2"/>
        <item x="0"/>
        <item x="3"/>
        <item t="default"/>
      </items>
    </pivotField>
    <pivotField axis="axisRow" showAll="0" measure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dataField="1" showAll="0">
      <items count="5">
        <item h="1" x="0"/>
        <item h="1" x="3"/>
        <item h="1" x="2"/>
        <item x="1"/>
        <item t="default"/>
      </items>
    </pivotField>
  </pivotFields>
  <rowFields count="1">
    <field x="2"/>
  </rowFields>
  <rowItems count="3">
    <i>
      <x v="3"/>
    </i>
    <i>
      <x v="4"/>
    </i>
    <i>
      <x v="6"/>
    </i>
  </rowItems>
  <colFields count="1">
    <field x="3"/>
  </colFields>
  <colItems count="1">
    <i>
      <x v="3"/>
    </i>
  </colItems>
  <dataFields count="1">
    <dataField name="Contagem de Respostas" fld="3" subtotal="count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guntas" xr10:uid="{C53F60D7-8B4C-44D5-A014-F91FAADC88A3}" sourceName="Perguntas">
  <pivotTables>
    <pivotTable tabId="4" name="Tabela dinâmica12"/>
    <pivotTable tabId="4" name="Tabela dinâmica2"/>
    <pivotTable tabId="4" name="Tabela dinâmica4"/>
    <pivotTable tabId="4" name="Tabela dinâmica5"/>
  </pivotTables>
  <data>
    <tabular pivotCacheId="613344740">
      <items count="1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tor" xr10:uid="{399E94DF-0102-4A86-B838-F163809A4AF0}" sourceName="Setor">
  <pivotTables>
    <pivotTable tabId="4" name="Tabela dinâmica1"/>
    <pivotTable tabId="4" name="Tabela dinâmica3"/>
    <pivotTable tabId="4" name="Tabela dinâmica10"/>
    <pivotTable tabId="4" name="Tabela dinâmica11"/>
    <pivotTable tabId="4" name="Tabela dinâmica8"/>
    <pivotTable tabId="4" name="Tabela dinâmica9"/>
    <pivotTable tabId="4" name="Tabela dinâmica12"/>
    <pivotTable tabId="4" name="Tabela dinâmica13"/>
    <pivotTable tabId="4" name="Tabela dinâmica14"/>
    <pivotTable tabId="4" name="Tabela dinâmica2"/>
    <pivotTable tabId="4" name="Tabela dinâmica4"/>
    <pivotTable tabId="4" name="Tabela dinâmica5"/>
  </pivotTables>
  <data>
    <tabular pivotCacheId="613344740">
      <items count="4">
        <i x="1" s="1"/>
        <i x="2" s="1"/>
        <i x="0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guntas 1" xr10:uid="{02F8E8B4-A0AF-4627-8163-1005DA8A35E3}" cache="SegmentaçãodeDados_Perguntas" caption="Perguntas" style="SlicerStyleLight1 3" rowHeight="241300"/>
  <slicer name="Setor 1" xr10:uid="{A320E776-0107-4486-BF25-0AA3D29B4874}" cache="SegmentaçãodeDados_Setor" caption="Setor" style="SlicerStyleLight1 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guntas" xr10:uid="{C240C507-483F-420D-9940-66E4327BB654}" cache="SegmentaçãodeDados_Perguntas" caption="Perguntas" style="SlicerStyleLight1 3" rowHeight="241300"/>
  <slicer name="Setor" xr10:uid="{4D7474EF-A9D9-4FC0-A089-751D762FC5C7}" cache="SegmentaçãodeDados_Setor" caption="Setor" startItem="2" style="SlicerStyleLight1 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79D3B-CA90-4580-8132-3B1B3EC53F78}" name="BASE" displayName="BASE" ref="A1:D127" totalsRowShown="0" headerRowDxfId="4">
  <tableColumns count="4">
    <tableColumn id="1" xr3:uid="{7D80A2F9-C77F-473C-8C8B-EEBE640B009C}" name="Colaborador"/>
    <tableColumn id="2" xr3:uid="{D8F093A2-5688-4A78-8565-A3AC3C5BABBD}" name="Setor" dataDxfId="3"/>
    <tableColumn id="3" xr3:uid="{2438F045-0451-44FE-880D-6F47FB1E8A1D}" name="Perguntas"/>
    <tableColumn id="4" xr3:uid="{C414D829-D442-4AF0-8ED5-63A2E49D0C4D}" name="Respos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DCB449-3CEA-48FA-9889-4B4E297FDBE6}" name="Tabela2" displayName="Tabela2" ref="A1:A19" totalsRowShown="0" headerRowDxfId="2" dataDxfId="1">
  <tableColumns count="1">
    <tableColumn id="2" xr3:uid="{19BE813E-FDE3-43D3-A7C2-779D93A75F65}" name="Pergun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EB58-C1B4-4BD0-942E-D0721AECCAB6}">
  <dimension ref="A1"/>
  <sheetViews>
    <sheetView showGridLines="0" showRowColHeaders="0" workbookViewId="0"/>
  </sheetViews>
  <sheetFormatPr defaultRowHeight="15" x14ac:dyDescent="0.25"/>
  <cols>
    <col min="1" max="16384" width="9.140625" style="14"/>
  </cols>
  <sheetData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139C-53E0-41BF-8121-83ADA68B36D8}">
  <dimension ref="A1"/>
  <sheetViews>
    <sheetView showGridLines="0" showRowColHeaders="0" tabSelected="1" workbookViewId="0">
      <selection activeCell="W7" sqref="W7"/>
    </sheetView>
  </sheetViews>
  <sheetFormatPr defaultRowHeight="15" x14ac:dyDescent="0.25"/>
  <cols>
    <col min="1" max="16384" width="9.140625" style="14"/>
  </cols>
  <sheetData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DF6E-1493-402F-BB5B-4D7020744764}">
  <dimension ref="A3:AO20"/>
  <sheetViews>
    <sheetView topLeftCell="F1" workbookViewId="0">
      <selection activeCell="Q4" activeCellId="3" sqref="H4 K4 N4 Q4"/>
    </sheetView>
  </sheetViews>
  <sheetFormatPr defaultRowHeight="15" x14ac:dyDescent="0.25"/>
  <cols>
    <col min="1" max="1" width="24.42578125" bestFit="1" customWidth="1"/>
    <col min="3" max="3" width="3.85546875" customWidth="1"/>
    <col min="4" max="4" width="22.42578125" bestFit="1" customWidth="1"/>
    <col min="5" max="5" width="3.28515625" customWidth="1"/>
    <col min="6" max="6" width="18" bestFit="1" customWidth="1"/>
    <col min="7" max="7" width="22.42578125" bestFit="1" customWidth="1"/>
    <col min="9" max="9" width="18" bestFit="1" customWidth="1"/>
    <col min="10" max="10" width="22.42578125" bestFit="1" customWidth="1"/>
    <col min="12" max="12" width="18" bestFit="1" customWidth="1"/>
    <col min="13" max="13" width="22.42578125" bestFit="1" customWidth="1"/>
    <col min="15" max="15" width="18" bestFit="1" customWidth="1"/>
    <col min="16" max="16" width="22.42578125" bestFit="1" customWidth="1"/>
    <col min="19" max="19" width="18" bestFit="1" customWidth="1"/>
    <col min="20" max="20" width="3" bestFit="1" customWidth="1"/>
    <col min="21" max="21" width="2.42578125" customWidth="1"/>
    <col min="22" max="22" width="18" bestFit="1" customWidth="1"/>
    <col min="23" max="23" width="2" bestFit="1" customWidth="1"/>
    <col min="24" max="24" width="1.42578125" customWidth="1"/>
    <col min="25" max="25" width="18" bestFit="1" customWidth="1"/>
    <col min="26" max="26" width="3" bestFit="1" customWidth="1"/>
    <col min="27" max="27" width="3.7109375" customWidth="1"/>
    <col min="28" max="28" width="18" bestFit="1" customWidth="1"/>
    <col min="29" max="29" width="3" bestFit="1" customWidth="1"/>
    <col min="31" max="31" width="16.85546875" bestFit="1" customWidth="1"/>
    <col min="35" max="35" width="101" bestFit="1" customWidth="1"/>
    <col min="36" max="36" width="19.5703125" bestFit="1" customWidth="1"/>
    <col min="37" max="37" width="67" customWidth="1"/>
    <col min="39" max="39" width="86.5703125" bestFit="1" customWidth="1"/>
    <col min="40" max="40" width="19.5703125" bestFit="1" customWidth="1"/>
    <col min="41" max="41" width="67" customWidth="1"/>
  </cols>
  <sheetData>
    <row r="3" spans="1:41" x14ac:dyDescent="0.25">
      <c r="A3" t="s">
        <v>13</v>
      </c>
      <c r="D3" t="s">
        <v>15</v>
      </c>
      <c r="F3" s="10" t="s">
        <v>14</v>
      </c>
      <c r="G3" t="s">
        <v>15</v>
      </c>
      <c r="I3" s="10" t="s">
        <v>14</v>
      </c>
      <c r="J3" t="s">
        <v>15</v>
      </c>
      <c r="L3" s="10" t="s">
        <v>14</v>
      </c>
      <c r="M3" t="s">
        <v>15</v>
      </c>
      <c r="O3" s="10" t="s">
        <v>14</v>
      </c>
      <c r="P3" t="s">
        <v>15</v>
      </c>
      <c r="S3" s="10" t="s">
        <v>14</v>
      </c>
      <c r="T3" t="s">
        <v>39</v>
      </c>
      <c r="V3" s="10" t="s">
        <v>14</v>
      </c>
      <c r="W3" t="s">
        <v>39</v>
      </c>
      <c r="Y3" s="10" t="s">
        <v>14</v>
      </c>
      <c r="Z3" t="s">
        <v>39</v>
      </c>
      <c r="AB3" s="10" t="s">
        <v>14</v>
      </c>
      <c r="AC3" t="s">
        <v>39</v>
      </c>
      <c r="AE3" t="str">
        <f>IF(S4="","Muito Satisfeito",IF(S4="Muito Satisfeito",S4))</f>
        <v>Muito Satisfeito</v>
      </c>
      <c r="AF3">
        <f>IF(AE3=S4,T4,NA())</f>
        <v>32</v>
      </c>
      <c r="AH3" s="19"/>
      <c r="AI3" s="10" t="s">
        <v>15</v>
      </c>
      <c r="AJ3" s="10" t="s">
        <v>34</v>
      </c>
      <c r="AM3" s="10" t="s">
        <v>15</v>
      </c>
      <c r="AN3" s="10" t="s">
        <v>34</v>
      </c>
    </row>
    <row r="4" spans="1:41" x14ac:dyDescent="0.25">
      <c r="A4" s="8">
        <v>126</v>
      </c>
      <c r="B4" s="9">
        <f>A4/COUNTA(Tabela2[Perguntas])</f>
        <v>7</v>
      </c>
      <c r="D4" s="8">
        <v>126</v>
      </c>
      <c r="F4" s="2" t="s">
        <v>7</v>
      </c>
      <c r="G4" s="8">
        <v>32</v>
      </c>
      <c r="H4" s="12">
        <f>IF(G4="",0%,G4/D4)</f>
        <v>0.25396825396825395</v>
      </c>
      <c r="I4" s="2" t="s">
        <v>6</v>
      </c>
      <c r="J4" s="8">
        <v>7</v>
      </c>
      <c r="K4" s="13">
        <f>IF(J4="",0%,J4/D4)</f>
        <v>5.5555555555555552E-2</v>
      </c>
      <c r="L4" s="2" t="s">
        <v>5</v>
      </c>
      <c r="M4" s="8">
        <v>12</v>
      </c>
      <c r="N4" s="13">
        <f>IF(M4="",0%,M4/D4)</f>
        <v>9.5238095238095233E-2</v>
      </c>
      <c r="O4" s="2" t="s">
        <v>4</v>
      </c>
      <c r="P4" s="8">
        <v>75</v>
      </c>
      <c r="Q4" s="11">
        <f>IF(P4="",0%,P4/D4)</f>
        <v>0.59523809523809523</v>
      </c>
      <c r="S4" s="2" t="s">
        <v>7</v>
      </c>
      <c r="T4" s="8">
        <v>32</v>
      </c>
      <c r="V4" s="2" t="s">
        <v>6</v>
      </c>
      <c r="W4" s="8">
        <v>7</v>
      </c>
      <c r="Y4" s="2" t="s">
        <v>5</v>
      </c>
      <c r="Z4" s="8">
        <v>12</v>
      </c>
      <c r="AB4" s="2" t="s">
        <v>4</v>
      </c>
      <c r="AC4" s="8">
        <v>75</v>
      </c>
      <c r="AE4" t="str">
        <f>IF(V4="","Satisfeito",IF(V4="Satisfeito",V4))</f>
        <v>Satisfeito</v>
      </c>
      <c r="AF4">
        <f>IF(AE4=V4,W4,NA())</f>
        <v>7</v>
      </c>
      <c r="AH4" s="20"/>
      <c r="AI4" s="10" t="s">
        <v>14</v>
      </c>
      <c r="AJ4" t="s">
        <v>4</v>
      </c>
      <c r="AM4" s="10" t="s">
        <v>14</v>
      </c>
      <c r="AN4" t="s">
        <v>7</v>
      </c>
    </row>
    <row r="5" spans="1:41" ht="37.5" customHeight="1" x14ac:dyDescent="0.3">
      <c r="AE5" t="str">
        <f>IF(Y4="","Insatisfeito",IF(Y4="Insatisfeito",Y4))</f>
        <v>Insatisfeito</v>
      </c>
      <c r="AF5">
        <f>IF(AE5=Y4,Z4,NA())</f>
        <v>12</v>
      </c>
      <c r="AH5" s="20"/>
      <c r="AI5" s="2" t="s">
        <v>19</v>
      </c>
      <c r="AJ5" s="8">
        <v>6</v>
      </c>
      <c r="AK5" s="17" t="str">
        <f>IF(AI5="","",AI5)</f>
        <v>D-Como você se sente em relação aos investimentos realizados pela empresa nos funcionários?</v>
      </c>
      <c r="AM5" s="2" t="s">
        <v>16</v>
      </c>
      <c r="AN5" s="8">
        <v>6</v>
      </c>
      <c r="AO5" s="18" t="str">
        <f>IF(AM5="","",AM5)</f>
        <v>A-Como você se sente em relação à comunicação interna da empresa?</v>
      </c>
    </row>
    <row r="6" spans="1:41" ht="37.5" customHeight="1" x14ac:dyDescent="0.3">
      <c r="AE6" t="str">
        <f>IF(AB4="","Muito Insatisfeito",IF(AB4="Muito Insatisfeito",AB4))</f>
        <v>Muito Insatisfeito</v>
      </c>
      <c r="AF6">
        <f>IF(AE6=AB4,AC4,NA())</f>
        <v>75</v>
      </c>
      <c r="AH6" s="20"/>
      <c r="AI6" s="2" t="s">
        <v>20</v>
      </c>
      <c r="AJ6" s="8">
        <v>6</v>
      </c>
      <c r="AK6" s="17" t="str">
        <f t="shared" ref="AK6:AK19" si="0">IF(AI6="","",AI6)</f>
        <v>E-Como você se sente em relação ao reconhecimento de funcionários que apresentam um bom desempenho?</v>
      </c>
      <c r="AM6" s="2" t="s">
        <v>23</v>
      </c>
      <c r="AN6" s="8">
        <v>4</v>
      </c>
      <c r="AO6" s="18" t="str">
        <f t="shared" ref="AO6:AO12" si="1">IF(AM6="","",AM6)</f>
        <v>H-Como você se sente em relação ao seu relacionamento profissional com os seus superiores?</v>
      </c>
    </row>
    <row r="7" spans="1:41" ht="37.5" customHeight="1" x14ac:dyDescent="0.3">
      <c r="AH7" s="20"/>
      <c r="AI7" s="2" t="s">
        <v>22</v>
      </c>
      <c r="AJ7" s="8">
        <v>6</v>
      </c>
      <c r="AK7" s="17" t="str">
        <f t="shared" si="0"/>
        <v>G-Como você se sente em relação à  sua preparação para realização do seu trabalho diário?</v>
      </c>
      <c r="AM7" s="2" t="s">
        <v>32</v>
      </c>
      <c r="AN7" s="8">
        <v>4</v>
      </c>
      <c r="AO7" s="18" t="str">
        <f t="shared" si="1"/>
        <v>Q-Como você se sente em relação ao reconhecimento e valorização do seu trabalho?</v>
      </c>
    </row>
    <row r="8" spans="1:41" ht="56.25" x14ac:dyDescent="0.3">
      <c r="AH8" s="20"/>
      <c r="AK8" s="17" t="str">
        <f t="shared" si="0"/>
        <v/>
      </c>
      <c r="AO8" s="18" t="str">
        <f t="shared" si="1"/>
        <v/>
      </c>
    </row>
    <row r="9" spans="1:41" ht="37.5" x14ac:dyDescent="0.3">
      <c r="AH9" s="20"/>
      <c r="AK9" s="17" t="str">
        <f t="shared" si="0"/>
        <v/>
      </c>
      <c r="AO9" s="18" t="str">
        <f t="shared" si="1"/>
        <v/>
      </c>
    </row>
    <row r="10" spans="1:41" ht="37.5" x14ac:dyDescent="0.3">
      <c r="AH10" s="20"/>
      <c r="AK10" s="17" t="str">
        <f t="shared" si="0"/>
        <v/>
      </c>
      <c r="AO10" s="18" t="str">
        <f t="shared" si="1"/>
        <v/>
      </c>
    </row>
    <row r="11" spans="1:41" ht="37.5" x14ac:dyDescent="0.3">
      <c r="AH11" s="20"/>
      <c r="AK11" s="17" t="str">
        <f t="shared" si="0"/>
        <v/>
      </c>
      <c r="AO11" s="18" t="str">
        <f t="shared" si="1"/>
        <v/>
      </c>
    </row>
    <row r="12" spans="1:41" ht="18.75" x14ac:dyDescent="0.3">
      <c r="AH12" s="20"/>
      <c r="AK12" s="17" t="str">
        <f t="shared" si="0"/>
        <v/>
      </c>
      <c r="AO12" s="18" t="str">
        <f t="shared" si="1"/>
        <v/>
      </c>
    </row>
    <row r="13" spans="1:41" ht="18.75" x14ac:dyDescent="0.3">
      <c r="AH13" s="20"/>
      <c r="AK13" s="16" t="str">
        <f t="shared" si="0"/>
        <v/>
      </c>
    </row>
    <row r="14" spans="1:41" ht="18.75" x14ac:dyDescent="0.3">
      <c r="AH14" s="20"/>
      <c r="AK14" s="16" t="str">
        <f t="shared" si="0"/>
        <v/>
      </c>
    </row>
    <row r="15" spans="1:41" ht="18.75" x14ac:dyDescent="0.3">
      <c r="AH15" s="20"/>
      <c r="AK15" s="15" t="str">
        <f t="shared" si="0"/>
        <v/>
      </c>
    </row>
    <row r="16" spans="1:41" ht="18.75" x14ac:dyDescent="0.3">
      <c r="AH16" s="20"/>
      <c r="AK16" s="15" t="str">
        <f t="shared" si="0"/>
        <v/>
      </c>
    </row>
    <row r="17" spans="34:37" ht="18.75" x14ac:dyDescent="0.3">
      <c r="AH17" s="20"/>
      <c r="AK17" s="15" t="str">
        <f t="shared" si="0"/>
        <v/>
      </c>
    </row>
    <row r="18" spans="34:37" ht="18.75" x14ac:dyDescent="0.3">
      <c r="AH18" s="20"/>
      <c r="AK18" s="15" t="str">
        <f t="shared" si="0"/>
        <v/>
      </c>
    </row>
    <row r="19" spans="34:37" ht="18.75" x14ac:dyDescent="0.3">
      <c r="AH19" s="20"/>
      <c r="AK19" s="15" t="str">
        <f t="shared" si="0"/>
        <v/>
      </c>
    </row>
    <row r="20" spans="34:37" x14ac:dyDescent="0.25">
      <c r="AH20" s="2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6060-E39B-48CF-B3D9-C1E1C5DFD773}">
  <dimension ref="A1:D127"/>
  <sheetViews>
    <sheetView topLeftCell="A98" workbookViewId="0">
      <selection activeCell="D116" sqref="D116"/>
    </sheetView>
  </sheetViews>
  <sheetFormatPr defaultRowHeight="15" x14ac:dyDescent="0.25"/>
  <cols>
    <col min="1" max="1" width="14" customWidth="1"/>
    <col min="2" max="2" width="12" style="7" bestFit="1" customWidth="1"/>
    <col min="3" max="3" width="109.28515625" bestFit="1" customWidth="1"/>
    <col min="4" max="4" width="19.7109375" customWidth="1"/>
  </cols>
  <sheetData>
    <row r="1" spans="1:4" x14ac:dyDescent="0.25">
      <c r="A1" s="1" t="s">
        <v>0</v>
      </c>
      <c r="B1" s="6" t="s">
        <v>1</v>
      </c>
      <c r="C1" s="1" t="s">
        <v>2</v>
      </c>
      <c r="D1" s="1" t="s">
        <v>3</v>
      </c>
    </row>
    <row r="2" spans="1:4" x14ac:dyDescent="0.25">
      <c r="A2" t="s">
        <v>8</v>
      </c>
      <c r="B2" s="7" t="s">
        <v>9</v>
      </c>
      <c r="C2" t="s">
        <v>16</v>
      </c>
      <c r="D2" t="s">
        <v>7</v>
      </c>
    </row>
    <row r="3" spans="1:4" x14ac:dyDescent="0.25">
      <c r="A3" t="s">
        <v>8</v>
      </c>
      <c r="B3" s="7" t="s">
        <v>9</v>
      </c>
      <c r="C3" t="s">
        <v>17</v>
      </c>
      <c r="D3" t="s">
        <v>4</v>
      </c>
    </row>
    <row r="4" spans="1:4" x14ac:dyDescent="0.25">
      <c r="A4" t="s">
        <v>8</v>
      </c>
      <c r="B4" s="7" t="s">
        <v>9</v>
      </c>
      <c r="C4" t="s">
        <v>18</v>
      </c>
      <c r="D4" t="s">
        <v>4</v>
      </c>
    </row>
    <row r="5" spans="1:4" x14ac:dyDescent="0.25">
      <c r="A5" t="s">
        <v>8</v>
      </c>
      <c r="B5" s="7" t="s">
        <v>9</v>
      </c>
      <c r="C5" t="s">
        <v>19</v>
      </c>
      <c r="D5" t="s">
        <v>4</v>
      </c>
    </row>
    <row r="6" spans="1:4" x14ac:dyDescent="0.25">
      <c r="A6" t="s">
        <v>8</v>
      </c>
      <c r="B6" s="7" t="s">
        <v>9</v>
      </c>
      <c r="C6" t="s">
        <v>20</v>
      </c>
      <c r="D6" t="s">
        <v>4</v>
      </c>
    </row>
    <row r="7" spans="1:4" x14ac:dyDescent="0.25">
      <c r="A7" t="s">
        <v>8</v>
      </c>
      <c r="B7" s="7" t="s">
        <v>9</v>
      </c>
      <c r="C7" t="s">
        <v>21</v>
      </c>
      <c r="D7" t="s">
        <v>5</v>
      </c>
    </row>
    <row r="8" spans="1:4" x14ac:dyDescent="0.25">
      <c r="A8" t="s">
        <v>8</v>
      </c>
      <c r="B8" s="7" t="s">
        <v>9</v>
      </c>
      <c r="C8" t="s">
        <v>22</v>
      </c>
      <c r="D8" t="s">
        <v>4</v>
      </c>
    </row>
    <row r="9" spans="1:4" x14ac:dyDescent="0.25">
      <c r="A9" t="s">
        <v>8</v>
      </c>
      <c r="B9" s="7" t="s">
        <v>9</v>
      </c>
      <c r="C9" t="s">
        <v>23</v>
      </c>
      <c r="D9" t="s">
        <v>7</v>
      </c>
    </row>
    <row r="10" spans="1:4" x14ac:dyDescent="0.25">
      <c r="A10" t="s">
        <v>8</v>
      </c>
      <c r="B10" s="7" t="s">
        <v>9</v>
      </c>
      <c r="C10" t="s">
        <v>24</v>
      </c>
      <c r="D10" t="s">
        <v>6</v>
      </c>
    </row>
    <row r="11" spans="1:4" x14ac:dyDescent="0.25">
      <c r="A11" t="s">
        <v>8</v>
      </c>
      <c r="B11" s="7" t="s">
        <v>9</v>
      </c>
      <c r="C11" t="s">
        <v>25</v>
      </c>
      <c r="D11" t="s">
        <v>7</v>
      </c>
    </row>
    <row r="12" spans="1:4" x14ac:dyDescent="0.25">
      <c r="A12" t="s">
        <v>8</v>
      </c>
      <c r="B12" s="7" t="s">
        <v>9</v>
      </c>
      <c r="C12" t="s">
        <v>26</v>
      </c>
      <c r="D12" t="s">
        <v>7</v>
      </c>
    </row>
    <row r="13" spans="1:4" x14ac:dyDescent="0.25">
      <c r="A13" t="s">
        <v>8</v>
      </c>
      <c r="B13" s="7" t="s">
        <v>9</v>
      </c>
      <c r="C13" t="s">
        <v>27</v>
      </c>
      <c r="D13" t="s">
        <v>4</v>
      </c>
    </row>
    <row r="14" spans="1:4" x14ac:dyDescent="0.25">
      <c r="A14" t="s">
        <v>8</v>
      </c>
      <c r="B14" s="7" t="s">
        <v>9</v>
      </c>
      <c r="C14" t="s">
        <v>28</v>
      </c>
      <c r="D14" t="s">
        <v>7</v>
      </c>
    </row>
    <row r="15" spans="1:4" x14ac:dyDescent="0.25">
      <c r="A15" t="s">
        <v>8</v>
      </c>
      <c r="B15" s="7" t="s">
        <v>9</v>
      </c>
      <c r="C15" t="s">
        <v>29</v>
      </c>
      <c r="D15" t="s">
        <v>5</v>
      </c>
    </row>
    <row r="16" spans="1:4" x14ac:dyDescent="0.25">
      <c r="A16" t="s">
        <v>8</v>
      </c>
      <c r="B16" s="7" t="s">
        <v>9</v>
      </c>
      <c r="C16" t="s">
        <v>30</v>
      </c>
      <c r="D16" t="s">
        <v>7</v>
      </c>
    </row>
    <row r="17" spans="1:4" x14ac:dyDescent="0.25">
      <c r="A17" t="s">
        <v>8</v>
      </c>
      <c r="B17" s="7" t="s">
        <v>9</v>
      </c>
      <c r="C17" t="s">
        <v>31</v>
      </c>
      <c r="D17" t="s">
        <v>5</v>
      </c>
    </row>
    <row r="18" spans="1:4" x14ac:dyDescent="0.25">
      <c r="A18" t="s">
        <v>8</v>
      </c>
      <c r="B18" s="7" t="s">
        <v>9</v>
      </c>
      <c r="C18" t="s">
        <v>32</v>
      </c>
      <c r="D18" t="s">
        <v>7</v>
      </c>
    </row>
    <row r="19" spans="1:4" x14ac:dyDescent="0.25">
      <c r="A19" t="s">
        <v>8</v>
      </c>
      <c r="B19" s="7" t="s">
        <v>9</v>
      </c>
      <c r="C19" t="s">
        <v>33</v>
      </c>
      <c r="D19" t="s">
        <v>4</v>
      </c>
    </row>
    <row r="20" spans="1:4" x14ac:dyDescent="0.25">
      <c r="A20" t="s">
        <v>10</v>
      </c>
      <c r="B20" s="7" t="s">
        <v>9</v>
      </c>
      <c r="C20" t="s">
        <v>16</v>
      </c>
      <c r="D20" t="s">
        <v>7</v>
      </c>
    </row>
    <row r="21" spans="1:4" x14ac:dyDescent="0.25">
      <c r="A21" t="s">
        <v>10</v>
      </c>
      <c r="B21" s="7" t="s">
        <v>9</v>
      </c>
      <c r="C21" t="s">
        <v>17</v>
      </c>
      <c r="D21" t="s">
        <v>6</v>
      </c>
    </row>
    <row r="22" spans="1:4" x14ac:dyDescent="0.25">
      <c r="A22" t="s">
        <v>10</v>
      </c>
      <c r="B22" s="7" t="s">
        <v>9</v>
      </c>
      <c r="C22" t="s">
        <v>18</v>
      </c>
      <c r="D22" t="s">
        <v>5</v>
      </c>
    </row>
    <row r="23" spans="1:4" x14ac:dyDescent="0.25">
      <c r="A23" t="s">
        <v>10</v>
      </c>
      <c r="B23" s="7" t="s">
        <v>9</v>
      </c>
      <c r="C23" t="s">
        <v>19</v>
      </c>
      <c r="D23" t="s">
        <v>4</v>
      </c>
    </row>
    <row r="24" spans="1:4" x14ac:dyDescent="0.25">
      <c r="A24" t="s">
        <v>10</v>
      </c>
      <c r="B24" s="7" t="s">
        <v>9</v>
      </c>
      <c r="C24" t="s">
        <v>20</v>
      </c>
      <c r="D24" t="s">
        <v>4</v>
      </c>
    </row>
    <row r="25" spans="1:4" x14ac:dyDescent="0.25">
      <c r="A25" t="s">
        <v>10</v>
      </c>
      <c r="B25" s="7" t="s">
        <v>9</v>
      </c>
      <c r="C25" t="s">
        <v>21</v>
      </c>
      <c r="D25" t="s">
        <v>5</v>
      </c>
    </row>
    <row r="26" spans="1:4" x14ac:dyDescent="0.25">
      <c r="A26" t="s">
        <v>10</v>
      </c>
      <c r="B26" s="7" t="s">
        <v>9</v>
      </c>
      <c r="C26" t="s">
        <v>22</v>
      </c>
      <c r="D26" t="s">
        <v>4</v>
      </c>
    </row>
    <row r="27" spans="1:4" x14ac:dyDescent="0.25">
      <c r="A27" t="s">
        <v>10</v>
      </c>
      <c r="B27" s="7" t="s">
        <v>9</v>
      </c>
      <c r="C27" t="s">
        <v>23</v>
      </c>
      <c r="D27" t="s">
        <v>7</v>
      </c>
    </row>
    <row r="28" spans="1:4" x14ac:dyDescent="0.25">
      <c r="A28" t="s">
        <v>10</v>
      </c>
      <c r="B28" s="7" t="s">
        <v>9</v>
      </c>
      <c r="C28" t="s">
        <v>24</v>
      </c>
      <c r="D28" t="s">
        <v>6</v>
      </c>
    </row>
    <row r="29" spans="1:4" x14ac:dyDescent="0.25">
      <c r="A29" t="s">
        <v>10</v>
      </c>
      <c r="B29" s="7" t="s">
        <v>9</v>
      </c>
      <c r="C29" t="s">
        <v>25</v>
      </c>
      <c r="D29" t="s">
        <v>7</v>
      </c>
    </row>
    <row r="30" spans="1:4" x14ac:dyDescent="0.25">
      <c r="A30" t="s">
        <v>10</v>
      </c>
      <c r="B30" s="7" t="s">
        <v>9</v>
      </c>
      <c r="C30" t="s">
        <v>26</v>
      </c>
      <c r="D30" t="s">
        <v>7</v>
      </c>
    </row>
    <row r="31" spans="1:4" x14ac:dyDescent="0.25">
      <c r="A31" t="s">
        <v>10</v>
      </c>
      <c r="B31" s="7" t="s">
        <v>9</v>
      </c>
      <c r="C31" t="s">
        <v>27</v>
      </c>
      <c r="D31" t="s">
        <v>4</v>
      </c>
    </row>
    <row r="32" spans="1:4" x14ac:dyDescent="0.25">
      <c r="A32" t="s">
        <v>10</v>
      </c>
      <c r="B32" s="7" t="s">
        <v>9</v>
      </c>
      <c r="C32" t="s">
        <v>28</v>
      </c>
      <c r="D32" t="s">
        <v>7</v>
      </c>
    </row>
    <row r="33" spans="1:4" x14ac:dyDescent="0.25">
      <c r="A33" t="s">
        <v>10</v>
      </c>
      <c r="B33" s="7" t="s">
        <v>9</v>
      </c>
      <c r="C33" t="s">
        <v>29</v>
      </c>
      <c r="D33" t="s">
        <v>5</v>
      </c>
    </row>
    <row r="34" spans="1:4" x14ac:dyDescent="0.25">
      <c r="A34" t="s">
        <v>10</v>
      </c>
      <c r="B34" s="7" t="s">
        <v>9</v>
      </c>
      <c r="C34" t="s">
        <v>30</v>
      </c>
      <c r="D34" t="s">
        <v>7</v>
      </c>
    </row>
    <row r="35" spans="1:4" x14ac:dyDescent="0.25">
      <c r="A35" t="s">
        <v>10</v>
      </c>
      <c r="B35" s="7" t="s">
        <v>9</v>
      </c>
      <c r="C35" t="s">
        <v>31</v>
      </c>
      <c r="D35" t="s">
        <v>5</v>
      </c>
    </row>
    <row r="36" spans="1:4" x14ac:dyDescent="0.25">
      <c r="A36" t="s">
        <v>10</v>
      </c>
      <c r="B36" s="7" t="s">
        <v>9</v>
      </c>
      <c r="C36" t="s">
        <v>32</v>
      </c>
      <c r="D36" t="s">
        <v>7</v>
      </c>
    </row>
    <row r="37" spans="1:4" x14ac:dyDescent="0.25">
      <c r="A37" t="s">
        <v>10</v>
      </c>
      <c r="B37" s="7" t="s">
        <v>9</v>
      </c>
      <c r="C37" t="s">
        <v>33</v>
      </c>
      <c r="D37" t="s">
        <v>4</v>
      </c>
    </row>
    <row r="38" spans="1:4" x14ac:dyDescent="0.25">
      <c r="A38" t="s">
        <v>11</v>
      </c>
      <c r="B38" s="5" t="s">
        <v>12</v>
      </c>
      <c r="C38" t="s">
        <v>16</v>
      </c>
      <c r="D38" t="s">
        <v>7</v>
      </c>
    </row>
    <row r="39" spans="1:4" x14ac:dyDescent="0.25">
      <c r="A39" t="s">
        <v>11</v>
      </c>
      <c r="B39" s="5" t="s">
        <v>12</v>
      </c>
      <c r="C39" t="s">
        <v>17</v>
      </c>
      <c r="D39" t="s">
        <v>6</v>
      </c>
    </row>
    <row r="40" spans="1:4" x14ac:dyDescent="0.25">
      <c r="A40" t="s">
        <v>11</v>
      </c>
      <c r="B40" s="5" t="s">
        <v>12</v>
      </c>
      <c r="C40" t="s">
        <v>18</v>
      </c>
      <c r="D40" t="s">
        <v>5</v>
      </c>
    </row>
    <row r="41" spans="1:4" x14ac:dyDescent="0.25">
      <c r="A41" t="s">
        <v>11</v>
      </c>
      <c r="B41" s="5" t="s">
        <v>12</v>
      </c>
      <c r="C41" t="s">
        <v>19</v>
      </c>
      <c r="D41" t="s">
        <v>4</v>
      </c>
    </row>
    <row r="42" spans="1:4" x14ac:dyDescent="0.25">
      <c r="A42" t="s">
        <v>11</v>
      </c>
      <c r="B42" s="5" t="s">
        <v>12</v>
      </c>
      <c r="C42" t="s">
        <v>20</v>
      </c>
      <c r="D42" t="s">
        <v>4</v>
      </c>
    </row>
    <row r="43" spans="1:4" x14ac:dyDescent="0.25">
      <c r="A43" t="s">
        <v>11</v>
      </c>
      <c r="B43" s="5" t="s">
        <v>12</v>
      </c>
      <c r="C43" t="s">
        <v>21</v>
      </c>
      <c r="D43" t="s">
        <v>5</v>
      </c>
    </row>
    <row r="44" spans="1:4" x14ac:dyDescent="0.25">
      <c r="A44" t="s">
        <v>11</v>
      </c>
      <c r="B44" s="5" t="s">
        <v>12</v>
      </c>
      <c r="C44" t="s">
        <v>22</v>
      </c>
      <c r="D44" t="s">
        <v>4</v>
      </c>
    </row>
    <row r="45" spans="1:4" x14ac:dyDescent="0.25">
      <c r="A45" t="s">
        <v>11</v>
      </c>
      <c r="B45" s="5" t="s">
        <v>12</v>
      </c>
      <c r="C45" t="s">
        <v>23</v>
      </c>
      <c r="D45" t="s">
        <v>7</v>
      </c>
    </row>
    <row r="46" spans="1:4" x14ac:dyDescent="0.25">
      <c r="A46" t="s">
        <v>11</v>
      </c>
      <c r="B46" s="5" t="s">
        <v>12</v>
      </c>
      <c r="C46" t="s">
        <v>24</v>
      </c>
      <c r="D46" t="s">
        <v>4</v>
      </c>
    </row>
    <row r="47" spans="1:4" x14ac:dyDescent="0.25">
      <c r="A47" t="s">
        <v>11</v>
      </c>
      <c r="B47" s="5" t="s">
        <v>12</v>
      </c>
      <c r="C47" t="s">
        <v>25</v>
      </c>
      <c r="D47" t="s">
        <v>7</v>
      </c>
    </row>
    <row r="48" spans="1:4" x14ac:dyDescent="0.25">
      <c r="A48" t="s">
        <v>11</v>
      </c>
      <c r="B48" s="5" t="s">
        <v>12</v>
      </c>
      <c r="C48" t="s">
        <v>26</v>
      </c>
      <c r="D48" t="s">
        <v>7</v>
      </c>
    </row>
    <row r="49" spans="1:4" x14ac:dyDescent="0.25">
      <c r="A49" t="s">
        <v>11</v>
      </c>
      <c r="B49" s="5" t="s">
        <v>12</v>
      </c>
      <c r="C49" t="s">
        <v>27</v>
      </c>
      <c r="D49" t="s">
        <v>7</v>
      </c>
    </row>
    <row r="50" spans="1:4" x14ac:dyDescent="0.25">
      <c r="A50" t="s">
        <v>11</v>
      </c>
      <c r="B50" s="5" t="s">
        <v>12</v>
      </c>
      <c r="C50" t="s">
        <v>28</v>
      </c>
      <c r="D50" t="s">
        <v>7</v>
      </c>
    </row>
    <row r="51" spans="1:4" x14ac:dyDescent="0.25">
      <c r="A51" t="s">
        <v>11</v>
      </c>
      <c r="B51" s="5" t="s">
        <v>12</v>
      </c>
      <c r="C51" t="s">
        <v>29</v>
      </c>
      <c r="D51" t="s">
        <v>4</v>
      </c>
    </row>
    <row r="52" spans="1:4" x14ac:dyDescent="0.25">
      <c r="A52" t="s">
        <v>11</v>
      </c>
      <c r="B52" s="5" t="s">
        <v>12</v>
      </c>
      <c r="C52" t="s">
        <v>30</v>
      </c>
      <c r="D52" t="s">
        <v>7</v>
      </c>
    </row>
    <row r="53" spans="1:4" x14ac:dyDescent="0.25">
      <c r="A53" t="s">
        <v>11</v>
      </c>
      <c r="B53" s="5" t="s">
        <v>12</v>
      </c>
      <c r="C53" t="s">
        <v>31</v>
      </c>
      <c r="D53" t="s">
        <v>4</v>
      </c>
    </row>
    <row r="54" spans="1:4" x14ac:dyDescent="0.25">
      <c r="A54" t="s">
        <v>11</v>
      </c>
      <c r="B54" s="5" t="s">
        <v>12</v>
      </c>
      <c r="C54" t="s">
        <v>32</v>
      </c>
      <c r="D54" t="s">
        <v>7</v>
      </c>
    </row>
    <row r="55" spans="1:4" x14ac:dyDescent="0.25">
      <c r="A55" t="s">
        <v>11</v>
      </c>
      <c r="B55" s="5" t="s">
        <v>12</v>
      </c>
      <c r="C55" t="s">
        <v>33</v>
      </c>
      <c r="D55" t="s">
        <v>7</v>
      </c>
    </row>
    <row r="56" spans="1:4" x14ac:dyDescent="0.25">
      <c r="A56" t="s">
        <v>36</v>
      </c>
      <c r="B56" s="5" t="s">
        <v>35</v>
      </c>
      <c r="C56" t="s">
        <v>16</v>
      </c>
      <c r="D56" t="s">
        <v>7</v>
      </c>
    </row>
    <row r="57" spans="1:4" x14ac:dyDescent="0.25">
      <c r="A57" t="s">
        <v>36</v>
      </c>
      <c r="B57" s="5" t="s">
        <v>35</v>
      </c>
      <c r="C57" t="s">
        <v>17</v>
      </c>
      <c r="D57" t="s">
        <v>4</v>
      </c>
    </row>
    <row r="58" spans="1:4" x14ac:dyDescent="0.25">
      <c r="A58" t="s">
        <v>36</v>
      </c>
      <c r="B58" s="5" t="s">
        <v>35</v>
      </c>
      <c r="C58" t="s">
        <v>18</v>
      </c>
      <c r="D58" t="s">
        <v>4</v>
      </c>
    </row>
    <row r="59" spans="1:4" x14ac:dyDescent="0.25">
      <c r="A59" t="s">
        <v>36</v>
      </c>
      <c r="B59" s="5" t="s">
        <v>35</v>
      </c>
      <c r="C59" t="s">
        <v>19</v>
      </c>
      <c r="D59" t="s">
        <v>4</v>
      </c>
    </row>
    <row r="60" spans="1:4" x14ac:dyDescent="0.25">
      <c r="A60" t="s">
        <v>36</v>
      </c>
      <c r="B60" s="5" t="s">
        <v>35</v>
      </c>
      <c r="C60" t="s">
        <v>20</v>
      </c>
      <c r="D60" t="s">
        <v>4</v>
      </c>
    </row>
    <row r="61" spans="1:4" x14ac:dyDescent="0.25">
      <c r="A61" t="s">
        <v>36</v>
      </c>
      <c r="B61" s="5" t="s">
        <v>35</v>
      </c>
      <c r="C61" t="s">
        <v>21</v>
      </c>
      <c r="D61" t="s">
        <v>4</v>
      </c>
    </row>
    <row r="62" spans="1:4" x14ac:dyDescent="0.25">
      <c r="A62" t="s">
        <v>36</v>
      </c>
      <c r="B62" s="5" t="s">
        <v>35</v>
      </c>
      <c r="C62" t="s">
        <v>22</v>
      </c>
      <c r="D62" t="s">
        <v>4</v>
      </c>
    </row>
    <row r="63" spans="1:4" x14ac:dyDescent="0.25">
      <c r="A63" t="s">
        <v>36</v>
      </c>
      <c r="B63" s="5" t="s">
        <v>35</v>
      </c>
      <c r="C63" t="s">
        <v>23</v>
      </c>
      <c r="D63" t="s">
        <v>4</v>
      </c>
    </row>
    <row r="64" spans="1:4" x14ac:dyDescent="0.25">
      <c r="A64" t="s">
        <v>36</v>
      </c>
      <c r="B64" s="5" t="s">
        <v>35</v>
      </c>
      <c r="C64" t="s">
        <v>24</v>
      </c>
      <c r="D64" t="s">
        <v>4</v>
      </c>
    </row>
    <row r="65" spans="1:4" x14ac:dyDescent="0.25">
      <c r="A65" t="s">
        <v>36</v>
      </c>
      <c r="B65" s="5" t="s">
        <v>35</v>
      </c>
      <c r="C65" t="s">
        <v>25</v>
      </c>
      <c r="D65" t="s">
        <v>4</v>
      </c>
    </row>
    <row r="66" spans="1:4" x14ac:dyDescent="0.25">
      <c r="A66" t="s">
        <v>36</v>
      </c>
      <c r="B66" s="5" t="s">
        <v>35</v>
      </c>
      <c r="C66" t="s">
        <v>26</v>
      </c>
      <c r="D66" t="s">
        <v>4</v>
      </c>
    </row>
    <row r="67" spans="1:4" x14ac:dyDescent="0.25">
      <c r="A67" t="s">
        <v>36</v>
      </c>
      <c r="B67" s="5" t="s">
        <v>35</v>
      </c>
      <c r="C67" t="s">
        <v>27</v>
      </c>
      <c r="D67" t="s">
        <v>4</v>
      </c>
    </row>
    <row r="68" spans="1:4" x14ac:dyDescent="0.25">
      <c r="A68" t="s">
        <v>36</v>
      </c>
      <c r="B68" s="5" t="s">
        <v>35</v>
      </c>
      <c r="C68" t="s">
        <v>28</v>
      </c>
      <c r="D68" t="s">
        <v>4</v>
      </c>
    </row>
    <row r="69" spans="1:4" x14ac:dyDescent="0.25">
      <c r="A69" t="s">
        <v>36</v>
      </c>
      <c r="B69" s="5" t="s">
        <v>35</v>
      </c>
      <c r="C69" t="s">
        <v>29</v>
      </c>
      <c r="D69" t="s">
        <v>4</v>
      </c>
    </row>
    <row r="70" spans="1:4" x14ac:dyDescent="0.25">
      <c r="A70" t="s">
        <v>36</v>
      </c>
      <c r="B70" s="5" t="s">
        <v>35</v>
      </c>
      <c r="C70" t="s">
        <v>30</v>
      </c>
      <c r="D70" t="s">
        <v>4</v>
      </c>
    </row>
    <row r="71" spans="1:4" x14ac:dyDescent="0.25">
      <c r="A71" t="s">
        <v>36</v>
      </c>
      <c r="B71" s="5" t="s">
        <v>35</v>
      </c>
      <c r="C71" t="s">
        <v>31</v>
      </c>
      <c r="D71" t="s">
        <v>4</v>
      </c>
    </row>
    <row r="72" spans="1:4" x14ac:dyDescent="0.25">
      <c r="A72" t="s">
        <v>36</v>
      </c>
      <c r="B72" s="5" t="s">
        <v>35</v>
      </c>
      <c r="C72" t="s">
        <v>32</v>
      </c>
      <c r="D72" t="s">
        <v>4</v>
      </c>
    </row>
    <row r="73" spans="1:4" x14ac:dyDescent="0.25">
      <c r="A73" t="s">
        <v>36</v>
      </c>
      <c r="B73" s="5" t="s">
        <v>35</v>
      </c>
      <c r="C73" t="s">
        <v>33</v>
      </c>
      <c r="D73" t="s">
        <v>4</v>
      </c>
    </row>
    <row r="74" spans="1:4" x14ac:dyDescent="0.25">
      <c r="A74" t="s">
        <v>37</v>
      </c>
      <c r="B74" s="5" t="s">
        <v>35</v>
      </c>
      <c r="C74" t="s">
        <v>16</v>
      </c>
      <c r="D74" t="s">
        <v>7</v>
      </c>
    </row>
    <row r="75" spans="1:4" x14ac:dyDescent="0.25">
      <c r="A75" t="s">
        <v>37</v>
      </c>
      <c r="B75" s="5" t="s">
        <v>35</v>
      </c>
      <c r="C75" t="s">
        <v>17</v>
      </c>
      <c r="D75" t="s">
        <v>4</v>
      </c>
    </row>
    <row r="76" spans="1:4" x14ac:dyDescent="0.25">
      <c r="A76" t="s">
        <v>37</v>
      </c>
      <c r="B76" s="5" t="s">
        <v>35</v>
      </c>
      <c r="C76" t="s">
        <v>18</v>
      </c>
      <c r="D76" t="s">
        <v>4</v>
      </c>
    </row>
    <row r="77" spans="1:4" x14ac:dyDescent="0.25">
      <c r="A77" t="s">
        <v>37</v>
      </c>
      <c r="B77" s="5" t="s">
        <v>35</v>
      </c>
      <c r="C77" t="s">
        <v>19</v>
      </c>
      <c r="D77" t="s">
        <v>4</v>
      </c>
    </row>
    <row r="78" spans="1:4" x14ac:dyDescent="0.25">
      <c r="A78" t="s">
        <v>37</v>
      </c>
      <c r="B78" s="5" t="s">
        <v>35</v>
      </c>
      <c r="C78" t="s">
        <v>20</v>
      </c>
      <c r="D78" t="s">
        <v>4</v>
      </c>
    </row>
    <row r="79" spans="1:4" x14ac:dyDescent="0.25">
      <c r="A79" t="s">
        <v>37</v>
      </c>
      <c r="B79" s="5" t="s">
        <v>35</v>
      </c>
      <c r="C79" t="s">
        <v>21</v>
      </c>
      <c r="D79" t="s">
        <v>4</v>
      </c>
    </row>
    <row r="80" spans="1:4" x14ac:dyDescent="0.25">
      <c r="A80" t="s">
        <v>37</v>
      </c>
      <c r="B80" s="5" t="s">
        <v>35</v>
      </c>
      <c r="C80" t="s">
        <v>22</v>
      </c>
      <c r="D80" t="s">
        <v>4</v>
      </c>
    </row>
    <row r="81" spans="1:4" x14ac:dyDescent="0.25">
      <c r="A81" t="s">
        <v>37</v>
      </c>
      <c r="B81" s="5" t="s">
        <v>35</v>
      </c>
      <c r="C81" t="s">
        <v>23</v>
      </c>
      <c r="D81" t="s">
        <v>4</v>
      </c>
    </row>
    <row r="82" spans="1:4" x14ac:dyDescent="0.25">
      <c r="A82" t="s">
        <v>37</v>
      </c>
      <c r="B82" s="5" t="s">
        <v>35</v>
      </c>
      <c r="C82" t="s">
        <v>24</v>
      </c>
      <c r="D82" t="s">
        <v>4</v>
      </c>
    </row>
    <row r="83" spans="1:4" x14ac:dyDescent="0.25">
      <c r="A83" t="s">
        <v>37</v>
      </c>
      <c r="B83" s="5" t="s">
        <v>35</v>
      </c>
      <c r="C83" t="s">
        <v>25</v>
      </c>
      <c r="D83" t="s">
        <v>4</v>
      </c>
    </row>
    <row r="84" spans="1:4" x14ac:dyDescent="0.25">
      <c r="A84" t="s">
        <v>37</v>
      </c>
      <c r="B84" s="5" t="s">
        <v>35</v>
      </c>
      <c r="C84" t="s">
        <v>26</v>
      </c>
      <c r="D84" t="s">
        <v>4</v>
      </c>
    </row>
    <row r="85" spans="1:4" x14ac:dyDescent="0.25">
      <c r="A85" t="s">
        <v>37</v>
      </c>
      <c r="B85" s="5" t="s">
        <v>35</v>
      </c>
      <c r="C85" t="s">
        <v>27</v>
      </c>
      <c r="D85" t="s">
        <v>4</v>
      </c>
    </row>
    <row r="86" spans="1:4" x14ac:dyDescent="0.25">
      <c r="A86" t="s">
        <v>37</v>
      </c>
      <c r="B86" s="5" t="s">
        <v>35</v>
      </c>
      <c r="C86" t="s">
        <v>28</v>
      </c>
      <c r="D86" t="s">
        <v>4</v>
      </c>
    </row>
    <row r="87" spans="1:4" x14ac:dyDescent="0.25">
      <c r="A87" t="s">
        <v>37</v>
      </c>
      <c r="B87" s="5" t="s">
        <v>35</v>
      </c>
      <c r="C87" t="s">
        <v>29</v>
      </c>
      <c r="D87" t="s">
        <v>4</v>
      </c>
    </row>
    <row r="88" spans="1:4" x14ac:dyDescent="0.25">
      <c r="A88" t="s">
        <v>37</v>
      </c>
      <c r="B88" s="5" t="s">
        <v>35</v>
      </c>
      <c r="C88" t="s">
        <v>30</v>
      </c>
      <c r="D88" t="s">
        <v>4</v>
      </c>
    </row>
    <row r="89" spans="1:4" x14ac:dyDescent="0.25">
      <c r="A89" t="s">
        <v>37</v>
      </c>
      <c r="B89" s="5" t="s">
        <v>35</v>
      </c>
      <c r="C89" t="s">
        <v>31</v>
      </c>
      <c r="D89" t="s">
        <v>4</v>
      </c>
    </row>
    <row r="90" spans="1:4" x14ac:dyDescent="0.25">
      <c r="A90" t="s">
        <v>37</v>
      </c>
      <c r="B90" s="5" t="s">
        <v>35</v>
      </c>
      <c r="C90" t="s">
        <v>32</v>
      </c>
      <c r="D90" t="s">
        <v>4</v>
      </c>
    </row>
    <row r="91" spans="1:4" x14ac:dyDescent="0.25">
      <c r="A91" t="s">
        <v>37</v>
      </c>
      <c r="B91" s="5" t="s">
        <v>35</v>
      </c>
      <c r="C91" t="s">
        <v>33</v>
      </c>
      <c r="D91" t="s">
        <v>4</v>
      </c>
    </row>
    <row r="92" spans="1:4" x14ac:dyDescent="0.25">
      <c r="A92" t="s">
        <v>38</v>
      </c>
      <c r="B92" s="5" t="s">
        <v>35</v>
      </c>
      <c r="C92" t="s">
        <v>16</v>
      </c>
      <c r="D92" t="s">
        <v>7</v>
      </c>
    </row>
    <row r="93" spans="1:4" x14ac:dyDescent="0.25">
      <c r="A93" t="s">
        <v>38</v>
      </c>
      <c r="B93" s="5" t="s">
        <v>35</v>
      </c>
      <c r="C93" t="s">
        <v>17</v>
      </c>
      <c r="D93" t="s">
        <v>4</v>
      </c>
    </row>
    <row r="94" spans="1:4" x14ac:dyDescent="0.25">
      <c r="A94" t="s">
        <v>38</v>
      </c>
      <c r="B94" s="5" t="s">
        <v>35</v>
      </c>
      <c r="C94" t="s">
        <v>18</v>
      </c>
      <c r="D94" t="s">
        <v>4</v>
      </c>
    </row>
    <row r="95" spans="1:4" x14ac:dyDescent="0.25">
      <c r="A95" t="s">
        <v>38</v>
      </c>
      <c r="B95" s="5" t="s">
        <v>35</v>
      </c>
      <c r="C95" t="s">
        <v>19</v>
      </c>
      <c r="D95" t="s">
        <v>4</v>
      </c>
    </row>
    <row r="96" spans="1:4" x14ac:dyDescent="0.25">
      <c r="A96" t="s">
        <v>38</v>
      </c>
      <c r="B96" s="5" t="s">
        <v>35</v>
      </c>
      <c r="C96" t="s">
        <v>20</v>
      </c>
      <c r="D96" t="s">
        <v>4</v>
      </c>
    </row>
    <row r="97" spans="1:4" x14ac:dyDescent="0.25">
      <c r="A97" t="s">
        <v>38</v>
      </c>
      <c r="B97" s="5" t="s">
        <v>35</v>
      </c>
      <c r="C97" t="s">
        <v>21</v>
      </c>
      <c r="D97" t="s">
        <v>4</v>
      </c>
    </row>
    <row r="98" spans="1:4" x14ac:dyDescent="0.25">
      <c r="A98" t="s">
        <v>38</v>
      </c>
      <c r="B98" s="5" t="s">
        <v>35</v>
      </c>
      <c r="C98" t="s">
        <v>22</v>
      </c>
      <c r="D98" t="s">
        <v>4</v>
      </c>
    </row>
    <row r="99" spans="1:4" x14ac:dyDescent="0.25">
      <c r="A99" t="s">
        <v>38</v>
      </c>
      <c r="B99" s="5" t="s">
        <v>35</v>
      </c>
      <c r="C99" t="s">
        <v>23</v>
      </c>
      <c r="D99" t="s">
        <v>4</v>
      </c>
    </row>
    <row r="100" spans="1:4" x14ac:dyDescent="0.25">
      <c r="A100" t="s">
        <v>38</v>
      </c>
      <c r="B100" s="5" t="s">
        <v>35</v>
      </c>
      <c r="C100" t="s">
        <v>24</v>
      </c>
      <c r="D100" t="s">
        <v>4</v>
      </c>
    </row>
    <row r="101" spans="1:4" x14ac:dyDescent="0.25">
      <c r="A101" t="s">
        <v>38</v>
      </c>
      <c r="B101" s="5" t="s">
        <v>35</v>
      </c>
      <c r="C101" t="s">
        <v>25</v>
      </c>
      <c r="D101" t="s">
        <v>4</v>
      </c>
    </row>
    <row r="102" spans="1:4" x14ac:dyDescent="0.25">
      <c r="A102" t="s">
        <v>38</v>
      </c>
      <c r="B102" s="5" t="s">
        <v>35</v>
      </c>
      <c r="C102" t="s">
        <v>26</v>
      </c>
      <c r="D102" t="s">
        <v>4</v>
      </c>
    </row>
    <row r="103" spans="1:4" x14ac:dyDescent="0.25">
      <c r="A103" t="s">
        <v>38</v>
      </c>
      <c r="B103" s="5" t="s">
        <v>35</v>
      </c>
      <c r="C103" t="s">
        <v>27</v>
      </c>
      <c r="D103" t="s">
        <v>4</v>
      </c>
    </row>
    <row r="104" spans="1:4" x14ac:dyDescent="0.25">
      <c r="A104" t="s">
        <v>38</v>
      </c>
      <c r="B104" s="5" t="s">
        <v>35</v>
      </c>
      <c r="C104" t="s">
        <v>28</v>
      </c>
      <c r="D104" t="s">
        <v>4</v>
      </c>
    </row>
    <row r="105" spans="1:4" x14ac:dyDescent="0.25">
      <c r="A105" t="s">
        <v>38</v>
      </c>
      <c r="B105" s="5" t="s">
        <v>35</v>
      </c>
      <c r="C105" t="s">
        <v>29</v>
      </c>
      <c r="D105" t="s">
        <v>4</v>
      </c>
    </row>
    <row r="106" spans="1:4" x14ac:dyDescent="0.25">
      <c r="A106" t="s">
        <v>38</v>
      </c>
      <c r="B106" s="5" t="s">
        <v>35</v>
      </c>
      <c r="C106" t="s">
        <v>30</v>
      </c>
      <c r="D106" t="s">
        <v>4</v>
      </c>
    </row>
    <row r="107" spans="1:4" x14ac:dyDescent="0.25">
      <c r="A107" t="s">
        <v>38</v>
      </c>
      <c r="B107" s="5" t="s">
        <v>35</v>
      </c>
      <c r="C107" t="s">
        <v>31</v>
      </c>
      <c r="D107" t="s">
        <v>4</v>
      </c>
    </row>
    <row r="108" spans="1:4" x14ac:dyDescent="0.25">
      <c r="A108" t="s">
        <v>38</v>
      </c>
      <c r="B108" s="5" t="s">
        <v>35</v>
      </c>
      <c r="C108" t="s">
        <v>32</v>
      </c>
      <c r="D108" t="s">
        <v>4</v>
      </c>
    </row>
    <row r="109" spans="1:4" x14ac:dyDescent="0.25">
      <c r="A109" t="s">
        <v>38</v>
      </c>
      <c r="B109" s="5" t="s">
        <v>35</v>
      </c>
      <c r="C109" t="s">
        <v>33</v>
      </c>
      <c r="D109" t="s">
        <v>4</v>
      </c>
    </row>
    <row r="110" spans="1:4" x14ac:dyDescent="0.25">
      <c r="A110" t="s">
        <v>40</v>
      </c>
      <c r="B110" s="21" t="s">
        <v>41</v>
      </c>
      <c r="C110" t="s">
        <v>16</v>
      </c>
      <c r="D110" t="s">
        <v>4</v>
      </c>
    </row>
    <row r="111" spans="1:4" x14ac:dyDescent="0.25">
      <c r="A111" t="s">
        <v>40</v>
      </c>
      <c r="B111" s="21" t="s">
        <v>41</v>
      </c>
      <c r="C111" t="s">
        <v>17</v>
      </c>
      <c r="D111" t="s">
        <v>6</v>
      </c>
    </row>
    <row r="112" spans="1:4" x14ac:dyDescent="0.25">
      <c r="A112" t="s">
        <v>40</v>
      </c>
      <c r="B112" s="21" t="s">
        <v>41</v>
      </c>
      <c r="C112" t="s">
        <v>18</v>
      </c>
      <c r="D112" t="s">
        <v>4</v>
      </c>
    </row>
    <row r="113" spans="1:4" x14ac:dyDescent="0.25">
      <c r="A113" t="s">
        <v>40</v>
      </c>
      <c r="B113" s="21" t="s">
        <v>41</v>
      </c>
      <c r="C113" t="s">
        <v>19</v>
      </c>
      <c r="D113" t="s">
        <v>7</v>
      </c>
    </row>
    <row r="114" spans="1:4" x14ac:dyDescent="0.25">
      <c r="A114" t="s">
        <v>40</v>
      </c>
      <c r="B114" s="21" t="s">
        <v>41</v>
      </c>
      <c r="C114" t="s">
        <v>20</v>
      </c>
      <c r="D114" t="s">
        <v>5</v>
      </c>
    </row>
    <row r="115" spans="1:4" x14ac:dyDescent="0.25">
      <c r="A115" t="s">
        <v>40</v>
      </c>
      <c r="B115" s="21" t="s">
        <v>41</v>
      </c>
      <c r="C115" t="s">
        <v>21</v>
      </c>
      <c r="D115" t="s">
        <v>4</v>
      </c>
    </row>
    <row r="116" spans="1:4" x14ac:dyDescent="0.25">
      <c r="A116" t="s">
        <v>40</v>
      </c>
      <c r="B116" s="21" t="s">
        <v>41</v>
      </c>
      <c r="C116" t="s">
        <v>22</v>
      </c>
      <c r="D116" t="s">
        <v>7</v>
      </c>
    </row>
    <row r="117" spans="1:4" x14ac:dyDescent="0.25">
      <c r="A117" t="s">
        <v>40</v>
      </c>
      <c r="B117" s="21" t="s">
        <v>41</v>
      </c>
      <c r="C117" t="s">
        <v>23</v>
      </c>
      <c r="D117" t="s">
        <v>7</v>
      </c>
    </row>
    <row r="118" spans="1:4" x14ac:dyDescent="0.25">
      <c r="A118" t="s">
        <v>40</v>
      </c>
      <c r="B118" s="21" t="s">
        <v>41</v>
      </c>
      <c r="C118" t="s">
        <v>24</v>
      </c>
      <c r="D118" t="s">
        <v>7</v>
      </c>
    </row>
    <row r="119" spans="1:4" x14ac:dyDescent="0.25">
      <c r="A119" t="s">
        <v>40</v>
      </c>
      <c r="B119" s="21" t="s">
        <v>41</v>
      </c>
      <c r="C119" t="s">
        <v>25</v>
      </c>
      <c r="D119" t="s">
        <v>4</v>
      </c>
    </row>
    <row r="120" spans="1:4" x14ac:dyDescent="0.25">
      <c r="A120" t="s">
        <v>40</v>
      </c>
      <c r="B120" s="21" t="s">
        <v>41</v>
      </c>
      <c r="C120" t="s">
        <v>26</v>
      </c>
      <c r="D120" t="s">
        <v>5</v>
      </c>
    </row>
    <row r="121" spans="1:4" x14ac:dyDescent="0.25">
      <c r="A121" t="s">
        <v>40</v>
      </c>
      <c r="B121" s="21" t="s">
        <v>41</v>
      </c>
      <c r="C121" t="s">
        <v>27</v>
      </c>
      <c r="D121" t="s">
        <v>5</v>
      </c>
    </row>
    <row r="122" spans="1:4" x14ac:dyDescent="0.25">
      <c r="A122" t="s">
        <v>40</v>
      </c>
      <c r="B122" s="21" t="s">
        <v>41</v>
      </c>
      <c r="C122" t="s">
        <v>28</v>
      </c>
      <c r="D122" t="s">
        <v>4</v>
      </c>
    </row>
    <row r="123" spans="1:4" x14ac:dyDescent="0.25">
      <c r="A123" t="s">
        <v>40</v>
      </c>
      <c r="B123" s="21" t="s">
        <v>41</v>
      </c>
      <c r="C123" t="s">
        <v>29</v>
      </c>
      <c r="D123" t="s">
        <v>6</v>
      </c>
    </row>
    <row r="124" spans="1:4" x14ac:dyDescent="0.25">
      <c r="A124" t="s">
        <v>40</v>
      </c>
      <c r="B124" s="21" t="s">
        <v>41</v>
      </c>
      <c r="C124" t="s">
        <v>30</v>
      </c>
      <c r="D124" t="s">
        <v>4</v>
      </c>
    </row>
    <row r="125" spans="1:4" x14ac:dyDescent="0.25">
      <c r="A125" t="s">
        <v>40</v>
      </c>
      <c r="B125" s="21" t="s">
        <v>41</v>
      </c>
      <c r="C125" t="s">
        <v>31</v>
      </c>
      <c r="D125" t="s">
        <v>6</v>
      </c>
    </row>
    <row r="126" spans="1:4" x14ac:dyDescent="0.25">
      <c r="A126" t="s">
        <v>40</v>
      </c>
      <c r="B126" s="21" t="s">
        <v>41</v>
      </c>
      <c r="C126" t="s">
        <v>32</v>
      </c>
      <c r="D126" t="s">
        <v>7</v>
      </c>
    </row>
    <row r="127" spans="1:4" x14ac:dyDescent="0.25">
      <c r="A127" t="s">
        <v>40</v>
      </c>
      <c r="B127" s="21" t="s">
        <v>41</v>
      </c>
      <c r="C127" t="s">
        <v>33</v>
      </c>
      <c r="D127" t="s">
        <v>7</v>
      </c>
    </row>
  </sheetData>
  <phoneticPr fontId="4" type="noConversion"/>
  <dataValidations count="1">
    <dataValidation type="list" allowBlank="1" showInputMessage="1" showErrorMessage="1" sqref="D2:D127" xr:uid="{B0C51769-93E2-4620-A121-9F8FB6055F84}">
      <formula1>"Muito Satisfeito,Satisfeito,Insatisfeito,Muito Insatisfeito"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EFEE-E635-41F3-95B6-14664010F4BF}">
  <dimension ref="A1:A19"/>
  <sheetViews>
    <sheetView workbookViewId="0">
      <selection activeCell="C17" sqref="C17"/>
    </sheetView>
  </sheetViews>
  <sheetFormatPr defaultRowHeight="15" x14ac:dyDescent="0.25"/>
  <cols>
    <col min="1" max="1" width="136.140625" bestFit="1" customWidth="1"/>
  </cols>
  <sheetData>
    <row r="1" spans="1:1" ht="18.75" x14ac:dyDescent="0.3">
      <c r="A1" s="3" t="s">
        <v>2</v>
      </c>
    </row>
    <row r="2" spans="1:1" ht="18.75" x14ac:dyDescent="0.3">
      <c r="A2" s="4" t="s">
        <v>16</v>
      </c>
    </row>
    <row r="3" spans="1:1" ht="18.75" x14ac:dyDescent="0.3">
      <c r="A3" s="4" t="s">
        <v>17</v>
      </c>
    </row>
    <row r="4" spans="1:1" ht="18.75" x14ac:dyDescent="0.3">
      <c r="A4" s="4" t="s">
        <v>18</v>
      </c>
    </row>
    <row r="5" spans="1:1" ht="18.75" x14ac:dyDescent="0.3">
      <c r="A5" s="4" t="s">
        <v>19</v>
      </c>
    </row>
    <row r="6" spans="1:1" ht="18.75" x14ac:dyDescent="0.3">
      <c r="A6" s="4" t="s">
        <v>20</v>
      </c>
    </row>
    <row r="7" spans="1:1" ht="18.75" x14ac:dyDescent="0.3">
      <c r="A7" s="4" t="s">
        <v>21</v>
      </c>
    </row>
    <row r="8" spans="1:1" ht="18.75" x14ac:dyDescent="0.3">
      <c r="A8" s="4" t="s">
        <v>22</v>
      </c>
    </row>
    <row r="9" spans="1:1" ht="18.75" x14ac:dyDescent="0.3">
      <c r="A9" s="4" t="s">
        <v>23</v>
      </c>
    </row>
    <row r="10" spans="1:1" ht="18.75" x14ac:dyDescent="0.3">
      <c r="A10" s="4" t="s">
        <v>24</v>
      </c>
    </row>
    <row r="11" spans="1:1" ht="18.75" x14ac:dyDescent="0.3">
      <c r="A11" s="4" t="s">
        <v>25</v>
      </c>
    </row>
    <row r="12" spans="1:1" ht="18.75" x14ac:dyDescent="0.3">
      <c r="A12" s="4" t="s">
        <v>26</v>
      </c>
    </row>
    <row r="13" spans="1:1" ht="18.75" x14ac:dyDescent="0.3">
      <c r="A13" s="4" t="s">
        <v>27</v>
      </c>
    </row>
    <row r="14" spans="1:1" ht="18.75" x14ac:dyDescent="0.3">
      <c r="A14" s="4" t="s">
        <v>28</v>
      </c>
    </row>
    <row r="15" spans="1:1" ht="18.75" x14ac:dyDescent="0.3">
      <c r="A15" s="4" t="s">
        <v>29</v>
      </c>
    </row>
    <row r="16" spans="1:1" ht="18.75" x14ac:dyDescent="0.3">
      <c r="A16" s="4" t="s">
        <v>30</v>
      </c>
    </row>
    <row r="17" spans="1:1" ht="18.75" x14ac:dyDescent="0.3">
      <c r="A17" s="4" t="s">
        <v>31</v>
      </c>
    </row>
    <row r="18" spans="1:1" ht="18.75" x14ac:dyDescent="0.3">
      <c r="A18" s="4" t="s">
        <v>32</v>
      </c>
    </row>
    <row r="19" spans="1:1" ht="18.75" x14ac:dyDescent="0.3">
      <c r="A19" s="4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 (2)</vt:lpstr>
      <vt:lpstr>DASHBOARD</vt:lpstr>
      <vt:lpstr>AUXILIAR</vt:lpstr>
      <vt:lpstr>BASE</vt:lpstr>
      <vt:lpstr>PERGUNTAS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2019-12-27T19:26:29Z</dcterms:created>
  <dcterms:modified xsi:type="dcterms:W3CDTF">2019-12-28T04:10:15Z</dcterms:modified>
</cp:coreProperties>
</file>