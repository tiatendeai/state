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lipe Guerra\Desktop\"/>
    </mc:Choice>
  </mc:AlternateContent>
  <xr:revisionPtr revIDLastSave="0" documentId="8_{E33FF578-FC79-40CF-A5FC-4FE7F67EB5AC}" xr6:coauthVersionLast="46" xr6:coauthVersionMax="46" xr10:uidLastSave="{00000000-0000-0000-0000-000000000000}"/>
  <bookViews>
    <workbookView xWindow="-28920" yWindow="-4875" windowWidth="29040" windowHeight="15840" xr2:uid="{3E72FD5B-D71D-43DD-9605-5B9A50FA2D27}"/>
  </bookViews>
  <sheets>
    <sheet name="APURAÇÃO" sheetId="1" r:id="rId1"/>
    <sheet name="HIERARQUI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7" i="1"/>
</calcChain>
</file>

<file path=xl/sharedStrings.xml><?xml version="1.0" encoding="utf-8"?>
<sst xmlns="http://schemas.openxmlformats.org/spreadsheetml/2006/main" count="29" uniqueCount="29">
  <si>
    <t>PRINCÍPIOS CONSTITUCIONAIS</t>
  </si>
  <si>
    <t>REGULAMENTAÇÃO COMPLEMENTAR</t>
  </si>
  <si>
    <t>CONVÊNIOS E PROTOCOLOS</t>
  </si>
  <si>
    <t>SINIEF, COTEPE, CONFAZ e CGSN</t>
  </si>
  <si>
    <t>REGULAMENTO DO ICMS DO SEU ESTADO</t>
  </si>
  <si>
    <t>NÍVEL</t>
  </si>
  <si>
    <t>CONHECIMENTO</t>
  </si>
  <si>
    <t>CONTEÚDO</t>
  </si>
  <si>
    <t>ESPECIALISTA EM ICMS</t>
  </si>
  <si>
    <t>APURAÇÃO DO ICMS</t>
  </si>
  <si>
    <t>Débitos</t>
  </si>
  <si>
    <t>Créditos</t>
  </si>
  <si>
    <t>a) Débito maior que o crédito - OK</t>
  </si>
  <si>
    <t>b) Crédito maior que o débito - OK</t>
  </si>
  <si>
    <t>c) Débito é igual ao crédito - OK</t>
  </si>
  <si>
    <t>VL_TOT_DEBITOS</t>
  </si>
  <si>
    <t>VL_AJ_DEBITOS</t>
  </si>
  <si>
    <t>VL_TOT_AJ_DEBITOS</t>
  </si>
  <si>
    <t>VL_ESTORNOS_CRED</t>
  </si>
  <si>
    <t>VL_TOT_CREDITOS</t>
  </si>
  <si>
    <t xml:space="preserve">VL_AJ_CREDITOS </t>
  </si>
  <si>
    <t>VL_TOT_AJ_CREDITOS</t>
  </si>
  <si>
    <t>VL_ESTORNOS_DEB</t>
  </si>
  <si>
    <t xml:space="preserve">VL_SLD_CREDOR_ANT </t>
  </si>
  <si>
    <t>VL_TOT_DED</t>
  </si>
  <si>
    <t>VL_ICMS_RECOLHER</t>
  </si>
  <si>
    <t>VL_SLD_CREDOR_TRA
NSPORTAR</t>
  </si>
  <si>
    <t>TOTAL</t>
  </si>
  <si>
    <t>VL_SLD_APURADO R$ 23.000,00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</si>
</sst>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 "/>
    </font>
    <font>
      <sz val="15"/>
      <color theme="1"/>
      <name val="Arial "/>
    </font>
    <font>
      <b/>
      <sz val="15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9" fontId="2" fillId="2" borderId="2" xfId="0" applyNumberFormat="1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9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9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9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9" fontId="2" fillId="3" borderId="5" xfId="0" applyNumberFormat="1" applyFont="1" applyFill="1" applyBorder="1" applyAlignment="1">
      <alignment horizontal="center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9" fontId="2" fillId="5" borderId="2" xfId="0" applyNumberFormat="1" applyFont="1" applyFill="1" applyBorder="1" applyAlignment="1">
      <alignment horizontal="center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9" fontId="2" fillId="6" borderId="2" xfId="0" applyNumberFormat="1" applyFont="1" applyFill="1" applyBorder="1" applyAlignment="1">
      <alignment horizontal="center" vertical="center" wrapText="1"/>
    </xf>
    <xf numFmtId="9" fontId="2" fillId="6" borderId="5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4" fillId="3" borderId="7" xfId="0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164" fontId="0" fillId="3" borderId="1" xfId="0" applyNumberFormat="1" applyFill="1" applyBorder="1" applyAlignment="1">
      <alignment horizontal="center"/>
    </xf>
    <xf numFmtId="0" fontId="1" fillId="0" borderId="0" xfId="0" applyFont="1"/>
    <xf numFmtId="164" fontId="1" fillId="3" borderId="1" xfId="0" applyNumberFormat="1" applyFont="1" applyFill="1" applyBorder="1" applyAlignment="1">
      <alignment horizontal="center"/>
    </xf>
    <xf numFmtId="0" fontId="1" fillId="8" borderId="0" xfId="0" applyFont="1" applyFill="1"/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0" fontId="0" fillId="8" borderId="0" xfId="0" applyFont="1" applyFill="1"/>
    <xf numFmtId="164" fontId="1" fillId="3" borderId="10" xfId="0" applyNumberFormat="1" applyFon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164" fontId="0" fillId="8" borderId="1" xfId="0" applyNumberFormat="1" applyFont="1" applyFill="1" applyBorder="1" applyAlignment="1">
      <alignment horizontal="center"/>
    </xf>
    <xf numFmtId="0" fontId="0" fillId="9" borderId="0" xfId="0" applyFont="1" applyFill="1"/>
    <xf numFmtId="164" fontId="1" fillId="9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ED47-CE3E-423C-BE3D-56CC8B3B7FFD}">
  <dimension ref="A1:I15"/>
  <sheetViews>
    <sheetView showGridLines="0" tabSelected="1" zoomScale="290" zoomScaleNormal="290" workbookViewId="0">
      <selection activeCell="F14" sqref="F14"/>
    </sheetView>
  </sheetViews>
  <sheetFormatPr defaultRowHeight="15"/>
  <cols>
    <col min="1" max="1" width="0.7109375" customWidth="1"/>
    <col min="2" max="2" width="21.42578125" customWidth="1"/>
    <col min="7" max="7" width="20.85546875" bestFit="1" customWidth="1"/>
  </cols>
  <sheetData>
    <row r="1" spans="1:9" ht="6" customHeight="1"/>
    <row r="2" spans="1:9" ht="19.5">
      <c r="B2" s="35" t="s">
        <v>10</v>
      </c>
      <c r="C2" s="36" t="s">
        <v>9</v>
      </c>
      <c r="D2" s="36"/>
      <c r="E2" s="36"/>
      <c r="F2" s="36"/>
      <c r="G2" s="35" t="s">
        <v>11</v>
      </c>
      <c r="H2" s="34"/>
      <c r="I2" s="34"/>
    </row>
    <row r="3" spans="1:9">
      <c r="B3" t="s">
        <v>15</v>
      </c>
      <c r="C3" s="39">
        <v>30000</v>
      </c>
      <c r="D3" s="39"/>
      <c r="E3" s="37">
        <v>7000</v>
      </c>
      <c r="F3" s="38"/>
      <c r="G3" t="s">
        <v>19</v>
      </c>
    </row>
    <row r="4" spans="1:9">
      <c r="B4" t="s">
        <v>16</v>
      </c>
      <c r="C4" s="39">
        <v>1000</v>
      </c>
      <c r="D4" s="39"/>
      <c r="E4" s="37">
        <v>500</v>
      </c>
      <c r="F4" s="38"/>
      <c r="G4" t="s">
        <v>20</v>
      </c>
    </row>
    <row r="5" spans="1:9">
      <c r="B5" t="s">
        <v>17</v>
      </c>
      <c r="C5" s="39">
        <v>500</v>
      </c>
      <c r="D5" s="39"/>
      <c r="E5" s="37">
        <v>500</v>
      </c>
      <c r="F5" s="38"/>
      <c r="G5" t="s">
        <v>21</v>
      </c>
    </row>
    <row r="6" spans="1:9">
      <c r="A6" s="45"/>
      <c r="B6" s="50" t="s">
        <v>18</v>
      </c>
      <c r="C6" s="56">
        <v>500</v>
      </c>
      <c r="D6" s="56"/>
      <c r="E6" s="48">
        <v>1000</v>
      </c>
      <c r="F6" s="49"/>
      <c r="G6" t="s">
        <v>22</v>
      </c>
    </row>
    <row r="7" spans="1:9">
      <c r="A7" s="45"/>
      <c r="B7" s="57" t="s">
        <v>27</v>
      </c>
      <c r="C7" s="58">
        <f>SUM(C3:D6)</f>
        <v>32000</v>
      </c>
      <c r="D7" s="58"/>
      <c r="E7" s="58">
        <v>9000</v>
      </c>
      <c r="F7" s="58"/>
      <c r="G7" t="s">
        <v>23</v>
      </c>
    </row>
    <row r="8" spans="1:9">
      <c r="A8" s="45"/>
      <c r="B8" s="50"/>
      <c r="C8" s="51" t="s">
        <v>28</v>
      </c>
      <c r="D8" s="52"/>
      <c r="E8" s="52"/>
      <c r="F8" s="53"/>
    </row>
    <row r="9" spans="1:9">
      <c r="C9" s="42"/>
      <c r="D9" s="42"/>
      <c r="E9" s="46">
        <v>5000</v>
      </c>
      <c r="F9" s="47"/>
      <c r="G9" t="s">
        <v>24</v>
      </c>
    </row>
    <row r="10" spans="1:9">
      <c r="B10" s="43" t="s">
        <v>25</v>
      </c>
      <c r="C10" s="44">
        <f>23000-E9</f>
        <v>18000</v>
      </c>
      <c r="D10" s="44"/>
      <c r="E10" s="46"/>
      <c r="F10" s="47"/>
    </row>
    <row r="11" spans="1:9" ht="17.25" customHeight="1">
      <c r="C11" s="42"/>
      <c r="D11" s="42"/>
      <c r="E11" s="42"/>
      <c r="F11" s="42"/>
      <c r="G11" s="54" t="s">
        <v>26</v>
      </c>
      <c r="H11" s="55"/>
      <c r="I11" s="55"/>
    </row>
    <row r="12" spans="1:9" ht="7.5" customHeight="1">
      <c r="C12" s="40"/>
      <c r="D12" s="40"/>
      <c r="E12" s="41"/>
      <c r="F12" s="41"/>
    </row>
    <row r="13" spans="1:9">
      <c r="B13" t="s">
        <v>12</v>
      </c>
    </row>
    <row r="14" spans="1:9">
      <c r="B14" t="s">
        <v>13</v>
      </c>
    </row>
    <row r="15" spans="1:9">
      <c r="B15" t="s">
        <v>14</v>
      </c>
    </row>
  </sheetData>
  <mergeCells count="20">
    <mergeCell ref="C10:D10"/>
    <mergeCell ref="E10:F10"/>
    <mergeCell ref="G11:I11"/>
    <mergeCell ref="E7:F7"/>
    <mergeCell ref="C11:D11"/>
    <mergeCell ref="C12:D12"/>
    <mergeCell ref="E3:F3"/>
    <mergeCell ref="E4:F4"/>
    <mergeCell ref="E5:F5"/>
    <mergeCell ref="E6:F6"/>
    <mergeCell ref="E9:F9"/>
    <mergeCell ref="E11:F11"/>
    <mergeCell ref="C7:D7"/>
    <mergeCell ref="C2:F2"/>
    <mergeCell ref="C3:D3"/>
    <mergeCell ref="C4:D4"/>
    <mergeCell ref="C5:D5"/>
    <mergeCell ref="C6:D6"/>
    <mergeCell ref="C9:D9"/>
    <mergeCell ref="C8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BDF2-FF57-4B45-AA1E-ADFA1CD0938F}">
  <dimension ref="B1:H14"/>
  <sheetViews>
    <sheetView showGridLines="0" zoomScale="210" zoomScaleNormal="210" workbookViewId="0">
      <selection activeCell="C12" sqref="C12:C13"/>
    </sheetView>
  </sheetViews>
  <sheetFormatPr defaultRowHeight="15"/>
  <cols>
    <col min="1" max="1" width="3" customWidth="1"/>
    <col min="2" max="3" width="26.42578125" customWidth="1"/>
  </cols>
  <sheetData>
    <row r="1" spans="2:8" ht="7.5" customHeight="1" thickBot="1"/>
    <row r="2" spans="2:8" ht="22.5" customHeight="1" thickTop="1" thickBot="1">
      <c r="B2" s="31" t="s">
        <v>8</v>
      </c>
      <c r="C2" s="31"/>
      <c r="D2" s="31"/>
      <c r="E2" s="31"/>
      <c r="F2" s="31"/>
      <c r="G2" s="31"/>
      <c r="H2" s="31"/>
    </row>
    <row r="3" spans="2:8" ht="22.5" customHeight="1" thickTop="1" thickBot="1">
      <c r="B3" s="32" t="s">
        <v>5</v>
      </c>
      <c r="C3" s="32" t="s">
        <v>6</v>
      </c>
      <c r="D3" s="33" t="s">
        <v>7</v>
      </c>
      <c r="E3" s="33"/>
      <c r="F3" s="33"/>
      <c r="G3" s="33"/>
      <c r="H3" s="33"/>
    </row>
    <row r="4" spans="2:8" ht="22.5" customHeight="1" thickTop="1" thickBot="1">
      <c r="B4" s="2">
        <v>0.2</v>
      </c>
      <c r="C4" s="1">
        <v>0.2</v>
      </c>
      <c r="D4" s="12" t="s">
        <v>0</v>
      </c>
      <c r="E4" s="12"/>
      <c r="F4" s="12"/>
      <c r="G4" s="12"/>
      <c r="H4" s="13"/>
    </row>
    <row r="5" spans="2:8" ht="22.5" customHeight="1" thickTop="1" thickBot="1">
      <c r="B5" s="3"/>
      <c r="C5" s="22"/>
      <c r="D5" s="12"/>
      <c r="E5" s="12"/>
      <c r="F5" s="12"/>
      <c r="G5" s="12"/>
      <c r="H5" s="13"/>
    </row>
    <row r="6" spans="2:8" ht="22.5" customHeight="1" thickTop="1" thickBot="1">
      <c r="B6" s="4">
        <v>0.2</v>
      </c>
      <c r="C6" s="23">
        <v>0.4</v>
      </c>
      <c r="D6" s="14" t="s">
        <v>1</v>
      </c>
      <c r="E6" s="14"/>
      <c r="F6" s="14"/>
      <c r="G6" s="14"/>
      <c r="H6" s="15"/>
    </row>
    <row r="7" spans="2:8" ht="22.5" customHeight="1" thickTop="1" thickBot="1">
      <c r="B7" s="5"/>
      <c r="C7" s="24"/>
      <c r="D7" s="14"/>
      <c r="E7" s="14"/>
      <c r="F7" s="14"/>
      <c r="G7" s="14"/>
      <c r="H7" s="15"/>
    </row>
    <row r="8" spans="2:8" ht="22.5" customHeight="1" thickTop="1" thickBot="1">
      <c r="B8" s="6">
        <v>0.2</v>
      </c>
      <c r="C8" s="25">
        <v>0.6</v>
      </c>
      <c r="D8" s="16" t="s">
        <v>2</v>
      </c>
      <c r="E8" s="16"/>
      <c r="F8" s="16"/>
      <c r="G8" s="16"/>
      <c r="H8" s="17"/>
    </row>
    <row r="9" spans="2:8" ht="22.5" customHeight="1" thickTop="1" thickBot="1">
      <c r="B9" s="7"/>
      <c r="C9" s="26"/>
      <c r="D9" s="16"/>
      <c r="E9" s="16"/>
      <c r="F9" s="16"/>
      <c r="G9" s="16"/>
      <c r="H9" s="17"/>
    </row>
    <row r="10" spans="2:8" ht="22.5" customHeight="1" thickTop="1" thickBot="1">
      <c r="B10" s="8">
        <v>0.2</v>
      </c>
      <c r="C10" s="27">
        <v>0.8</v>
      </c>
      <c r="D10" s="18" t="s">
        <v>3</v>
      </c>
      <c r="E10" s="18"/>
      <c r="F10" s="18"/>
      <c r="G10" s="18"/>
      <c r="H10" s="19"/>
    </row>
    <row r="11" spans="2:8" ht="22.5" customHeight="1" thickTop="1" thickBot="1">
      <c r="B11" s="9"/>
      <c r="C11" s="28"/>
      <c r="D11" s="18"/>
      <c r="E11" s="18"/>
      <c r="F11" s="18"/>
      <c r="G11" s="18"/>
      <c r="H11" s="19"/>
    </row>
    <row r="12" spans="2:8" ht="22.5" customHeight="1" thickTop="1" thickBot="1">
      <c r="B12" s="10">
        <v>0.2</v>
      </c>
      <c r="C12" s="29">
        <v>1</v>
      </c>
      <c r="D12" s="20" t="s">
        <v>4</v>
      </c>
      <c r="E12" s="20"/>
      <c r="F12" s="20"/>
      <c r="G12" s="20"/>
      <c r="H12" s="21"/>
    </row>
    <row r="13" spans="2:8" ht="22.5" customHeight="1" thickTop="1" thickBot="1">
      <c r="B13" s="11"/>
      <c r="C13" s="30"/>
      <c r="D13" s="20"/>
      <c r="E13" s="20"/>
      <c r="F13" s="20"/>
      <c r="G13" s="20"/>
      <c r="H13" s="21"/>
    </row>
    <row r="14" spans="2:8" ht="15.75" thickTop="1"/>
  </sheetData>
  <mergeCells count="17">
    <mergeCell ref="B2:H2"/>
    <mergeCell ref="C4:C5"/>
    <mergeCell ref="C6:C7"/>
    <mergeCell ref="C8:C9"/>
    <mergeCell ref="C10:C11"/>
    <mergeCell ref="C12:C13"/>
    <mergeCell ref="D3:H3"/>
    <mergeCell ref="B4:B5"/>
    <mergeCell ref="B6:B7"/>
    <mergeCell ref="B8:B9"/>
    <mergeCell ref="B10:B11"/>
    <mergeCell ref="B12:B13"/>
    <mergeCell ref="D4:H5"/>
    <mergeCell ref="D6:H7"/>
    <mergeCell ref="D8:H9"/>
    <mergeCell ref="D10:H11"/>
    <mergeCell ref="D12:H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APURAÇÃO</vt:lpstr>
      <vt:lpstr>HIERARQUIA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Fellipe Guerra</dc:creator>
  <cp:lastModifiedBy>Fellipe Guerra</cp:lastModifiedBy>
  <dcterms:created xsi:type="dcterms:W3CDTF">2021-04-10T12:38:35Z</dcterms:created>
  <dcterms:modified xsi:type="dcterms:W3CDTF">2021-04-10T14:51:20Z</dcterms:modified>
</cp:coreProperties>
</file>