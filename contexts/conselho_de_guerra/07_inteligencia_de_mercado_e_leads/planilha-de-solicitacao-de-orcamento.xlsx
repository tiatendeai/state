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SERVIÇOS" sheetId="2" r:id="rId5"/>
  </sheets>
  <definedNames/>
  <calcPr/>
</workbook>
</file>

<file path=xl/sharedStrings.xml><?xml version="1.0" encoding="utf-8"?>
<sst xmlns="http://schemas.openxmlformats.org/spreadsheetml/2006/main" count="51" uniqueCount="51">
  <si>
    <t>Instruções de uso</t>
  </si>
  <si>
    <t>Informações sobre como começar a usar esta planilha.</t>
  </si>
  <si>
    <t>1 -</t>
  </si>
  <si>
    <r>
      <rPr>
        <rFont val="Montserrat"/>
        <color rgb="FF666666"/>
        <sz val="10.0"/>
      </rPr>
      <t>Faça uma cópia desta Planilha para poder editar os dados (</t>
    </r>
    <r>
      <rPr>
        <rFont val="Montserrat"/>
        <color rgb="FF666666"/>
        <sz val="10.0"/>
      </rPr>
      <t>Arquivo &gt; Fazer uma cópia</t>
    </r>
    <r>
      <rPr>
        <rFont val="Montserrat"/>
        <color rgb="FF666666"/>
        <sz val="10.0"/>
      </rPr>
      <t>)</t>
    </r>
    <r>
      <rPr>
        <rFont val="Montserrat"/>
        <color rgb="FF666666"/>
        <sz val="10.0"/>
      </rPr>
      <t xml:space="preserve">;
</t>
    </r>
    <r>
      <rPr>
        <rFont val="Montserrat"/>
        <color rgb="FF666666"/>
        <sz val="10.0"/>
      </rPr>
      <t>(PS: Para fazer uma cópia é necessário estar logado(a) no Google!)</t>
    </r>
  </si>
  <si>
    <t>2 -</t>
  </si>
  <si>
    <t xml:space="preserve">na página "Serviços" abaixo, selecione os serviços desejados nas caixinhas de seleção; </t>
  </si>
  <si>
    <t>3 -</t>
  </si>
  <si>
    <t>Com os serviços selecionados, baixe o pedido em PDF (Arquivo &gt; Fazer Download &gt; PDF);</t>
  </si>
  <si>
    <t>4 -</t>
  </si>
  <si>
    <r>
      <rPr>
        <rFont val="Montserrat"/>
        <color rgb="FF666666"/>
        <sz val="10.0"/>
      </rPr>
      <t xml:space="preserve">Com o PDF em mãos, envie o arquivo do </t>
    </r>
    <r>
      <rPr>
        <rFont val="Montserrat"/>
        <color rgb="FF666666"/>
        <sz val="10.0"/>
        <u/>
      </rPr>
      <t>PDF do Orçamento</t>
    </r>
    <r>
      <rPr>
        <rFont val="Montserrat"/>
        <color rgb="FF666666"/>
        <sz val="10.0"/>
      </rPr>
      <t xml:space="preserve"> para o Whatsapp abaixo</t>
    </r>
  </si>
  <si>
    <t>5 -</t>
  </si>
  <si>
    <r>
      <rPr>
        <rFont val="Montserrat"/>
        <color rgb="FF666666"/>
        <sz val="10.0"/>
      </rPr>
      <t xml:space="preserve">Envie o PDF para: </t>
    </r>
    <r>
      <rPr>
        <rFont val="Montserrat"/>
        <color rgb="FF666666"/>
        <sz val="10.0"/>
        <u/>
      </rPr>
      <t>(32) 98820-3020</t>
    </r>
    <r>
      <rPr>
        <rFont val="Montserrat"/>
        <color rgb="FF666666"/>
        <sz val="10.0"/>
      </rPr>
      <t xml:space="preserve"> ou </t>
    </r>
    <r>
      <rPr>
        <rFont val="Montserrat"/>
        <color rgb="FF1155CC"/>
        <sz val="10.0"/>
        <u/>
      </rPr>
      <t>Clique aqui</t>
    </r>
  </si>
  <si>
    <t>6 -</t>
  </si>
  <si>
    <t>Agora é só aguardar! Seu pedido será respondido em até 24h (úteis, claro!).</t>
  </si>
  <si>
    <t>👨🏻‍💻 Freelance Design e Web</t>
  </si>
  <si>
    <t>✏️ Última Atualização de Preços: 06/01/2026</t>
  </si>
  <si>
    <t>✅</t>
  </si>
  <si>
    <t>🌐 Categoria</t>
  </si>
  <si>
    <t>✍️ Descrição</t>
  </si>
  <si>
    <t>🤝 Preço Parceria</t>
  </si>
  <si>
    <t>💰 Preço Sugerido
 Revenda</t>
  </si>
  <si>
    <t>👨🏻‍💻 Serviços</t>
  </si>
  <si>
    <t>Landing Page</t>
  </si>
  <si>
    <t>Página de Captura, Formulário e integração com MM</t>
  </si>
  <si>
    <t>Site One-Page</t>
  </si>
  <si>
    <t>Site simples em uma página, até 8 seções</t>
  </si>
  <si>
    <t>Site Institucional</t>
  </si>
  <si>
    <t xml:space="preserve">Site Institucional com até 4 páginas: Home Page, Serviços, Sobre Nós, Contato. </t>
  </si>
  <si>
    <t>Blog</t>
  </si>
  <si>
    <t>Página Inicial, Página de Blog (com estrutura padrão de postagem), Sobre Nós e Contato configurados com links dinâmicos.</t>
  </si>
  <si>
    <t>Loja Virtual</t>
  </si>
  <si>
    <r>
      <rPr>
        <rFont val="Roboto"/>
        <color rgb="FF767676"/>
        <sz val="11.0"/>
      </rPr>
      <t xml:space="preserve">Ecommerce, 7 páginas: Inicial, Contato, Loja, Produto, Carrinho, Sobre nós e Políticas de Privacidade configurados com links dinâmicos.
</t>
    </r>
    <r>
      <rPr>
        <rFont val="Roboto"/>
        <i/>
        <color rgb="FF767676"/>
        <sz val="9.0"/>
      </rPr>
      <t>(Adição de plugins e plataformas diferentes de Wordpress favor verificar)</t>
    </r>
  </si>
  <si>
    <t xml:space="preserve">Total:   </t>
  </si>
  <si>
    <t>📆 Serviços Recorrentes</t>
  </si>
  <si>
    <t>Hospedagem</t>
  </si>
  <si>
    <t>Hospedagem de alta velocidade com tráfego ilimitado, certificado SSL, Uptime de 99,9% e Backups semanais.</t>
  </si>
  <si>
    <t>Segurança e Evolução Tecnológica</t>
  </si>
  <si>
    <t>Mensalidade para Hospedagem, Segurança do Site contra invasões e vírus, evolução tecnológica para manter o site e plugins atualizados e backups diários</t>
  </si>
  <si>
    <t>Gestão de e-Commerce</t>
  </si>
  <si>
    <t>Mensalidade para gestão do Site, atualização de produtos, gestão de campanhas e promoções, acompanhamento de pedidos, relatórios de performance e otimização de conversão da loja.</t>
  </si>
  <si>
    <t>Blog e SEO #5</t>
  </si>
  <si>
    <r>
      <rPr>
        <rFont val="Roboto"/>
        <color rgb="FF767676"/>
        <sz val="11.0"/>
      </rPr>
      <t xml:space="preserve">5 Artigos </t>
    </r>
    <r>
      <rPr>
        <rFont val="Roboto"/>
        <b/>
        <color rgb="FF767676"/>
        <sz val="11.0"/>
      </rPr>
      <t>MENSAIS</t>
    </r>
    <r>
      <rPr>
        <rFont val="Roboto"/>
        <color rgb="FF767676"/>
        <sz val="11.0"/>
      </rPr>
      <t xml:space="preserve"> para Blog, com sugestão de pauta, SEO otimizado, análise de palavras-chave e relatórios completos via Whatsapp</t>
    </r>
  </si>
  <si>
    <t>Blog e SEO #15</t>
  </si>
  <si>
    <r>
      <rPr>
        <rFont val="Roboto"/>
        <color rgb="FF767676"/>
        <sz val="11.0"/>
      </rPr>
      <t xml:space="preserve">15 Artigos </t>
    </r>
    <r>
      <rPr>
        <rFont val="Roboto"/>
        <b/>
        <color rgb="FF767676"/>
        <sz val="11.0"/>
      </rPr>
      <t>MENSAIS</t>
    </r>
    <r>
      <rPr>
        <rFont val="Roboto"/>
        <color rgb="FF767676"/>
        <sz val="11.0"/>
      </rPr>
      <t xml:space="preserve"> para Blog, com sugestão de pauta, SEO otimizado, análise de palavras-chave e relatórios completos via Whatsapp</t>
    </r>
  </si>
  <si>
    <t>Social Media #12</t>
  </si>
  <si>
    <r>
      <rPr>
        <rFont val="Roboto"/>
        <color rgb="FF767676"/>
        <sz val="11.0"/>
      </rPr>
      <t xml:space="preserve">Pacote de 12 posts </t>
    </r>
    <r>
      <rPr>
        <rFont val="Roboto"/>
        <b/>
        <color rgb="FF767676"/>
        <sz val="11.0"/>
      </rPr>
      <t>MENSAIS</t>
    </r>
    <r>
      <rPr>
        <rFont val="Roboto"/>
        <color rgb="FF767676"/>
        <sz val="11.0"/>
      </rPr>
      <t xml:space="preserve"> </t>
    </r>
    <r>
      <rPr>
        <rFont val="Roboto"/>
        <b/>
        <i/>
        <color rgb="FF767676"/>
        <sz val="12.0"/>
        <u/>
      </rPr>
      <t>com</t>
    </r>
    <r>
      <rPr>
        <rFont val="Roboto"/>
        <color rgb="FF767676"/>
        <sz val="11.0"/>
      </rPr>
      <t xml:space="preserve"> copy e legenda.</t>
    </r>
  </si>
  <si>
    <t>Anúncios Google</t>
  </si>
  <si>
    <t>Gestão de Tráfego Pago na plataforma Google Ads</t>
  </si>
  <si>
    <t>Anúncios Meta</t>
  </si>
  <si>
    <t>Gestão de Tráfego Pago na plataforma Meta Ads</t>
  </si>
  <si>
    <t xml:space="preserve">Total Mensal: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</si>
</sst>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5">
    <font>
      <sz val="10.0"/>
      <color rgb="FF000000"/>
      <name val="Arial"/>
    </font>
    <font>
      <b/>
      <sz val="28.0"/>
      <color rgb="FF05CC61"/>
      <name val="Montserrat"/>
    </font>
    <font>
      <b/>
      <sz val="10.0"/>
      <color rgb="FF45474D"/>
      <name val="Roboto"/>
    </font>
    <font>
      <b/>
      <sz val="32.0"/>
      <color rgb="FF05CC61"/>
      <name val="Montserrat"/>
    </font>
    <font>
      <b/>
      <sz val="28.0"/>
      <color rgb="FFFFFFFF"/>
      <name val="Montserrat"/>
    </font>
    <font>
      <b/>
      <sz val="9.0"/>
      <color rgb="FFFFFFFF"/>
      <name val="Roboto"/>
    </font>
    <font>
      <b/>
      <sz val="10.0"/>
      <color rgb="FFFFFFFF"/>
      <name val="Montserrat"/>
    </font>
    <font>
      <b/>
      <sz val="9.0"/>
      <color rgb="FFFFFFFF"/>
      <name val="Montserrat"/>
    </font>
    <font>
      <b/>
      <i/>
      <sz val="10.0"/>
      <color rgb="FF434343"/>
      <name val="Roboto"/>
    </font>
    <font>
      <sz val="12.0"/>
      <color rgb="FF434343"/>
      <name val="Montserrat"/>
    </font>
    <font>
      <sz val="10.0"/>
      <color rgb="FF666666"/>
      <name val="Montserrat"/>
    </font>
    <font>
      <u/>
      <sz val="10.0"/>
      <color rgb="FF666666"/>
      <name val="Montserrat"/>
    </font>
    <font>
      <i/>
      <sz val="10.0"/>
      <color rgb="FF434343"/>
      <name val="Roboto"/>
    </font>
    <font/>
    <font>
      <sz val="9.0"/>
      <color rgb="FF351C75"/>
      <name val="Montserrat"/>
    </font>
    <font>
      <sz val="12.0"/>
      <color rgb="FFFFFFFF"/>
      <name val="Montserrat"/>
    </font>
    <font>
      <sz val="12.0"/>
      <color rgb="FF05CC61"/>
      <name val="Montserrat"/>
    </font>
    <font>
      <b/>
      <sz val="11.0"/>
      <color rgb="FF767676"/>
      <name val="Roboto"/>
    </font>
    <font>
      <b/>
      <sz val="14.0"/>
      <color rgb="FF767676"/>
      <name val="Roboto"/>
    </font>
    <font>
      <sz val="11.0"/>
      <color rgb="FF767676"/>
      <name val="Roboto"/>
    </font>
    <font>
      <b/>
      <sz val="28.0"/>
      <color rgb="FF351C75"/>
      <name val="Montserrat"/>
    </font>
    <font>
      <b/>
      <sz val="14.0"/>
      <color rgb="FF434343"/>
      <name val="Montserrat"/>
    </font>
    <font>
      <sz val="11.0"/>
      <color rgb="FF434343"/>
      <name val="Montserrat"/>
    </font>
    <font>
      <b/>
      <sz val="12.0"/>
      <color rgb="FF434343"/>
      <name val="Montserrat"/>
    </font>
    <font>
      <b/>
      <sz val="14.0"/>
      <color rgb="FF05CC61"/>
      <name val="Montserrat"/>
    </font>
  </fonts>
  <fills count="11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7959CB"/>
        <bgColor rgb="FF7959CB"/>
      </patternFill>
    </fill>
    <fill>
      <patternFill patternType="solid">
        <fgColor rgb="FFEFEAFA"/>
        <bgColor rgb="FFEFEAFA"/>
      </patternFill>
    </fill>
    <fill>
      <patternFill patternType="solid">
        <fgColor rgb="FF92E6B9"/>
        <bgColor rgb="FF92E6B9"/>
      </patternFill>
    </fill>
    <fill>
      <patternFill patternType="solid">
        <fgColor rgb="FF05CC61"/>
        <bgColor rgb="FF05CC61"/>
      </patternFill>
    </fill>
  </fills>
  <borders count="35">
    <border/>
    <border>
      <right style="medium">
        <color rgb="FF434343"/>
      </right>
    </border>
    <border>
      <left style="medium">
        <color rgb="FF666666"/>
      </left>
      <top style="medium">
        <color rgb="FF666666"/>
      </top>
    </border>
    <border>
      <top style="medium">
        <color rgb="FF666666"/>
      </top>
    </border>
    <border>
      <right style="medium">
        <color rgb="FF666666"/>
      </right>
      <top style="medium">
        <color rgb="FF666666"/>
      </top>
    </border>
    <border>
      <left style="medium">
        <color rgb="FF666666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top style="medium">
        <color rgb="FF434343"/>
      </top>
      <bottom style="medium">
        <color rgb="FF434343"/>
      </bottom>
    </border>
    <border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medium">
        <color rgb="FF666666"/>
      </right>
      <top style="medium">
        <color rgb="FF434343"/>
      </top>
      <bottom style="medium">
        <color rgb="FF666666"/>
      </bottom>
    </border>
    <border>
      <bottom style="medium">
        <color rgb="FF434343"/>
      </bottom>
    </border>
    <border>
      <right style="medium">
        <color rgb="FF666666"/>
      </right>
      <bottom style="medium">
        <color rgb="FF434343"/>
      </bottom>
    </border>
    <border>
      <left style="medium">
        <color rgb="FF666666"/>
      </left>
      <right style="thin">
        <color rgb="FFCCCCCC"/>
      </right>
      <top style="thin">
        <color rgb="FFCCCCCC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D9D9D9"/>
      </bottom>
    </border>
    <border>
      <left style="thin">
        <color rgb="FFCCCCCC"/>
      </left>
      <top style="thin">
        <color rgb="FFCCCCCC"/>
      </top>
      <bottom style="thin">
        <color rgb="FFD9D9D9"/>
      </bottom>
    </border>
    <border>
      <right style="thin">
        <color rgb="FFCCCCCC"/>
      </right>
      <top style="thin">
        <color rgb="FFCCCCCC"/>
      </top>
      <bottom style="thin">
        <color rgb="FFD9D9D9"/>
      </bottom>
    </border>
    <border>
      <left style="thin">
        <color rgb="FFCCCCCC"/>
      </left>
      <right style="medium">
        <color rgb="FF666666"/>
      </right>
      <top style="thin">
        <color rgb="FFCCCCCC"/>
      </top>
    </border>
    <border>
      <left style="medium">
        <color rgb="FF666666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medium">
        <color rgb="FF666666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666666"/>
      </right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medium">
        <color rgb="FF666666"/>
      </right>
      <top style="thin">
        <color rgb="FFCCCCCC"/>
      </top>
      <bottom style="thin">
        <color rgb="FFD9D9D9"/>
      </bottom>
    </border>
    <border>
      <left style="thin">
        <color rgb="FFCCCCCC"/>
      </left>
      <top style="thin">
        <color rgb="FFCCCCCC"/>
      </top>
    </border>
    <border>
      <left style="thin">
        <color rgb="FFD9D9D9"/>
      </left>
      <right style="thin">
        <color rgb="FFCCCCCC"/>
      </right>
      <top style="thin">
        <color rgb="FFD9D9D9"/>
      </top>
    </border>
    <border>
      <left style="thin">
        <color rgb="FFCCCCCC"/>
      </left>
      <right style="medium">
        <color rgb="FF666666"/>
      </right>
      <bottom style="thin">
        <color rgb="FFD9D9D9"/>
      </bottom>
    </border>
    <border>
      <left style="medium">
        <color rgb="FF434343"/>
      </left>
      <right style="thin">
        <color rgb="FF666666"/>
      </right>
      <bottom style="medium">
        <color rgb="FF434343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1" fillId="0" fontId="13" numFmtId="0" xfId="0" applyBorder="1" applyFont="1"/>
    <xf borderId="2" fillId="3" fontId="14" numFmtId="0" xfId="0" applyAlignment="1" applyBorder="1" applyFill="1" applyFont="1">
      <alignment horizontal="center" readingOrder="0" shrinkToFit="0" vertical="center" wrapText="1"/>
    </xf>
    <xf borderId="3" fillId="0" fontId="13" numFmtId="0" xfId="0" applyBorder="1" applyFont="1"/>
    <xf borderId="4" fillId="0" fontId="13" numFmtId="0" xfId="0" applyBorder="1" applyFont="1"/>
    <xf borderId="5" fillId="4" fontId="15" numFmtId="0" xfId="0" applyAlignment="1" applyBorder="1" applyFill="1" applyFont="1">
      <alignment horizontal="center" readingOrder="0" shrinkToFit="0" vertical="center" wrapText="1"/>
    </xf>
    <xf borderId="6" fillId="4" fontId="15" numFmtId="0" xfId="0" applyAlignment="1" applyBorder="1" applyFont="1">
      <alignment horizontal="center" readingOrder="0" shrinkToFit="0" vertical="center" wrapText="1"/>
    </xf>
    <xf borderId="7" fillId="4" fontId="15" numFmtId="0" xfId="0" applyAlignment="1" applyBorder="1" applyFont="1">
      <alignment horizontal="center" readingOrder="0" shrinkToFit="0" vertical="center" wrapText="1"/>
    </xf>
    <xf borderId="8" fillId="5" fontId="13" numFmtId="0" xfId="0" applyBorder="1" applyFill="1" applyFont="1"/>
    <xf borderId="6" fillId="4" fontId="15" numFmtId="164" xfId="0" applyAlignment="1" applyBorder="1" applyFont="1" applyNumberFormat="1">
      <alignment horizontal="center" readingOrder="0" shrinkToFit="0" vertical="center" wrapText="1"/>
    </xf>
    <xf borderId="9" fillId="6" fontId="16" numFmtId="164" xfId="0" applyAlignment="1" applyBorder="1" applyFill="1" applyFont="1" applyNumberFormat="1">
      <alignment horizontal="center" readingOrder="0" shrinkToFit="0" vertical="center" wrapText="1"/>
    </xf>
    <xf borderId="10" fillId="7" fontId="4" numFmtId="0" xfId="0" applyAlignment="1" applyBorder="1" applyFill="1" applyFont="1">
      <alignment horizontal="center" readingOrder="0" shrinkToFit="0" vertical="center" wrapText="1"/>
    </xf>
    <xf borderId="10" fillId="8" fontId="13" numFmtId="0" xfId="0" applyBorder="1" applyFill="1" applyFont="1"/>
    <xf borderId="11" fillId="8" fontId="13" numFmtId="0" xfId="0" applyBorder="1" applyFont="1"/>
    <xf borderId="12" fillId="5" fontId="17" numFmtId="0" xfId="0" applyAlignment="1" applyBorder="1" applyFont="1">
      <alignment readingOrder="0" shrinkToFit="0" vertical="center" wrapText="1"/>
    </xf>
    <xf borderId="13" fillId="5" fontId="18" numFmtId="0" xfId="0" applyAlignment="1" applyBorder="1" applyFont="1">
      <alignment readingOrder="0" shrinkToFit="0" vertical="center" wrapText="1"/>
    </xf>
    <xf borderId="14" fillId="5" fontId="19" numFmtId="0" xfId="0" applyAlignment="1" applyBorder="1" applyFont="1">
      <alignment readingOrder="0" shrinkToFit="0" vertical="center" wrapText="1"/>
    </xf>
    <xf borderId="15" fillId="5" fontId="13" numFmtId="0" xfId="0" applyBorder="1" applyFont="1"/>
    <xf borderId="13" fillId="5" fontId="19" numFmtId="164" xfId="0" applyAlignment="1" applyBorder="1" applyFont="1" applyNumberFormat="1">
      <alignment horizontal="center" readingOrder="0" shrinkToFit="0" vertical="center" wrapText="1"/>
    </xf>
    <xf borderId="16" fillId="5" fontId="17" numFmtId="164" xfId="0" applyAlignment="1" applyBorder="1" applyFont="1" applyNumberFormat="1">
      <alignment horizontal="center" readingOrder="0" shrinkToFit="0" vertical="center" wrapText="1"/>
    </xf>
    <xf borderId="17" fillId="8" fontId="17" numFmtId="0" xfId="0" applyAlignment="1" applyBorder="1" applyFont="1">
      <alignment readingOrder="0" shrinkToFit="0" vertical="center" wrapText="1"/>
    </xf>
    <xf borderId="18" fillId="8" fontId="18" numFmtId="0" xfId="0" applyAlignment="1" applyBorder="1" applyFont="1">
      <alignment readingOrder="0" shrinkToFit="0" vertical="center" wrapText="1"/>
    </xf>
    <xf borderId="19" fillId="8" fontId="19" numFmtId="0" xfId="0" applyAlignment="1" applyBorder="1" applyFont="1">
      <alignment readingOrder="0" shrinkToFit="0" vertical="center" wrapText="1"/>
    </xf>
    <xf borderId="20" fillId="8" fontId="13" numFmtId="0" xfId="0" applyBorder="1" applyFont="1"/>
    <xf borderId="13" fillId="8" fontId="19" numFmtId="164" xfId="0" applyAlignment="1" applyBorder="1" applyFont="1" applyNumberFormat="1">
      <alignment horizontal="center" readingOrder="0" shrinkToFit="0" vertical="center" wrapText="1"/>
    </xf>
    <xf borderId="16" fillId="8" fontId="17" numFmtId="164" xfId="0" applyAlignment="1" applyBorder="1" applyFont="1" applyNumberFormat="1">
      <alignment horizontal="center" readingOrder="0" shrinkToFit="0" vertical="center" wrapText="1"/>
    </xf>
    <xf borderId="21" fillId="5" fontId="17" numFmtId="0" xfId="0" applyAlignment="1" applyBorder="1" applyFont="1">
      <alignment readingOrder="0" shrinkToFit="0" vertical="center" wrapText="1"/>
    </xf>
    <xf borderId="22" fillId="5" fontId="18" numFmtId="0" xfId="0" applyAlignment="1" applyBorder="1" applyFont="1">
      <alignment readingOrder="0" shrinkToFit="0" vertical="center" wrapText="1"/>
    </xf>
    <xf borderId="23" fillId="5" fontId="19" numFmtId="0" xfId="0" applyAlignment="1" applyBorder="1" applyFont="1">
      <alignment readingOrder="0" shrinkToFit="0" vertical="center" wrapText="1"/>
    </xf>
    <xf borderId="24" fillId="5" fontId="13" numFmtId="0" xfId="0" applyBorder="1" applyFont="1"/>
    <xf borderId="22" fillId="5" fontId="19" numFmtId="164" xfId="0" applyAlignment="1" applyBorder="1" applyFont="1" applyNumberFormat="1">
      <alignment horizontal="center" readingOrder="0" shrinkToFit="0" vertical="center" wrapText="1"/>
    </xf>
    <xf borderId="21" fillId="8" fontId="17" numFmtId="0" xfId="0" applyAlignment="1" applyBorder="1" applyFont="1">
      <alignment readingOrder="0" shrinkToFit="0" vertical="center" wrapText="1"/>
    </xf>
    <xf borderId="22" fillId="8" fontId="18" numFmtId="0" xfId="0" applyAlignment="1" applyBorder="1" applyFont="1">
      <alignment readingOrder="0" shrinkToFit="0" vertical="center" wrapText="1"/>
    </xf>
    <xf borderId="23" fillId="8" fontId="19" numFmtId="0" xfId="0" applyAlignment="1" applyBorder="1" applyFont="1">
      <alignment readingOrder="0" shrinkToFit="0" vertical="center" wrapText="1"/>
    </xf>
    <xf borderId="24" fillId="8" fontId="13" numFmtId="0" xfId="0" applyBorder="1" applyFont="1"/>
    <xf borderId="22" fillId="8" fontId="19" numFmtId="164" xfId="0" applyAlignment="1" applyBorder="1" applyFont="1" applyNumberForma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25" fillId="9" fontId="21" numFmtId="0" xfId="0" applyAlignment="1" applyBorder="1" applyFill="1" applyFont="1">
      <alignment horizontal="center" readingOrder="0" shrinkToFit="0" vertical="center" wrapText="1"/>
    </xf>
    <xf borderId="26" fillId="9" fontId="22" numFmtId="164" xfId="0" applyAlignment="1" applyBorder="1" applyFont="1" applyNumberFormat="1">
      <alignment horizontal="center" readingOrder="0" shrinkToFit="0" vertical="center" wrapText="1"/>
    </xf>
    <xf borderId="27" fillId="10" fontId="23" numFmtId="164" xfId="0" applyAlignment="1" applyBorder="1" applyFill="1" applyFont="1" applyNumberFormat="1">
      <alignment horizontal="center" readingOrder="0" shrinkToFit="0" vertical="center" wrapText="1"/>
    </xf>
    <xf borderId="0" fillId="0" fontId="13" numFmtId="0" xfId="0" applyFont="1"/>
    <xf borderId="0" fillId="0" fontId="13" numFmtId="164" xfId="0" applyFont="1" applyNumberFormat="1"/>
    <xf borderId="0" fillId="7" fontId="4" numFmtId="0" xfId="0" applyAlignment="1" applyFont="1">
      <alignment horizontal="center" readingOrder="0" shrinkToFit="0" vertical="center" wrapText="1"/>
    </xf>
    <xf borderId="28" fillId="8" fontId="13" numFmtId="0" xfId="0" applyBorder="1" applyFont="1"/>
    <xf borderId="22" fillId="5" fontId="17" numFmtId="0" xfId="0" applyAlignment="1" applyBorder="1" applyFont="1">
      <alignment readingOrder="0" shrinkToFit="0" vertical="center" wrapText="1"/>
    </xf>
    <xf borderId="29" fillId="5" fontId="19" numFmtId="164" xfId="0" applyAlignment="1" applyBorder="1" applyFont="1" applyNumberFormat="1">
      <alignment horizontal="center" readingOrder="0" shrinkToFit="0" vertical="center" wrapText="1"/>
    </xf>
    <xf borderId="30" fillId="5" fontId="17" numFmtId="164" xfId="0" applyAlignment="1" applyBorder="1" applyFont="1" applyNumberFormat="1">
      <alignment horizontal="center" readingOrder="0" shrinkToFit="0" vertical="center" wrapText="1"/>
    </xf>
    <xf borderId="31" fillId="8" fontId="19" numFmtId="0" xfId="0" applyAlignment="1" applyBorder="1" applyFont="1">
      <alignment readingOrder="0" shrinkToFit="0" vertical="center" wrapText="1"/>
    </xf>
    <xf borderId="29" fillId="8" fontId="13" numFmtId="0" xfId="0" applyBorder="1" applyFont="1"/>
    <xf borderId="32" fillId="8" fontId="19" numFmtId="164" xfId="0" applyAlignment="1" applyBorder="1" applyFont="1" applyNumberFormat="1">
      <alignment horizontal="center" readingOrder="0" shrinkToFit="0" vertical="center" wrapText="1"/>
    </xf>
    <xf borderId="33" fillId="8" fontId="17" numFmtId="164" xfId="0" applyAlignment="1" applyBorder="1" applyFont="1" applyNumberFormat="1">
      <alignment horizontal="center" readingOrder="0" shrinkToFit="0" vertical="center" wrapText="1"/>
    </xf>
    <xf borderId="31" fillId="5" fontId="19" numFmtId="0" xfId="0" applyAlignment="1" applyBorder="1" applyFont="1">
      <alignment readingOrder="0" shrinkToFit="0" vertical="center" wrapText="1"/>
    </xf>
    <xf borderId="29" fillId="5" fontId="13" numFmtId="0" xfId="0" applyBorder="1" applyFont="1"/>
    <xf borderId="32" fillId="5" fontId="19" numFmtId="164" xfId="0" applyAlignment="1" applyBorder="1" applyFont="1" applyNumberFormat="1">
      <alignment horizontal="center" readingOrder="0" shrinkToFit="0" vertical="center" wrapText="1"/>
    </xf>
    <xf borderId="33" fillId="5" fontId="17" numFmtId="164" xfId="0" applyAlignment="1" applyBorder="1" applyFont="1" applyNumberForma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34" fillId="7" fontId="2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1866900</xdr:colOff>
      <xdr:row>14</xdr:row>
      <xdr:rowOff>161925</xdr:rowOff>
    </xdr:from>
    <xdr:ext cx="1685925" cy="4667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.whatsapp.com/send?phone=553298820302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E6B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5"/>
    <col customWidth="1" min="2" max="2" width="6.25"/>
    <col customWidth="1" min="3" max="3" width="31.13"/>
    <col customWidth="1" min="4" max="4" width="33.63"/>
    <col customWidth="1" min="5" max="5" width="15.88"/>
    <col customWidth="1" min="6" max="6" width="13.88"/>
  </cols>
  <sheetData>
    <row r="1" ht="15.75" customHeight="1">
      <c r="A1" s="1"/>
      <c r="B1" s="1"/>
      <c r="C1" s="1"/>
      <c r="D1" s="1"/>
      <c r="E1" s="2"/>
      <c r="F1" s="2"/>
    </row>
    <row r="2" ht="19.5" customHeight="1">
      <c r="A2" s="2"/>
      <c r="B2" s="2"/>
      <c r="C2" s="3" t="s">
        <v>0</v>
      </c>
      <c r="F2" s="4"/>
    </row>
    <row r="3" ht="15.75" customHeight="1">
      <c r="A3" s="2"/>
      <c r="B3" s="2"/>
      <c r="F3" s="4"/>
    </row>
    <row r="4" ht="15.75" customHeight="1">
      <c r="A4" s="5"/>
      <c r="B4" s="5"/>
      <c r="C4" s="6" t="s">
        <v>1</v>
      </c>
      <c r="F4" s="7"/>
    </row>
    <row r="5" ht="15.75" customHeight="1">
      <c r="A5" s="5"/>
      <c r="B5" s="5"/>
      <c r="C5" s="7"/>
      <c r="D5" s="7"/>
      <c r="E5" s="7"/>
      <c r="F5" s="7"/>
    </row>
    <row r="6" ht="16.5" customHeight="1">
      <c r="A6" s="8"/>
      <c r="B6" s="8"/>
      <c r="C6" s="9"/>
      <c r="D6" s="9"/>
      <c r="E6" s="9"/>
      <c r="F6" s="9"/>
    </row>
    <row r="7" ht="55.5" customHeight="1">
      <c r="A7" s="8"/>
      <c r="B7" s="8" t="s">
        <v>2</v>
      </c>
      <c r="C7" s="10" t="s">
        <v>3</v>
      </c>
      <c r="F7" s="9"/>
    </row>
    <row r="8" ht="39.75" customHeight="1">
      <c r="A8" s="8"/>
      <c r="B8" s="8" t="s">
        <v>4</v>
      </c>
      <c r="C8" s="10" t="s">
        <v>5</v>
      </c>
      <c r="F8" s="9"/>
    </row>
    <row r="9" ht="39.75" customHeight="1">
      <c r="A9" s="8"/>
      <c r="B9" s="8" t="s">
        <v>6</v>
      </c>
      <c r="C9" s="10" t="s">
        <v>7</v>
      </c>
      <c r="F9" s="9"/>
    </row>
    <row r="10" ht="39.75" customHeight="1">
      <c r="A10" s="8"/>
      <c r="B10" s="8" t="s">
        <v>8</v>
      </c>
      <c r="C10" s="10" t="s">
        <v>9</v>
      </c>
      <c r="F10" s="9"/>
    </row>
    <row r="11" ht="39.75" customHeight="1">
      <c r="A11" s="8"/>
      <c r="B11" s="8" t="s">
        <v>10</v>
      </c>
      <c r="C11" s="11" t="s">
        <v>11</v>
      </c>
      <c r="F11" s="9"/>
    </row>
    <row r="12" ht="39.75" customHeight="1">
      <c r="A12" s="8"/>
      <c r="B12" s="8" t="s">
        <v>12</v>
      </c>
      <c r="C12" s="10" t="s">
        <v>13</v>
      </c>
      <c r="F12" s="9"/>
    </row>
    <row r="13" ht="15.75" customHeight="1">
      <c r="A13" s="12"/>
      <c r="B13" s="12"/>
      <c r="C13" s="9"/>
      <c r="F13" s="9"/>
    </row>
    <row r="14" ht="15.75" customHeight="1">
      <c r="A14" s="12"/>
      <c r="B14" s="12"/>
      <c r="C14" s="9"/>
      <c r="D14" s="9"/>
      <c r="E14" s="9"/>
      <c r="F14" s="9"/>
    </row>
    <row r="15" ht="15.75" customHeight="1">
      <c r="A15" s="12"/>
      <c r="B15" s="12"/>
      <c r="C15" s="9"/>
      <c r="D15" s="9"/>
      <c r="E15" s="9"/>
      <c r="F15" s="9"/>
    </row>
    <row r="16" ht="15.75" customHeight="1">
      <c r="A16" s="12"/>
      <c r="B16" s="12"/>
      <c r="C16" s="9"/>
      <c r="D16" s="9"/>
      <c r="E16" s="9"/>
      <c r="F16" s="9"/>
    </row>
    <row r="17" ht="15.75" customHeight="1">
      <c r="A17" s="12"/>
      <c r="B17" s="12"/>
      <c r="C17" s="9"/>
      <c r="D17" s="9"/>
      <c r="E17" s="9"/>
      <c r="F17" s="9"/>
    </row>
    <row r="18" ht="15.75" customHeight="1">
      <c r="A18" s="12"/>
      <c r="B18" s="12"/>
      <c r="C18" s="9"/>
      <c r="D18" s="9"/>
      <c r="E18" s="9"/>
      <c r="F18" s="9"/>
    </row>
    <row r="19" ht="15.75" customHeight="1">
      <c r="A19" s="12"/>
      <c r="B19" s="12"/>
      <c r="C19" s="9"/>
      <c r="D19" s="9"/>
      <c r="E19" s="9"/>
      <c r="F19" s="9"/>
    </row>
    <row r="20" ht="15.75" customHeight="1">
      <c r="A20" s="12"/>
      <c r="B20" s="12"/>
      <c r="C20" s="9"/>
      <c r="D20" s="9"/>
      <c r="E20" s="9"/>
      <c r="F20" s="9"/>
    </row>
    <row r="21" ht="15.75" customHeight="1">
      <c r="A21" s="12"/>
      <c r="B21" s="12"/>
      <c r="C21" s="9"/>
      <c r="D21" s="9"/>
      <c r="E21" s="9"/>
      <c r="F21" s="9"/>
    </row>
  </sheetData>
  <mergeCells count="9">
    <mergeCell ref="C12:E12"/>
    <mergeCell ref="C13:E13"/>
    <mergeCell ref="C2:E3"/>
    <mergeCell ref="C4:E4"/>
    <mergeCell ref="C7:E7"/>
    <mergeCell ref="C8:E8"/>
    <mergeCell ref="C9:E9"/>
    <mergeCell ref="C10:E10"/>
    <mergeCell ref="C11:E11"/>
  </mergeCells>
  <hyperlinks>
    <hyperlink r:id="rId1" ref="C1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27.0"/>
    <col customWidth="1" min="3" max="3" width="40.38"/>
    <col customWidth="1" min="4" max="4" width="20.75"/>
    <col customWidth="1" min="5" max="5" width="16.0"/>
    <col customWidth="1" min="6" max="6" width="20.5"/>
  </cols>
  <sheetData>
    <row r="1" ht="8.25" customHeight="1">
      <c r="A1" s="13" t="s">
        <v>14</v>
      </c>
      <c r="F1" s="14"/>
    </row>
    <row r="2" ht="57.0" customHeight="1">
      <c r="F2" s="14"/>
    </row>
    <row r="3" ht="23.25" customHeight="1">
      <c r="A3" s="15" t="s">
        <v>15</v>
      </c>
      <c r="B3" s="16"/>
      <c r="C3" s="16"/>
      <c r="D3" s="16"/>
      <c r="E3" s="16"/>
      <c r="F3" s="17"/>
    </row>
    <row r="4" ht="35.25" customHeight="1">
      <c r="A4" s="18" t="s">
        <v>16</v>
      </c>
      <c r="B4" s="19" t="s">
        <v>17</v>
      </c>
      <c r="C4" s="20" t="s">
        <v>18</v>
      </c>
      <c r="D4" s="21"/>
      <c r="E4" s="22" t="s">
        <v>19</v>
      </c>
      <c r="F4" s="23" t="s">
        <v>20</v>
      </c>
    </row>
    <row r="5" ht="44.25" customHeight="1">
      <c r="A5" s="24" t="s">
        <v>21</v>
      </c>
      <c r="B5" s="25"/>
      <c r="C5" s="25"/>
      <c r="D5" s="25"/>
      <c r="E5" s="25"/>
      <c r="F5" s="26"/>
    </row>
    <row r="6" ht="42.75" customHeight="1">
      <c r="A6" s="27" t="b">
        <v>0</v>
      </c>
      <c r="B6" s="28" t="s">
        <v>22</v>
      </c>
      <c r="C6" s="29" t="s">
        <v>23</v>
      </c>
      <c r="D6" s="30"/>
      <c r="E6" s="31">
        <v>650.0</v>
      </c>
      <c r="F6" s="32">
        <f t="shared" ref="F6:F11" si="1">SUM(E6*2.75)</f>
        <v>1787.5</v>
      </c>
    </row>
    <row r="7" ht="42.75" customHeight="1">
      <c r="A7" s="33" t="b">
        <v>0</v>
      </c>
      <c r="B7" s="34" t="s">
        <v>24</v>
      </c>
      <c r="C7" s="35" t="s">
        <v>25</v>
      </c>
      <c r="D7" s="36"/>
      <c r="E7" s="37">
        <v>650.0</v>
      </c>
      <c r="F7" s="38">
        <f t="shared" si="1"/>
        <v>1787.5</v>
      </c>
    </row>
    <row r="8" ht="42.75" customHeight="1">
      <c r="A8" s="39" t="b">
        <v>0</v>
      </c>
      <c r="B8" s="40" t="s">
        <v>26</v>
      </c>
      <c r="C8" s="41" t="s">
        <v>27</v>
      </c>
      <c r="D8" s="42"/>
      <c r="E8" s="43">
        <v>1190.0</v>
      </c>
      <c r="F8" s="32">
        <f t="shared" si="1"/>
        <v>3272.5</v>
      </c>
    </row>
    <row r="9" ht="42.75" customHeight="1">
      <c r="A9" s="44" t="b">
        <v>0</v>
      </c>
      <c r="B9" s="45" t="s">
        <v>28</v>
      </c>
      <c r="C9" s="46" t="s">
        <v>29</v>
      </c>
      <c r="D9" s="47"/>
      <c r="E9" s="48">
        <v>1650.0</v>
      </c>
      <c r="F9" s="38">
        <f t="shared" si="1"/>
        <v>4537.5</v>
      </c>
    </row>
    <row r="10" ht="42.75" customHeight="1">
      <c r="A10" s="39" t="b">
        <v>0</v>
      </c>
      <c r="B10" s="40" t="s">
        <v>30</v>
      </c>
      <c r="C10" s="41" t="s">
        <v>31</v>
      </c>
      <c r="D10" s="42"/>
      <c r="E10" s="43">
        <v>2500.0</v>
      </c>
      <c r="F10" s="32">
        <f t="shared" si="1"/>
        <v>6875</v>
      </c>
    </row>
    <row r="11" ht="34.5" customHeight="1">
      <c r="A11" s="49"/>
      <c r="B11" s="50"/>
      <c r="D11" s="51" t="s">
        <v>32</v>
      </c>
      <c r="E11" s="52">
        <f>SUMIF(A7:A10,TRUE,E7:E10)</f>
        <v>0</v>
      </c>
      <c r="F11" s="53">
        <f t="shared" si="1"/>
        <v>0</v>
      </c>
    </row>
    <row r="12" ht="22.5" customHeight="1">
      <c r="A12" s="54"/>
      <c r="B12" s="54"/>
      <c r="C12" s="54"/>
      <c r="D12" s="54"/>
      <c r="E12" s="55"/>
      <c r="F12" s="55"/>
    </row>
    <row r="13" ht="45.75" customHeight="1">
      <c r="A13" s="56" t="s">
        <v>33</v>
      </c>
      <c r="F13" s="57"/>
    </row>
    <row r="14" ht="41.25" customHeight="1">
      <c r="A14" s="58" t="b">
        <v>0</v>
      </c>
      <c r="B14" s="40" t="s">
        <v>34</v>
      </c>
      <c r="C14" s="41" t="s">
        <v>35</v>
      </c>
      <c r="D14" s="42"/>
      <c r="E14" s="59">
        <v>49.0</v>
      </c>
      <c r="F14" s="60">
        <f t="shared" ref="F14:F22" si="2">SUM(E14*2.75)</f>
        <v>134.75</v>
      </c>
    </row>
    <row r="15" ht="41.25" customHeight="1">
      <c r="A15" s="48" t="b">
        <v>0</v>
      </c>
      <c r="B15" s="45" t="s">
        <v>36</v>
      </c>
      <c r="C15" s="61" t="s">
        <v>37</v>
      </c>
      <c r="D15" s="62"/>
      <c r="E15" s="63">
        <v>139.0</v>
      </c>
      <c r="F15" s="64">
        <f t="shared" si="2"/>
        <v>382.25</v>
      </c>
    </row>
    <row r="16">
      <c r="A16" s="43" t="b">
        <v>0</v>
      </c>
      <c r="B16" s="40" t="s">
        <v>38</v>
      </c>
      <c r="C16" s="65" t="s">
        <v>39</v>
      </c>
      <c r="D16" s="66"/>
      <c r="E16" s="67">
        <v>790.0</v>
      </c>
      <c r="F16" s="68">
        <f t="shared" si="2"/>
        <v>2172.5</v>
      </c>
    </row>
    <row r="17" ht="41.25" customHeight="1">
      <c r="A17" s="48" t="b">
        <v>0</v>
      </c>
      <c r="B17" s="45" t="s">
        <v>40</v>
      </c>
      <c r="C17" s="46" t="s">
        <v>41</v>
      </c>
      <c r="D17" s="47"/>
      <c r="E17" s="48">
        <v>750.0</v>
      </c>
      <c r="F17" s="64">
        <f t="shared" si="2"/>
        <v>2062.5</v>
      </c>
    </row>
    <row r="18" ht="41.25" customHeight="1">
      <c r="A18" s="43" t="b">
        <v>0</v>
      </c>
      <c r="B18" s="40" t="s">
        <v>42</v>
      </c>
      <c r="C18" s="41" t="s">
        <v>43</v>
      </c>
      <c r="D18" s="42"/>
      <c r="E18" s="43">
        <v>1500.0</v>
      </c>
      <c r="F18" s="68">
        <f t="shared" si="2"/>
        <v>4125</v>
      </c>
    </row>
    <row r="19" ht="41.25" customHeight="1">
      <c r="A19" s="48" t="b">
        <v>0</v>
      </c>
      <c r="B19" s="45" t="s">
        <v>44</v>
      </c>
      <c r="C19" s="46" t="s">
        <v>45</v>
      </c>
      <c r="D19" s="47"/>
      <c r="E19" s="48">
        <v>550.0</v>
      </c>
      <c r="F19" s="64">
        <f t="shared" si="2"/>
        <v>1512.5</v>
      </c>
    </row>
    <row r="20" ht="41.25" customHeight="1">
      <c r="A20" s="43" t="b">
        <v>0</v>
      </c>
      <c r="B20" s="40" t="s">
        <v>46</v>
      </c>
      <c r="C20" s="41" t="s">
        <v>47</v>
      </c>
      <c r="D20" s="42"/>
      <c r="E20" s="43">
        <v>590.0</v>
      </c>
      <c r="F20" s="68">
        <f t="shared" si="2"/>
        <v>1622.5</v>
      </c>
    </row>
    <row r="21" ht="41.25" customHeight="1">
      <c r="A21" s="48" t="b">
        <v>0</v>
      </c>
      <c r="B21" s="45" t="s">
        <v>48</v>
      </c>
      <c r="C21" s="46" t="s">
        <v>49</v>
      </c>
      <c r="D21" s="47"/>
      <c r="E21" s="48">
        <v>490.0</v>
      </c>
      <c r="F21" s="64">
        <f t="shared" si="2"/>
        <v>1347.5</v>
      </c>
    </row>
    <row r="22" ht="31.5" customHeight="1">
      <c r="A22" s="69"/>
      <c r="B22" s="70"/>
      <c r="C22" s="71"/>
      <c r="D22" s="72" t="s">
        <v>50</v>
      </c>
      <c r="E22" s="52">
        <f>SUMIF(A14:A19,TRUE,E14:E19)</f>
        <v>0</v>
      </c>
      <c r="F22" s="53">
        <f t="shared" si="2"/>
        <v>0</v>
      </c>
    </row>
    <row r="23" ht="31.5" customHeight="1">
      <c r="A23" s="69"/>
      <c r="B23" s="70"/>
      <c r="C23" s="71"/>
    </row>
    <row r="24" ht="6.75" customHeight="1">
      <c r="A24" s="54"/>
      <c r="B24" s="54"/>
      <c r="C24" s="54"/>
      <c r="D24" s="54"/>
      <c r="E24" s="55"/>
      <c r="F24" s="55"/>
    </row>
    <row r="25" ht="31.5" customHeight="1">
      <c r="A25" s="69"/>
      <c r="B25" s="70"/>
      <c r="C25" s="71"/>
    </row>
  </sheetData>
  <mergeCells count="19">
    <mergeCell ref="A1:F2"/>
    <mergeCell ref="A3:F3"/>
    <mergeCell ref="C4:D4"/>
    <mergeCell ref="A5:F5"/>
    <mergeCell ref="C6:D6"/>
    <mergeCell ref="C7:D7"/>
    <mergeCell ref="C8:D8"/>
    <mergeCell ref="C17:D17"/>
    <mergeCell ref="C18:D18"/>
    <mergeCell ref="C19:D19"/>
    <mergeCell ref="C20:D20"/>
    <mergeCell ref="C21:D21"/>
    <mergeCell ref="C9:D9"/>
    <mergeCell ref="C10:D10"/>
    <mergeCell ref="B11:C11"/>
    <mergeCell ref="A13:F13"/>
    <mergeCell ref="C14:D14"/>
    <mergeCell ref="C15:D15"/>
    <mergeCell ref="C16:D16"/>
  </mergeCells>
  <dataValidations>
    <dataValidation type="custom" allowBlank="1" showDropDown="1" showInputMessage="1" prompt="O valor gasto deve ser negativo. Ele só deve ser positivo se for um reembolso, crédito, estorno etc." sqref="F22">
      <formula1>IF(AND(F22&gt;0,IFERROR(MATCH(C25,Categorias!$B$7:$B$24,0),FALSE)),FALSE,TRUE)</formula1>
    </dataValidation>
    <dataValidation type="custom" allowBlank="1" showDropDown="1" showInputMessage="1" prompt="O valor gasto deve ser negativo. Ele só deve ser positivo se for um reembolso, crédito, estorno etc." sqref="E6:F10 E14:F21 E24:F24">
      <formula1>IF(AND(E6&gt;0,IFERROR(MATCH(B6,Categorias!$B$7:$B$24,0),FALSE)),FALSE,TRUE)</formula1>
    </dataValidation>
    <dataValidation type="custom" allowBlank="1" showDropDown="1" showInputMessage="1" prompt="O valor gasto deve ser negativo. Ele só deve ser positivo se for um reembolso, crédito, estorno etc." sqref="E22">
      <formula1>IF(AND(E22&gt;0,IFERROR(MATCH(B31,Categorias!$B$7:$B$24,0),FALSE)),FALSE,TRUE)</formula1>
    </dataValidation>
    <dataValidation type="custom" allowBlank="1" showDropDown="1" showInputMessage="1" prompt="O valor gasto deve ser negativo. Ele só deve ser positivo se for um reembolso, crédito, estorno etc." sqref="E11:F11">
      <formula1>IF(AND(E11&gt;0,IFERROR(MATCH(B23,Categorias!$B$7:$B$24,0),FALSE)),FALSE,TRUE)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