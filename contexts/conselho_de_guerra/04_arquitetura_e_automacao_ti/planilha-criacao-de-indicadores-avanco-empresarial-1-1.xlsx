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adores_Ano" sheetId="1" r:id="rId4"/>
    <sheet state="visible" name="Indicadores_Mês" sheetId="2" r:id="rId5"/>
    <sheet state="visible" name="Satisf. dos Clientes" sheetId="3" r:id="rId6"/>
    <sheet state="visible" name="Reclamações de Clientes" sheetId="4" r:id="rId7"/>
    <sheet state="visible" name="Capac. Ministradas p. Colabor." sheetId="5" r:id="rId8"/>
    <sheet state="visible" name="Acid. com Colaboradores" sheetId="6" r:id="rId9"/>
    <sheet state="visible" name="Prod. no Trabalho" sheetId="7" r:id="rId10"/>
    <sheet state="visible" name="Margem de Lucro" sheetId="8" r:id="rId11"/>
  </sheets>
  <definedNames/>
  <calcPr/>
  <extLst>
    <ext uri="GoogleSheetsCustomDataVersion2">
      <go:sheetsCustomData xmlns:go="http://customooxmlschemas.google.com/" r:id="rId12" roundtripDataChecksum="vvHpOn5TjzRGixkYNOiJUw0JOWCXyJj5C71Z0EMAkZc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G7">
      <text>
        <t xml:space="preserve">======
ID#AAAA1djjZGQ
Autor    (2023-07-22 22:39:56)
Valor simulado</t>
      </text>
    </comment>
    <comment authorId="0" ref="F15">
      <text>
        <t xml:space="preserve">======
ID#AAAA1djjZGU
Autor    (2023-07-22 22:39:56)
Valor simulado</t>
      </text>
    </comment>
    <comment authorId="0" ref="F11">
      <text>
        <t xml:space="preserve">======
ID#AAAA1djjZGI
Autor    (2023-07-22 22:39:56)
Valor simulado</t>
      </text>
    </comment>
    <comment authorId="0" ref="G15">
      <text>
        <t xml:space="preserve">======
ID#AAAA1djjZGM
Autor    (2023-07-22 22:39:56)
Valor simulado</t>
      </text>
    </comment>
    <comment authorId="0" ref="E13">
      <text>
        <t xml:space="preserve">======
ID#AAAA1djjZGA
Autor    (2023-07-22 22:39:56)
Valor simulado</t>
      </text>
    </comment>
    <comment authorId="0" ref="E9">
      <text>
        <t xml:space="preserve">======
ID#AAAA1djjZGE
Autor    (2023-07-22 22:39:56)
Valor simulado</t>
      </text>
    </comment>
    <comment authorId="0" ref="F9">
      <text>
        <t xml:space="preserve">======
ID#AAAA1djjZF8
Autor    (2023-07-22 22:39:56)
Valor simulado</t>
      </text>
    </comment>
    <comment authorId="0" ref="G9">
      <text>
        <t xml:space="preserve">======
ID#AAAA1djjZF0
Autor    (2023-07-22 22:39:56)
Valor simulado</t>
      </text>
    </comment>
    <comment authorId="0" ref="F13">
      <text>
        <t xml:space="preserve">======
ID#AAAA1djjZFs
Autor    (2023-07-22 22:39:56)
Valor simulado</t>
      </text>
    </comment>
    <comment authorId="0" ref="G11">
      <text>
        <t xml:space="preserve">======
ID#AAAA1djjZF4
Autor    (2023-07-22 22:39:56)
Valor simulado</t>
      </text>
    </comment>
    <comment authorId="0" ref="E5">
      <text>
        <t xml:space="preserve">======
ID#AAAA1djjZFw
Autor    (2023-07-22 22:39:56)
Valor simulado</t>
      </text>
    </comment>
    <comment authorId="0" ref="F7">
      <text>
        <t xml:space="preserve">======
ID#AAAA1djjZFc
Autor    (2023-07-22 22:39:56)
Valor simulado</t>
      </text>
    </comment>
    <comment authorId="0" ref="G13">
      <text>
        <t xml:space="preserve">======
ID#AAAA1djjZFg
Autor    (2023-07-22 22:39:56)
Valor simulado</t>
      </text>
    </comment>
    <comment authorId="0" ref="G5">
      <text>
        <t xml:space="preserve">======
ID#AAAA1djjZFk
Autor    (2023-07-22 22:39:56)
Valor simulado</t>
      </text>
    </comment>
    <comment authorId="0" ref="E11">
      <text>
        <t xml:space="preserve">======
ID#AAAA1djjZFo
Autor    (2023-07-22 22:39:56)
Valor simulado</t>
      </text>
    </comment>
    <comment authorId="0" ref="E7">
      <text>
        <t xml:space="preserve">======
ID#AAAA1djjZFQ
Autor    (2023-07-22 22:39:56)
Valor simulado</t>
      </text>
    </comment>
    <comment authorId="0" ref="F5">
      <text>
        <t xml:space="preserve">======
ID#AAAA1djjZFU
Autor    (2023-07-22 22:39:56)
Valor simulado</t>
      </text>
    </comment>
    <comment authorId="0" ref="E15">
      <text>
        <t xml:space="preserve">======
ID#AAAA1djjZFY
Autor    (2023-07-22 22:39:56)
Valor simulado</t>
      </text>
    </comment>
  </commentList>
  <extLst>
    <ext uri="GoogleSheetsCustomDataVersion2">
      <go:sheetsCustomData xmlns:go="http://customooxmlschemas.google.com/" r:id="rId1" roundtripDataSignature="AMtx7mhmf34OjFeNQ0KkJGT3xoAByuzAsA=="/>
    </ext>
  </extLst>
</comments>
</file>

<file path=xl/sharedStrings.xml><?xml version="1.0" encoding="utf-8"?>
<sst xmlns="http://schemas.openxmlformats.org/spreadsheetml/2006/main" count="284" uniqueCount="88">
  <si>
    <t>Painel de Indicadores / Ano</t>
  </si>
  <si>
    <t>Indicador</t>
  </si>
  <si>
    <t>Status</t>
  </si>
  <si>
    <t>Resultados / Recomendações / Pontos problemáticos</t>
  </si>
  <si>
    <t>Satisfação dos Clientes</t>
  </si>
  <si>
    <t>Plan</t>
  </si>
  <si>
    <t>Real</t>
  </si>
  <si>
    <t>Reclamações de Clientes</t>
  </si>
  <si>
    <t>Capacitações Ministradas para os Colaboradores</t>
  </si>
  <si>
    <t>Acidentes com Colaboradores</t>
  </si>
  <si>
    <t>Produtividade no Trabalho</t>
  </si>
  <si>
    <t>Margem de Lucro</t>
  </si>
  <si>
    <t>Painel de Indicadores / 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</si>
  <si>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</si>
  <si>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</si>
  <si>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</si>
  <si>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</si>
  <si>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</si>
  <si>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</si>
  <si>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</si>
  <si>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</si>
  <si>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</si>
  <si>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</si>
  <si>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</si>
  <si>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</si>
  <si>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Plan.</t>
  </si>
  <si>
    <t>Real.</t>
  </si>
  <si>
    <t>Sistemas de Indicadores de Desempenho</t>
  </si>
  <si>
    <t>Nome do Indicador:</t>
  </si>
  <si>
    <t>Satisfação de clientes</t>
  </si>
  <si>
    <t>Definição:</t>
  </si>
  <si>
    <t>Mede a satisfação dos clientes a partir dos resultados de pesquisas de satisfação</t>
  </si>
  <si>
    <t>Fórmula:</t>
  </si>
  <si>
    <r>
      <rPr>
        <rFont val="Calibri"/>
        <color theme="1"/>
        <sz val="12.0"/>
      </rPr>
      <t>(</t>
    </r>
    <r>
      <rPr>
        <rFont val="Calibri"/>
        <color rgb="FFFF0000"/>
        <sz val="12.0"/>
      </rPr>
      <t xml:space="preserve">(somatório dos questionários respondidos como "Bom" e "Excelente") </t>
    </r>
    <r>
      <rPr>
        <rFont val="Calibri"/>
        <color theme="1"/>
        <sz val="12.0"/>
      </rPr>
      <t>/</t>
    </r>
    <r>
      <rPr>
        <rFont val="Calibri"/>
        <color rgb="FFFF0000"/>
        <sz val="12.0"/>
      </rPr>
      <t xml:space="preserve"> </t>
    </r>
    <r>
      <rPr>
        <rFont val="Calibri"/>
        <color rgb="FF0070C0"/>
        <sz val="12.0"/>
      </rPr>
      <t>(número total de questionários aplicados)</t>
    </r>
    <r>
      <rPr>
        <rFont val="Calibri"/>
        <color theme="1"/>
        <sz val="12.0"/>
      </rPr>
      <t>) x 100</t>
    </r>
  </si>
  <si>
    <t>Unidade:</t>
  </si>
  <si>
    <t>%</t>
  </si>
  <si>
    <t>Fonte de Dados:</t>
  </si>
  <si>
    <t>PREENCHER</t>
  </si>
  <si>
    <t>Frequência de Medição:</t>
  </si>
  <si>
    <t>Meta:</t>
  </si>
  <si>
    <t>Responsável:</t>
  </si>
  <si>
    <t>Apuração</t>
  </si>
  <si>
    <t>Empresa:</t>
  </si>
  <si>
    <t>Nome da empresa</t>
  </si>
  <si>
    <t>Ano:</t>
  </si>
  <si>
    <t>Meses</t>
  </si>
  <si>
    <t>Acum.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</si>
  <si>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</si>
  <si>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</si>
  <si>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</si>
  <si>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</si>
  <si>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</si>
  <si>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</si>
  <si>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</si>
  <si>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</si>
  <si>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</si>
  <si>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</si>
  <si>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</si>
  <si>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</si>
  <si>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(somatório dos questionários respondidos como "Bom" e "Excelente")</t>
  </si>
  <si>
    <t>(número total de questionários aplicados)</t>
  </si>
  <si>
    <r>
      <rPr>
        <rFont val="Calibri"/>
        <color theme="1"/>
        <sz val="10.0"/>
      </rPr>
      <t>(</t>
    </r>
    <r>
      <rPr>
        <rFont val="Calibri"/>
        <color rgb="FFFF0000"/>
        <sz val="10.0"/>
      </rPr>
      <t>(somatório dos questionários respondidos como "Bom" e "Excelente")</t>
    </r>
    <r>
      <rPr>
        <rFont val="Calibri"/>
        <color theme="1"/>
        <sz val="10.0"/>
      </rPr>
      <t xml:space="preserve"> /</t>
    </r>
    <r>
      <rPr>
        <rFont val="Calibri"/>
        <color rgb="FF0070C0"/>
        <sz val="10.0"/>
      </rPr>
      <t xml:space="preserve"> (número total de questionários aplicados)</t>
    </r>
    <r>
      <rPr>
        <rFont val="Calibri"/>
        <color theme="1"/>
        <sz val="10.0"/>
      </rPr>
      <t>) x 100</t>
    </r>
  </si>
  <si>
    <r>
      <rPr>
        <rFont val="Calibri"/>
        <color rgb="FFFF0000"/>
        <sz val="12.0"/>
      </rPr>
      <t>(</t>
    </r>
    <r>
      <rPr>
        <rFont val="Calibri"/>
        <color rgb="FFFF0000"/>
        <sz val="12.0"/>
      </rPr>
      <t xml:space="preserve">(nº total de reclamações) </t>
    </r>
    <r>
      <rPr>
        <rFont val="Calibri"/>
        <color rgb="FFFF0000"/>
        <sz val="12.0"/>
      </rPr>
      <t xml:space="preserve">/ </t>
    </r>
    <r>
      <rPr>
        <rFont val="Calibri"/>
        <color rgb="FF0070C0"/>
        <sz val="12.0"/>
      </rPr>
      <t>(total de entregas)</t>
    </r>
    <r>
      <rPr>
        <rFont val="Calibri"/>
        <color rgb="FFFF0000"/>
        <sz val="12.0"/>
      </rPr>
      <t>) x 100</t>
    </r>
  </si>
  <si>
    <t xml:space="preserve"> (nº total de reclamações)</t>
  </si>
  <si>
    <t>(total de entregas)</t>
  </si>
  <si>
    <r>
      <rPr>
        <rFont val="Calibri"/>
        <color theme="1"/>
        <sz val="10.0"/>
      </rPr>
      <t>(</t>
    </r>
    <r>
      <rPr>
        <rFont val="Calibri"/>
        <color rgb="FFFF0000"/>
        <sz val="10.0"/>
      </rPr>
      <t>(nº total de reclamações) /</t>
    </r>
    <r>
      <rPr>
        <rFont val="Calibri"/>
        <color rgb="FF0070C0"/>
        <sz val="10.0"/>
      </rPr>
      <t xml:space="preserve"> (total de entregas)</t>
    </r>
    <r>
      <rPr>
        <rFont val="Calibri"/>
        <color theme="1"/>
        <sz val="10.0"/>
      </rPr>
      <t>) x 100</t>
    </r>
  </si>
  <si>
    <t>Capacitações ministradas para os colaboradores</t>
  </si>
  <si>
    <t>Mede a quantidade média de horas de capacitação aplicada por colaborador</t>
  </si>
  <si>
    <r>
      <rPr>
        <rFont val="Calibri"/>
        <color rgb="FFFF0000"/>
        <sz val="12.0"/>
      </rPr>
      <t xml:space="preserve">(somatório homens-hora de treinamentos realizados) </t>
    </r>
    <r>
      <rPr>
        <rFont val="Calibri"/>
        <color theme="1"/>
        <sz val="12.0"/>
      </rPr>
      <t>/</t>
    </r>
    <r>
      <rPr>
        <rFont val="Calibri"/>
        <color rgb="FFFF0000"/>
        <sz val="12.0"/>
      </rPr>
      <t xml:space="preserve"> </t>
    </r>
    <r>
      <rPr>
        <rFont val="Calibri"/>
        <color rgb="FF0070C0"/>
        <sz val="12.0"/>
      </rPr>
      <t>(nº de colaboradores ativos)</t>
    </r>
  </si>
  <si>
    <t>Horas</t>
  </si>
  <si>
    <t>(somatório homens-hora de treinamentos realizados)</t>
  </si>
  <si>
    <t xml:space="preserve"> (nº de colaboradores ativos)</t>
  </si>
  <si>
    <r>
      <rPr>
        <rFont val="Calibri"/>
        <color rgb="FFFF0000"/>
        <sz val="10.0"/>
      </rPr>
      <t xml:space="preserve">(somatório homens-hora de treinamentos realizados) </t>
    </r>
    <r>
      <rPr>
        <rFont val="Calibri"/>
        <color theme="1"/>
        <sz val="10.0"/>
      </rPr>
      <t>/</t>
    </r>
    <r>
      <rPr>
        <rFont val="Calibri"/>
        <color rgb="FFFF0000"/>
        <sz val="10.0"/>
      </rPr>
      <t xml:space="preserve"> </t>
    </r>
    <r>
      <rPr>
        <rFont val="Calibri"/>
        <color rgb="FF0070C0"/>
        <sz val="10.0"/>
      </rPr>
      <t>(nº de colaboradores ativos)</t>
    </r>
  </si>
  <si>
    <t>Corresponde à quantidade média de acidentes (com afastamento) por colaborador</t>
  </si>
  <si>
    <r>
      <rPr>
        <rFont val="Calibri"/>
        <color rgb="FFFF0000"/>
        <sz val="12.0"/>
      </rPr>
      <t xml:space="preserve">(nº total de acidentes (com afastamento)) </t>
    </r>
    <r>
      <rPr>
        <rFont val="Calibri"/>
        <color theme="1"/>
        <sz val="12.0"/>
      </rPr>
      <t xml:space="preserve">/ </t>
    </r>
    <r>
      <rPr>
        <rFont val="Calibri"/>
        <color rgb="FF0070C0"/>
        <sz val="12.0"/>
      </rPr>
      <t>(nº de colaboradores ativos)</t>
    </r>
  </si>
  <si>
    <t>Acidentes</t>
  </si>
  <si>
    <t>(nº total de acidentes (com afastamento))</t>
  </si>
  <si>
    <t>(nº de colaboradores ativos)</t>
  </si>
  <si>
    <r>
      <rPr>
        <rFont val="Calibri"/>
        <color rgb="FFFF0000"/>
        <sz val="10.0"/>
      </rPr>
      <t xml:space="preserve">(nº total de acidentes (com afastamento)) </t>
    </r>
    <r>
      <rPr>
        <rFont val="Calibri"/>
        <color theme="1"/>
        <sz val="10.0"/>
      </rPr>
      <t>/</t>
    </r>
    <r>
      <rPr>
        <rFont val="Calibri"/>
        <color rgb="FF0070C0"/>
        <sz val="10.0"/>
      </rPr>
      <t xml:space="preserve"> (nº de colaboradores ativos)</t>
    </r>
  </si>
  <si>
    <t>Corresponde à receita média gerada por colaborador da empresa</t>
  </si>
  <si>
    <r>
      <rPr>
        <rFont val="Calibri"/>
        <color rgb="FFFF0000"/>
        <sz val="12.0"/>
      </rPr>
      <t xml:space="preserve">(Receita) </t>
    </r>
    <r>
      <rPr>
        <rFont val="Calibri"/>
        <color theme="1"/>
        <sz val="12.0"/>
      </rPr>
      <t xml:space="preserve">/ </t>
    </r>
    <r>
      <rPr>
        <rFont val="Calibri"/>
        <color rgb="FF0070C0"/>
        <sz val="12.0"/>
      </rPr>
      <t>(nº de colaboradores ativos)</t>
    </r>
  </si>
  <si>
    <t>R$</t>
  </si>
  <si>
    <t>(Receita)</t>
  </si>
  <si>
    <r>
      <rPr>
        <rFont val="Calibri"/>
        <color rgb="FFFF0000"/>
        <sz val="10.0"/>
      </rPr>
      <t>(Receita)</t>
    </r>
    <r>
      <rPr>
        <rFont val="Calibri"/>
        <color theme="1"/>
        <sz val="10.0"/>
      </rPr>
      <t xml:space="preserve"> /</t>
    </r>
    <r>
      <rPr>
        <rFont val="Calibri"/>
        <color rgb="FF0070C0"/>
        <sz val="10.0"/>
      </rPr>
      <t xml:space="preserve"> (nº de colaboradores ativos)</t>
    </r>
  </si>
  <si>
    <t>Corresponde ao lucro aferido na operação após descontar os Custos e Despesas do negócio, da Receita Bruta apurada</t>
  </si>
  <si>
    <r>
      <rPr>
        <rFont val="Calibri"/>
        <color theme="1"/>
        <sz val="12.0"/>
      </rPr>
      <t>(</t>
    </r>
    <r>
      <rPr>
        <rFont val="Calibri"/>
        <color rgb="FFFF0000"/>
        <sz val="12.0"/>
      </rPr>
      <t>(Receita) - (Custos + Despesas)</t>
    </r>
    <r>
      <rPr>
        <rFont val="Calibri"/>
        <color theme="1"/>
        <sz val="12.0"/>
      </rPr>
      <t xml:space="preserve"> / </t>
    </r>
    <r>
      <rPr>
        <rFont val="Calibri"/>
        <color rgb="FF0070C0"/>
        <sz val="12.0"/>
      </rPr>
      <t>(Receita)</t>
    </r>
    <r>
      <rPr>
        <rFont val="Calibri"/>
        <color theme="1"/>
        <sz val="12.0"/>
      </rPr>
      <t>) x 100</t>
    </r>
  </si>
  <si>
    <t>(Receita) - (Custos + Despesas)</t>
  </si>
  <si>
    <r>
      <rPr>
        <rFont val="Calibri"/>
        <color theme="1"/>
        <sz val="10.0"/>
      </rPr>
      <t>(</t>
    </r>
    <r>
      <rPr>
        <rFont val="Calibri"/>
        <color rgb="FFFF0000"/>
        <sz val="10.0"/>
      </rPr>
      <t>(Receita) - (Custos + Despesas)</t>
    </r>
    <r>
      <rPr>
        <rFont val="Calibri"/>
        <color theme="1"/>
        <sz val="10.0"/>
      </rPr>
      <t xml:space="preserve"> / </t>
    </r>
    <r>
      <rPr>
        <rFont val="Calibri"/>
        <color rgb="FF0070C0"/>
        <sz val="10.0"/>
      </rPr>
      <t>(Receita)</t>
    </r>
    <r>
      <rPr>
        <rFont val="Calibri"/>
        <color theme="1"/>
        <sz val="10.0"/>
      </rPr>
      <t>) x 100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</si>
</sst>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.00_-;\-* #,##0.00_-;_-* &quot;-&quot;??_-;_-@"/>
    <numFmt numFmtId="165" formatCode="_-* #,##0_-;\-* #,##0_-;_-* &quot;-&quot;??_-;_-@"/>
    <numFmt numFmtId="166" formatCode="00000"/>
  </numFmts>
  <fonts count="17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FF0000"/>
      <name val="Calibri"/>
    </font>
    <font>
      <b/>
      <sz val="18.0"/>
      <color theme="0"/>
      <name val="Calibri"/>
    </font>
    <font/>
    <font>
      <sz val="14.0"/>
      <color theme="1"/>
      <name val="Calibri"/>
    </font>
    <font>
      <b/>
      <u/>
      <sz val="14.0"/>
      <color theme="10"/>
      <name val="Calibri"/>
    </font>
    <font>
      <sz val="14.0"/>
      <color rgb="FFFF0000"/>
      <name val="Calibri"/>
    </font>
    <font>
      <sz val="14.0"/>
      <color theme="1"/>
      <name val="Arial"/>
    </font>
    <font>
      <b/>
      <sz val="14.0"/>
      <color theme="0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sz val="12.0"/>
      <color theme="0"/>
      <name val="Calibri"/>
    </font>
    <font>
      <sz val="10.0"/>
      <color theme="1"/>
      <name val="Calibri"/>
    </font>
    <font>
      <sz val="10.0"/>
      <color rgb="FFFF0000"/>
      <name val="Calibri"/>
    </font>
    <font>
      <sz val="10.0"/>
      <color rgb="FF0070C0"/>
      <name val="Calibri"/>
    </font>
    <font>
      <sz val="12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C4BD97"/>
        <bgColor rgb="FFC4BD97"/>
      </patternFill>
    </fill>
    <fill>
      <patternFill patternType="solid">
        <fgColor rgb="FFFFFF99"/>
        <bgColor rgb="FFFFFF99"/>
      </patternFill>
    </fill>
    <fill>
      <patternFill patternType="solid">
        <fgColor rgb="FF205867"/>
        <bgColor rgb="FF205867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48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A5A5A5"/>
      </left>
      <top/>
      <bottom style="thin">
        <color rgb="FFA5A5A5"/>
      </bottom>
    </border>
    <border>
      <right style="thin">
        <color rgb="FFA5A5A5"/>
      </right>
      <top/>
      <bottom style="thin">
        <color rgb="FFA5A5A5"/>
      </bottom>
    </border>
    <border>
      <left style="thin">
        <color rgb="FFA5A5A5"/>
      </left>
      <right/>
      <top/>
      <bottom/>
    </border>
    <border>
      <left style="thin">
        <color rgb="FFA5A5A5"/>
      </left>
      <top/>
      <bottom/>
    </border>
    <border>
      <top/>
      <bottom/>
    </border>
    <border>
      <right style="thin">
        <color rgb="FFA5A5A5"/>
      </right>
      <top/>
      <bottom/>
    </border>
    <border>
      <left style="thin">
        <color rgb="FFA5A5A5"/>
      </left>
      <top style="thin">
        <color rgb="FFA5A5A5"/>
      </top>
    </border>
    <border>
      <right style="thin">
        <color rgb="FFA5A5A5"/>
      </right>
      <top style="thin">
        <color rgb="FFA5A5A5"/>
      </top>
    </border>
    <border>
      <left style="thin">
        <color rgb="FFA5A5A5"/>
      </left>
      <right style="thin">
        <color rgb="FFA5A5A5"/>
      </right>
      <bottom style="thin">
        <color rgb="FFA5A5A5"/>
      </bottom>
    </border>
    <border>
      <left style="thin">
        <color rgb="FFA5A5A5"/>
      </left>
    </border>
    <border>
      <right style="thin">
        <color rgb="FFA5A5A5"/>
      </right>
    </border>
    <border>
      <left style="thin">
        <color rgb="FFA5A5A5"/>
      </left>
      <bottom style="thin">
        <color rgb="FFA5A5A5"/>
      </bottom>
    </border>
    <border>
      <right style="thin">
        <color rgb="FFA5A5A5"/>
      </right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bottom style="thin">
        <color rgb="FFA5A5A5"/>
      </bottom>
    </border>
    <border>
      <left style="thin">
        <color rgb="FFA5A5A5"/>
      </left>
      <right style="thin">
        <color rgb="FFA5A5A5"/>
      </right>
      <top/>
      <bottom/>
    </border>
    <border>
      <left style="thin">
        <color rgb="FFA5A5A5"/>
      </left>
      <right style="thin">
        <color rgb="FFA5A5A5"/>
      </right>
      <top/>
      <bottom style="thin">
        <color rgb="FFA5A5A5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2" fontId="1" numFmtId="0" xfId="0" applyBorder="1" applyFont="1"/>
    <xf borderId="2" fillId="3" fontId="3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4" fontId="5" numFmtId="0" xfId="0" applyAlignment="1" applyBorder="1" applyFill="1" applyFont="1">
      <alignment horizontal="center" shrinkToFit="0" vertical="center" wrapText="1"/>
    </xf>
    <xf borderId="6" fillId="0" fontId="4" numFmtId="0" xfId="0" applyBorder="1" applyFont="1"/>
    <xf borderId="7" fillId="4" fontId="5" numFmtId="0" xfId="0" applyAlignment="1" applyBorder="1" applyFont="1">
      <alignment horizontal="center" vertical="center"/>
    </xf>
    <xf borderId="7" fillId="4" fontId="5" numFmtId="0" xfId="0" applyAlignment="1" applyBorder="1" applyFont="1">
      <alignment horizontal="center" readingOrder="0" vertical="center"/>
    </xf>
    <xf borderId="8" fillId="4" fontId="5" numFmtId="0" xfId="0" applyAlignment="1" applyBorder="1" applyFont="1">
      <alignment horizontal="center" shrinkToFit="0" vertical="center" wrapText="1"/>
    </xf>
    <xf borderId="9" fillId="0" fontId="4" numFmtId="0" xfId="0" applyBorder="1" applyFont="1"/>
    <xf borderId="10" fillId="0" fontId="4" numFmtId="0" xfId="0" applyBorder="1" applyFont="1"/>
    <xf borderId="11" fillId="5" fontId="6" numFmtId="0" xfId="0" applyAlignment="1" applyBorder="1" applyFill="1" applyFont="1">
      <alignment shrinkToFit="0" vertical="center" wrapText="1"/>
    </xf>
    <xf borderId="12" fillId="0" fontId="4" numFmtId="0" xfId="0" applyBorder="1" applyFont="1"/>
    <xf borderId="13" fillId="0" fontId="5" numFmtId="0" xfId="0" applyAlignment="1" applyBorder="1" applyFont="1">
      <alignment horizontal="center" vertical="center"/>
    </xf>
    <xf borderId="13" fillId="0" fontId="5" numFmtId="9" xfId="0" applyAlignment="1" applyBorder="1" applyFont="1" applyNumberFormat="1">
      <alignment horizontal="center" vertical="center"/>
    </xf>
    <xf borderId="14" fillId="0" fontId="5" numFmtId="0" xfId="0" applyAlignment="1" applyBorder="1" applyFont="1">
      <alignment horizontal="center" shrinkToFit="0" vertical="center" wrapText="1"/>
    </xf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0" fontId="5" numFmtId="0" xfId="0" applyAlignment="1" applyBorder="1" applyFont="1">
      <alignment horizontal="center" vertical="center"/>
    </xf>
    <xf borderId="18" fillId="0" fontId="7" numFmtId="9" xfId="0" applyAlignment="1" applyBorder="1" applyFont="1" applyNumberFormat="1">
      <alignment horizontal="center" vertical="center"/>
    </xf>
    <xf borderId="18" fillId="0" fontId="5" numFmtId="9" xfId="0" applyAlignment="1" applyBorder="1" applyFont="1" applyNumberFormat="1">
      <alignment horizontal="center" vertical="center"/>
    </xf>
    <xf borderId="19" fillId="0" fontId="4" numFmtId="0" xfId="0" applyBorder="1" applyFont="1"/>
    <xf borderId="13" fillId="0" fontId="5" numFmtId="164" xfId="0" applyAlignment="1" applyBorder="1" applyFont="1" applyNumberFormat="1">
      <alignment horizontal="center" vertical="center"/>
    </xf>
    <xf borderId="18" fillId="0" fontId="7" numFmtId="0" xfId="0" applyAlignment="1" applyBorder="1" applyFont="1">
      <alignment horizontal="center" vertical="center"/>
    </xf>
    <xf borderId="18" fillId="0" fontId="5" numFmtId="164" xfId="0" applyAlignment="1" applyBorder="1" applyFont="1" applyNumberFormat="1">
      <alignment horizontal="center" vertical="center"/>
    </xf>
    <xf borderId="18" fillId="0" fontId="7" numFmtId="164" xfId="0" applyAlignment="1" applyBorder="1" applyFont="1" applyNumberFormat="1">
      <alignment horizontal="center" vertical="center"/>
    </xf>
    <xf borderId="13" fillId="0" fontId="5" numFmtId="165" xfId="0" applyAlignment="1" applyBorder="1" applyFont="1" applyNumberFormat="1">
      <alignment horizontal="center" vertical="center"/>
    </xf>
    <xf borderId="18" fillId="0" fontId="7" numFmtId="165" xfId="0" applyAlignment="1" applyBorder="1" applyFont="1" applyNumberFormat="1">
      <alignment horizontal="center" vertical="center"/>
    </xf>
    <xf borderId="18" fillId="0" fontId="5" numFmtId="165" xfId="0" applyAlignment="1" applyBorder="1" applyFont="1" applyNumberFormat="1">
      <alignment horizontal="center" vertical="center"/>
    </xf>
    <xf borderId="0" fillId="0" fontId="8" numFmtId="166" xfId="0" applyAlignment="1" applyFont="1" applyNumberFormat="1">
      <alignment shrinkToFit="0" vertical="center" wrapText="1"/>
    </xf>
    <xf borderId="20" fillId="4" fontId="5" numFmtId="49" xfId="0" applyAlignment="1" applyBorder="1" applyFont="1" applyNumberFormat="1">
      <alignment horizontal="center" vertical="center"/>
    </xf>
    <xf borderId="21" fillId="4" fontId="5" numFmtId="0" xfId="0" applyAlignment="1" applyBorder="1" applyFont="1">
      <alignment horizontal="center" vertical="center"/>
    </xf>
    <xf borderId="2" fillId="6" fontId="9" numFmtId="0" xfId="0" applyAlignment="1" applyBorder="1" applyFill="1" applyFont="1">
      <alignment horizontal="center" vertical="center"/>
    </xf>
    <xf borderId="22" fillId="7" fontId="10" numFmtId="0" xfId="0" applyAlignment="1" applyBorder="1" applyFill="1" applyFont="1">
      <alignment horizontal="left" vertical="center"/>
    </xf>
    <xf borderId="23" fillId="8" fontId="11" numFmtId="0" xfId="0" applyAlignment="1" applyBorder="1" applyFill="1" applyFont="1">
      <alignment horizontal="center" shrinkToFit="0" vertical="center" wrapText="1"/>
    </xf>
    <xf borderId="24" fillId="0" fontId="4" numFmtId="0" xfId="0" applyBorder="1" applyFont="1"/>
    <xf borderId="25" fillId="0" fontId="4" numFmtId="0" xfId="0" applyBorder="1" applyFont="1"/>
    <xf borderId="26" fillId="7" fontId="10" numFmtId="0" xfId="0" applyAlignment="1" applyBorder="1" applyFont="1">
      <alignment horizontal="left" vertical="center"/>
    </xf>
    <xf borderId="27" fillId="0" fontId="11" numFmtId="0" xfId="0" applyAlignment="1" applyBorder="1" applyFont="1">
      <alignment horizontal="center" shrinkToFit="0" vertical="center" wrapText="1"/>
    </xf>
    <xf borderId="28" fillId="0" fontId="4" numFmtId="0" xfId="0" applyBorder="1" applyFont="1"/>
    <xf borderId="29" fillId="0" fontId="4" numFmtId="0" xfId="0" applyBorder="1" applyFont="1"/>
    <xf borderId="27" fillId="0" fontId="11" numFmtId="0" xfId="0" applyAlignment="1" applyBorder="1" applyFont="1">
      <alignment horizontal="center" vertical="center"/>
    </xf>
    <xf borderId="27" fillId="0" fontId="10" numFmtId="0" xfId="0" applyAlignment="1" applyBorder="1" applyFont="1">
      <alignment horizontal="center" vertical="center"/>
    </xf>
    <xf borderId="30" fillId="7" fontId="10" numFmtId="0" xfId="0" applyAlignment="1" applyBorder="1" applyFont="1">
      <alignment horizontal="left" vertical="center"/>
    </xf>
    <xf borderId="31" fillId="0" fontId="10" numFmtId="0" xfId="0" applyAlignment="1" applyBorder="1" applyFont="1">
      <alignment horizontal="center" vertical="center"/>
    </xf>
    <xf borderId="32" fillId="0" fontId="4" numFmtId="0" xfId="0" applyBorder="1" applyFont="1"/>
    <xf borderId="33" fillId="0" fontId="4" numFmtId="0" xfId="0" applyBorder="1" applyFont="1"/>
    <xf borderId="0" fillId="0" fontId="1" numFmtId="0" xfId="0" applyAlignment="1" applyFont="1">
      <alignment horizontal="center"/>
    </xf>
    <xf borderId="2" fillId="6" fontId="12" numFmtId="0" xfId="0" applyAlignment="1" applyBorder="1" applyFont="1">
      <alignment horizontal="center" vertical="center"/>
    </xf>
    <xf borderId="34" fillId="7" fontId="10" numFmtId="0" xfId="0" applyAlignment="1" applyBorder="1" applyFont="1">
      <alignment horizontal="center" vertical="center"/>
    </xf>
    <xf borderId="35" fillId="0" fontId="10" numFmtId="0" xfId="0" applyAlignment="1" applyBorder="1" applyFont="1">
      <alignment horizontal="center" vertical="center"/>
    </xf>
    <xf borderId="36" fillId="0" fontId="4" numFmtId="0" xfId="0" applyBorder="1" applyFont="1"/>
    <xf borderId="37" fillId="7" fontId="10" numFmtId="0" xfId="0" applyAlignment="1" applyBorder="1" applyFont="1">
      <alignment horizontal="center" vertical="center"/>
    </xf>
    <xf borderId="26" fillId="4" fontId="13" numFmtId="0" xfId="0" applyAlignment="1" applyBorder="1" applyFont="1">
      <alignment horizontal="center" shrinkToFit="0" vertical="center" wrapText="1"/>
    </xf>
    <xf borderId="38" fillId="4" fontId="13" numFmtId="0" xfId="0" applyAlignment="1" applyBorder="1" applyFont="1">
      <alignment horizontal="center" shrinkToFit="0" vertical="center" wrapText="1"/>
    </xf>
    <xf borderId="39" fillId="4" fontId="13" numFmtId="0" xfId="0" applyAlignment="1" applyBorder="1" applyFont="1">
      <alignment horizontal="center" shrinkToFit="0" vertical="center" wrapText="1"/>
    </xf>
    <xf borderId="40" fillId="4" fontId="13" numFmtId="0" xfId="0" applyAlignment="1" applyBorder="1" applyFont="1">
      <alignment horizontal="center" shrinkToFit="0" vertical="center" wrapText="1"/>
    </xf>
    <xf borderId="26" fillId="7" fontId="14" numFmtId="0" xfId="0" applyAlignment="1" applyBorder="1" applyFont="1">
      <alignment horizontal="center" shrinkToFit="0" vertical="center" wrapText="1"/>
    </xf>
    <xf borderId="41" fillId="7" fontId="13" numFmtId="165" xfId="0" applyAlignment="1" applyBorder="1" applyFont="1" applyNumberFormat="1">
      <alignment horizontal="center" vertical="center"/>
    </xf>
    <xf borderId="42" fillId="0" fontId="13" numFmtId="165" xfId="0" applyAlignment="1" applyBorder="1" applyFont="1" applyNumberFormat="1">
      <alignment vertical="center"/>
    </xf>
    <xf borderId="43" fillId="0" fontId="13" numFmtId="165" xfId="0" applyAlignment="1" applyBorder="1" applyFont="1" applyNumberFormat="1">
      <alignment vertical="center"/>
    </xf>
    <xf borderId="26" fillId="7" fontId="15" numFmtId="0" xfId="0" applyAlignment="1" applyBorder="1" applyFont="1">
      <alignment horizontal="center" vertical="center"/>
    </xf>
    <xf borderId="42" fillId="0" fontId="13" numFmtId="165" xfId="0" applyAlignment="1" applyBorder="1" applyFont="1" applyNumberFormat="1">
      <alignment horizontal="center" vertical="center"/>
    </xf>
    <xf borderId="43" fillId="0" fontId="13" numFmtId="165" xfId="0" applyAlignment="1" applyBorder="1" applyFont="1" applyNumberFormat="1">
      <alignment horizontal="center" vertical="center"/>
    </xf>
    <xf borderId="30" fillId="7" fontId="13" numFmtId="0" xfId="0" applyAlignment="1" applyBorder="1" applyFont="1">
      <alignment horizontal="center" shrinkToFit="0" vertical="center" wrapText="1"/>
    </xf>
    <xf borderId="44" fillId="7" fontId="13" numFmtId="9" xfId="0" applyAlignment="1" applyBorder="1" applyFont="1" applyNumberFormat="1">
      <alignment horizontal="center" shrinkToFit="0" vertical="center" wrapText="1"/>
    </xf>
    <xf borderId="45" fillId="7" fontId="13" numFmtId="9" xfId="0" applyAlignment="1" applyBorder="1" applyFont="1" applyNumberFormat="1">
      <alignment horizontal="center" vertical="center"/>
    </xf>
    <xf borderId="46" fillId="7" fontId="13" numFmtId="9" xfId="0" applyAlignment="1" applyBorder="1" applyFont="1" applyNumberFormat="1">
      <alignment horizontal="center" vertical="center"/>
    </xf>
    <xf borderId="27" fillId="0" fontId="16" numFmtId="0" xfId="0" applyAlignment="1" applyBorder="1" applyFont="1">
      <alignment horizontal="center" shrinkToFit="0" vertical="center" wrapText="1"/>
    </xf>
    <xf borderId="47" fillId="0" fontId="13" numFmtId="165" xfId="0" applyAlignment="1" applyBorder="1" applyFont="1" applyNumberFormat="1">
      <alignment vertical="center"/>
    </xf>
    <xf borderId="47" fillId="0" fontId="13" numFmtId="165" xfId="0" applyAlignment="1" applyBorder="1" applyFont="1" applyNumberFormat="1">
      <alignment horizontal="center" vertical="center"/>
    </xf>
    <xf borderId="44" fillId="7" fontId="13" numFmtId="165" xfId="0" applyAlignment="1" applyBorder="1" applyFont="1" applyNumberFormat="1">
      <alignment horizontal="center" shrinkToFit="0" vertical="center" wrapText="1"/>
    </xf>
    <xf borderId="45" fillId="7" fontId="13" numFmtId="165" xfId="0" applyAlignment="1" applyBorder="1" applyFont="1" applyNumberFormat="1">
      <alignment horizontal="center" vertical="center"/>
    </xf>
    <xf borderId="46" fillId="7" fontId="13" numFmtId="165" xfId="0" applyAlignment="1" applyBorder="1" applyFont="1" applyNumberFormat="1">
      <alignment horizontal="center" vertical="center"/>
    </xf>
    <xf borderId="23" fillId="8" fontId="11" numFmtId="0" xfId="0" applyAlignment="1" applyBorder="1" applyFont="1">
      <alignment horizontal="center" vertical="center"/>
    </xf>
    <xf borderId="42" fillId="0" fontId="13" numFmtId="165" xfId="0" applyBorder="1" applyFont="1" applyNumberFormat="1"/>
    <xf borderId="43" fillId="0" fontId="13" numFmtId="165" xfId="0" applyBorder="1" applyFont="1" applyNumberFormat="1"/>
    <xf borderId="47" fillId="0" fontId="13" numFmtId="165" xfId="0" applyBorder="1" applyFont="1" applyNumberFormat="1"/>
    <xf borderId="41" fillId="7" fontId="13" numFmtId="164" xfId="0" applyAlignment="1" applyBorder="1" applyFont="1" applyNumberFormat="1">
      <alignment horizontal="center" vertical="center"/>
    </xf>
    <xf borderId="44" fillId="7" fontId="13" numFmtId="164" xfId="0" applyAlignment="1" applyBorder="1" applyFont="1" applyNumberFormat="1">
      <alignment horizontal="center" shrinkToFit="0" vertical="center" wrapText="1"/>
    </xf>
    <xf borderId="45" fillId="7" fontId="13" numFmtId="164" xfId="0" applyAlignment="1" applyBorder="1" applyFont="1" applyNumberFormat="1">
      <alignment horizontal="center" vertical="center"/>
    </xf>
    <xf borderId="46" fillId="7" fontId="13" numFmtId="164" xfId="0" applyAlignment="1" applyBorder="1" applyFont="1" applyNumberFormat="1">
      <alignment horizontal="center" vertical="center"/>
    </xf>
    <xf borderId="26" fillId="7" fontId="14" numFmtId="0" xfId="0" applyAlignment="1" applyBorder="1" applyFont="1">
      <alignment horizontal="center" vertical="center"/>
    </xf>
    <xf borderId="42" fillId="0" fontId="13" numFmtId="164" xfId="0" applyAlignment="1" applyBorder="1" applyFont="1" applyNumberFormat="1">
      <alignment vertical="center"/>
    </xf>
    <xf borderId="43" fillId="0" fontId="13" numFmtId="164" xfId="0" applyAlignment="1" applyBorder="1" applyFont="1" applyNumberFormat="1">
      <alignment vertical="center"/>
    </xf>
    <xf borderId="47" fillId="0" fontId="13" numFmtId="164" xfId="0" applyAlignment="1" applyBorder="1" applyFont="1" applyNumberFormat="1">
      <alignment vertical="center"/>
    </xf>
    <xf borderId="0" fillId="0" fontId="1" numFmtId="164" xfId="0" applyFont="1" applyNumberFormat="1"/>
    <xf borderId="42" fillId="0" fontId="13" numFmtId="164" xfId="0" applyBorder="1" applyFont="1" applyNumberFormat="1"/>
    <xf borderId="43" fillId="0" fontId="13" numFmtId="164" xfId="0" applyBorder="1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>
        <b/>
        <color theme="0"/>
      </font>
      <fill>
        <patternFill patternType="solid">
          <fgColor rgb="FFFF0000"/>
          <bgColor rgb="FFFF0000"/>
        </patternFill>
      </fill>
      <border/>
    </dxf>
    <dxf>
      <font>
        <b/>
        <color theme="0"/>
      </font>
      <fill>
        <patternFill patternType="solid">
          <fgColor rgb="FF008000"/>
          <bgColor rgb="FF0080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330781801225762"/>
          <c:y val="0.043054141674098455"/>
          <c:w val="0.8202925587284928"/>
          <c:h val="0.7660036909555781"/>
        </c:manualLayout>
      </c:layout>
      <c:barChart>
        <c:barDir val="col"/>
        <c:ser>
          <c:idx val="0"/>
          <c:order val="0"/>
          <c:tx>
            <c:v>Avaliações Aplicadas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70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'Satisf. dos Clientes'!$B$13:$N$13</c:f>
            </c:strRef>
          </c:cat>
          <c:val>
            <c:numRef>
              <c:f>'Satisf. dos Clientes'!$B$15:$N$15</c:f>
              <c:numCache/>
            </c:numRef>
          </c:val>
        </c:ser>
        <c:ser>
          <c:idx val="1"/>
          <c:order val="1"/>
          <c:tx>
            <c:v>Avaliações 'Bom' e 'Ótimo'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70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'Satisf. dos Clientes'!$B$13:$N$13</c:f>
            </c:strRef>
          </c:cat>
          <c:val>
            <c:numRef>
              <c:f>'Satisf. dos Clientes'!$B$14:$N$14</c:f>
              <c:numCache/>
            </c:numRef>
          </c:val>
        </c:ser>
        <c:axId val="308888678"/>
        <c:axId val="123038558"/>
      </c:barChart>
      <c:lineChart>
        <c:varyColors val="0"/>
        <c:ser>
          <c:idx val="2"/>
          <c:order val="2"/>
          <c:tx>
            <c:v>Resultado Mensal</c:v>
          </c:tx>
          <c:spPr>
            <a:ln cmpd="sng" w="19050">
              <a:solidFill>
                <a:srgbClr val="9BBB59"/>
              </a:solidFill>
            </a:ln>
          </c:spPr>
          <c:marker>
            <c:symbol val="circle"/>
            <c:size val="3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'Satisf. dos Clientes'!$B$13:$N$13</c:f>
            </c:strRef>
          </c:cat>
          <c:val>
            <c:numRef>
              <c:f>'Satisf. dos Clientes'!$B$16:$N$16</c:f>
              <c:numCache/>
            </c:numRef>
          </c:val>
          <c:smooth val="0"/>
        </c:ser>
        <c:axId val="308888678"/>
        <c:axId val="123038558"/>
      </c:lineChart>
      <c:catAx>
        <c:axId val="3088886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038558"/>
      </c:catAx>
      <c:valAx>
        <c:axId val="1230385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8888678"/>
      </c:valAx>
    </c:plotArea>
    <c:legend>
      <c:legendPos val="r"/>
      <c:layout>
        <c:manualLayout>
          <c:xMode val="edge"/>
          <c:yMode val="edge"/>
          <c:x val="0.11584608504017052"/>
          <c:y val="0.9129905302356706"/>
        </c:manualLayout>
      </c:layout>
      <c:overlay val="0"/>
      <c:txPr>
        <a:bodyPr/>
        <a:lstStyle/>
        <a:p>
          <a:pPr lvl="0">
            <a:defRPr b="1" i="0" sz="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328744878113258"/>
          <c:y val="0.045339546585240996"/>
          <c:w val="0.8134843935874922"/>
          <c:h val="0.7557438924316829"/>
        </c:manualLayout>
      </c:layout>
      <c:barChart>
        <c:barDir val="col"/>
        <c:ser>
          <c:idx val="0"/>
          <c:order val="0"/>
          <c:tx>
            <c:v>Total de Entregas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7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'Reclamações de Clientes'!$B$13:$N$13</c:f>
            </c:strRef>
          </c:cat>
          <c:val>
            <c:numRef>
              <c:f>'Reclamações de Clientes'!$B$15:$N$15</c:f>
              <c:numCache/>
            </c:numRef>
          </c:val>
        </c:ser>
        <c:ser>
          <c:idx val="1"/>
          <c:order val="1"/>
          <c:tx>
            <c:v>Reclamações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7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'Reclamações de Clientes'!$B$13:$N$13</c:f>
            </c:strRef>
          </c:cat>
          <c:val>
            <c:numRef>
              <c:f>'Reclamações de Clientes'!$B$14:$N$14</c:f>
              <c:numCache/>
            </c:numRef>
          </c:val>
        </c:ser>
        <c:axId val="1252354670"/>
        <c:axId val="216423331"/>
      </c:barChart>
      <c:lineChart>
        <c:varyColors val="0"/>
        <c:ser>
          <c:idx val="2"/>
          <c:order val="2"/>
          <c:tx>
            <c:v>Resultado Mensal</c:v>
          </c:tx>
          <c:spPr>
            <a:ln cmpd="sng" w="19050">
              <a:solidFill>
                <a:srgbClr val="9BBB59"/>
              </a:solidFill>
            </a:ln>
          </c:spPr>
          <c:marker>
            <c:symbol val="circle"/>
            <c:size val="2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7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'Reclamações de Clientes'!$B$13:$N$13</c:f>
            </c:strRef>
          </c:cat>
          <c:val>
            <c:numRef>
              <c:f>'Reclamações de Clientes'!$B$16:$N$16</c:f>
              <c:numCache/>
            </c:numRef>
          </c:val>
          <c:smooth val="0"/>
        </c:ser>
        <c:axId val="1252354670"/>
        <c:axId val="216423331"/>
      </c:lineChart>
      <c:catAx>
        <c:axId val="12523546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6423331"/>
      </c:catAx>
      <c:valAx>
        <c:axId val="2164233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2354670"/>
      </c:valAx>
    </c:plotArea>
    <c:legend>
      <c:legendPos val="r"/>
      <c:layout>
        <c:manualLayout>
          <c:xMode val="edge"/>
          <c:yMode val="edge"/>
          <c:x val="0.19175012761958973"/>
          <c:y val="0.9119473477063017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454396325459318"/>
          <c:y val="0.05140055409740449"/>
          <c:w val="0.8670242782152231"/>
          <c:h val="0.7357243777559059"/>
        </c:manualLayout>
      </c:layout>
      <c:barChart>
        <c:barDir val="col"/>
        <c:ser>
          <c:idx val="0"/>
          <c:order val="0"/>
          <c:tx>
            <c:v>Horas de treinamento por colaborador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'Capac. Ministradas p. Colabor.'!$B$13:$N$13</c:f>
            </c:strRef>
          </c:cat>
          <c:val>
            <c:numRef>
              <c:f>'Capac. Ministradas p. Colabor.'!$B$16:$N$16</c:f>
              <c:numCache/>
            </c:numRef>
          </c:val>
        </c:ser>
        <c:axId val="580289660"/>
        <c:axId val="1310675915"/>
      </c:barChart>
      <c:lineChart>
        <c:varyColors val="0"/>
        <c:ser>
          <c:idx val="1"/>
          <c:order val="1"/>
          <c:tx>
            <c:v>Acumulado Homem-Hora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'Capac. Ministradas p. Colabor.'!$B$13:$N$13</c:f>
            </c:strRef>
          </c:cat>
          <c:val>
            <c:numRef>
              <c:f>'Capac. Ministradas p. Colabor.'!$B$16</c:f>
              <c:numCache/>
            </c:numRef>
          </c:val>
          <c:smooth val="0"/>
        </c:ser>
        <c:axId val="580289660"/>
        <c:axId val="1310675915"/>
      </c:lineChart>
      <c:catAx>
        <c:axId val="5802896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0675915"/>
      </c:catAx>
      <c:valAx>
        <c:axId val="13106759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0289660"/>
      </c:valAx>
    </c:plotArea>
    <c:legend>
      <c:legendPos val="r"/>
      <c:layout>
        <c:manualLayout>
          <c:xMode val="edge"/>
          <c:yMode val="edge"/>
          <c:x val="0.19268126493165014"/>
          <c:y val="0.8880678962133387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555796150481189"/>
          <c:y val="0.05140055409740449"/>
          <c:w val="0.8944420384951881"/>
          <c:h val="0.7234525371828522"/>
        </c:manualLayout>
      </c:layout>
      <c:barChart>
        <c:barDir val="col"/>
        <c:ser>
          <c:idx val="0"/>
          <c:order val="0"/>
          <c:tx>
            <c:v>Qtde de Colaboradores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7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'Acid. com Colaboradores'!$B$13:$N$13</c:f>
            </c:strRef>
          </c:cat>
          <c:val>
            <c:numRef>
              <c:f>'Acid. com Colaboradores'!$B$15:$N$15</c:f>
              <c:numCache/>
            </c:numRef>
          </c:val>
        </c:ser>
        <c:ser>
          <c:idx val="1"/>
          <c:order val="1"/>
          <c:tx>
            <c:v>Acidentes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7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'Acid. com Colaboradores'!$B$13:$N$13</c:f>
            </c:strRef>
          </c:cat>
          <c:val>
            <c:numRef>
              <c:f>'Acid. com Colaboradores'!$B$14:$N$14</c:f>
              <c:numCache/>
            </c:numRef>
          </c:val>
        </c:ser>
        <c:axId val="689128393"/>
        <c:axId val="1995876314"/>
      </c:barChart>
      <c:lineChart>
        <c:varyColors val="0"/>
        <c:ser>
          <c:idx val="2"/>
          <c:order val="2"/>
          <c:tx>
            <c:v>Resultado Mensal</c:v>
          </c:tx>
          <c:spPr>
            <a:ln cmpd="sng">
              <a:solidFill>
                <a:srgbClr val="9BBB59"/>
              </a:solidFill>
            </a:ln>
          </c:spPr>
          <c:marker>
            <c:symbol val="circle"/>
            <c:size val="2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7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'Acid. com Colaboradores'!$B$13:$N$13</c:f>
            </c:strRef>
          </c:cat>
          <c:val>
            <c:numRef>
              <c:f>'Acid. com Colaboradores'!$B$16:$N$16</c:f>
              <c:numCache/>
            </c:numRef>
          </c:val>
          <c:smooth val="0"/>
        </c:ser>
        <c:axId val="689128393"/>
        <c:axId val="1995876314"/>
      </c:lineChart>
      <c:catAx>
        <c:axId val="6891283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5876314"/>
      </c:catAx>
      <c:valAx>
        <c:axId val="19958763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9128393"/>
      </c:valAx>
    </c:plotArea>
    <c:legend>
      <c:legendPos val="r"/>
      <c:layout>
        <c:manualLayout>
          <c:xMode val="edge"/>
          <c:yMode val="edge"/>
          <c:x val="0.037666666666666675"/>
          <c:y val="0.8790536599591717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6890529308836397"/>
          <c:y val="0.05140055409740449"/>
          <c:w val="0.8090609298837645"/>
          <c:h val="0.737341426071741"/>
        </c:manualLayout>
      </c:layout>
      <c:barChart>
        <c:barDir val="col"/>
        <c:ser>
          <c:idx val="0"/>
          <c:order val="0"/>
          <c:tx>
            <c:v>Receita por Colaborador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'Prod. no Trabalho'!$B$13:$N$13</c:f>
            </c:strRef>
          </c:cat>
          <c:val>
            <c:numRef>
              <c:f>'Prod. no Trabalho'!$B$16:$N$16</c:f>
              <c:numCache/>
            </c:numRef>
          </c:val>
        </c:ser>
        <c:axId val="777892708"/>
        <c:axId val="242261948"/>
      </c:barChart>
      <c:catAx>
        <c:axId val="7778927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2261948"/>
      </c:catAx>
      <c:valAx>
        <c:axId val="2422619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7892708"/>
      </c:valAx>
    </c:plotArea>
    <c:legend>
      <c:legendPos val="r"/>
      <c:layout>
        <c:manualLayout>
          <c:xMode val="edge"/>
          <c:yMode val="edge"/>
          <c:x val="0.41923600174978126"/>
          <c:y val="0.9118449256342958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8298862642169728"/>
          <c:y val="0.05140055409740449"/>
          <c:w val="0.7882294554729955"/>
          <c:h val="0.7539232103577456"/>
        </c:manualLayout>
      </c:layout>
      <c:barChart>
        <c:barDir val="col"/>
        <c:ser>
          <c:idx val="0"/>
          <c:order val="0"/>
          <c:tx>
            <c:v>Receitas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'Margem de Lucro'!$B$13:$N$13</c:f>
            </c:strRef>
          </c:cat>
          <c:val>
            <c:numRef>
              <c:f>'Margem de Lucro'!$B$15:$N$15</c:f>
              <c:numCache/>
            </c:numRef>
          </c:val>
        </c:ser>
        <c:ser>
          <c:idx val="1"/>
          <c:order val="1"/>
          <c:tx>
            <c:v>Custos + Despesas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'Margem de Lucro'!$B$13:$N$13</c:f>
            </c:strRef>
          </c:cat>
          <c:val>
            <c:numRef>
              <c:f>'Margem de Lucro'!$B$14:$N$14</c:f>
              <c:numCache/>
            </c:numRef>
          </c:val>
        </c:ser>
        <c:axId val="1730483623"/>
        <c:axId val="1066986982"/>
      </c:barChart>
      <c:lineChart>
        <c:varyColors val="0"/>
        <c:ser>
          <c:idx val="2"/>
          <c:order val="2"/>
          <c:tx>
            <c:v>Resultado Mensal</c:v>
          </c:tx>
          <c:spPr>
            <a:ln cmpd="sng">
              <a:solidFill>
                <a:srgbClr val="9BBB59"/>
              </a:solidFill>
            </a:ln>
          </c:spPr>
          <c:marker>
            <c:symbol val="circle"/>
            <c:size val="5"/>
            <c:spPr>
              <a:solidFill>
                <a:srgbClr val="9BBB59"/>
              </a:solidFill>
              <a:ln cmpd="sng">
                <a:solidFill>
                  <a:srgbClr val="9BBB59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9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'Margem de Lucro'!$B$13:$N$13</c:f>
            </c:strRef>
          </c:cat>
          <c:val>
            <c:numRef>
              <c:f>'Margem de Lucro'!$B$16:$N$16</c:f>
              <c:numCache/>
            </c:numRef>
          </c:val>
          <c:smooth val="0"/>
        </c:ser>
        <c:axId val="1730483623"/>
        <c:axId val="1066986982"/>
      </c:lineChart>
      <c:catAx>
        <c:axId val="1730483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6986982"/>
      </c:catAx>
      <c:valAx>
        <c:axId val="10669869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0483623"/>
      </c:valAx>
    </c:plotArea>
    <c:legend>
      <c:legendPos val="r"/>
      <c:layout>
        <c:manualLayout>
          <c:xMode val="edge"/>
          <c:yMode val="edge"/>
          <c:x val="0.023917541557305338"/>
          <c:y val="0.9253499562554681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hyperlink" Target="#Indicadores_Ano!A1" TargetMode="External"/><Relationship Id="rId3" Type="http://schemas.openxmlformats.org/officeDocument/2006/relationships/hyperlink" Target="#Indicadores_M&#234;s!A1" TargetMode="Externa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hyperlink" Target="#Indicadores_Ano!A1" TargetMode="External"/><Relationship Id="rId3" Type="http://schemas.openxmlformats.org/officeDocument/2006/relationships/hyperlink" Target="#Indicadores_M&#234;s!A1" TargetMode="Externa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hyperlink" Target="#Indicadores_Ano!A1" TargetMode="External"/><Relationship Id="rId3" Type="http://schemas.openxmlformats.org/officeDocument/2006/relationships/hyperlink" Target="#Indicadores_M&#234;s!A1" TargetMode="Externa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hyperlink" Target="#Indicadores_Ano!A1" TargetMode="External"/><Relationship Id="rId3" Type="http://schemas.openxmlformats.org/officeDocument/2006/relationships/hyperlink" Target="#Indicadores_M&#234;s!A1" TargetMode="Externa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hyperlink" Target="#Indicadores_Ano!A1" TargetMode="External"/><Relationship Id="rId3" Type="http://schemas.openxmlformats.org/officeDocument/2006/relationships/hyperlink" Target="#Indicadores_M&#234;s!A1" TargetMode="Externa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hyperlink" Target="#Indicadores_Ano!A1" TargetMode="External"/><Relationship Id="rId3" Type="http://schemas.openxmlformats.org/officeDocument/2006/relationships/hyperlink" Target="#Indicadores_M&#234;s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0</xdr:row>
      <xdr:rowOff>161925</xdr:rowOff>
    </xdr:from>
    <xdr:ext cx="5600700" cy="3038475"/>
    <xdr:graphicFrame>
      <xdr:nvGraphicFramePr>
        <xdr:cNvPr id="189789314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152400</xdr:colOff>
      <xdr:row>0</xdr:row>
      <xdr:rowOff>104775</xdr:rowOff>
    </xdr:from>
    <xdr:ext cx="1438275" cy="495300"/>
    <xdr:sp>
      <xdr:nvSpPr>
        <xdr:cNvPr id="3" name="Shape 3">
          <a:hlinkClick r:id="rId2"/>
        </xdr:cNvPr>
        <xdr:cNvSpPr/>
      </xdr:nvSpPr>
      <xdr:spPr>
        <a:xfrm>
          <a:off x="4631625" y="3537113"/>
          <a:ext cx="1428750" cy="485775"/>
        </a:xfrm>
        <a:prstGeom prst="roundRect">
          <a:avLst>
            <a:gd fmla="val 16667" name="adj"/>
          </a:avLst>
        </a:prstGeom>
        <a:solidFill>
          <a:srgbClr val="205867"/>
        </a:solidFill>
        <a:ln>
          <a:noFill/>
        </a:ln>
        <a:effectLst>
          <a:outerShdw blurRad="44450" algn="ctr" dir="5400000" dist="27940">
            <a:srgbClr val="000000">
              <a:alpha val="31764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Indicadores Ano</a:t>
          </a:r>
          <a:endParaRPr b="1" sz="1100"/>
        </a:p>
      </xdr:txBody>
    </xdr:sp>
    <xdr:clientData fLocksWithSheet="0"/>
  </xdr:oneCellAnchor>
  <xdr:oneCellAnchor>
    <xdr:from>
      <xdr:col>5</xdr:col>
      <xdr:colOff>142875</xdr:colOff>
      <xdr:row>1</xdr:row>
      <xdr:rowOff>314325</xdr:rowOff>
    </xdr:from>
    <xdr:ext cx="1438275" cy="495300"/>
    <xdr:sp>
      <xdr:nvSpPr>
        <xdr:cNvPr id="4" name="Shape 4">
          <a:hlinkClick r:id="rId3"/>
        </xdr:cNvPr>
        <xdr:cNvSpPr/>
      </xdr:nvSpPr>
      <xdr:spPr>
        <a:xfrm>
          <a:off x="4631625" y="3537113"/>
          <a:ext cx="1428750" cy="485775"/>
        </a:xfrm>
        <a:prstGeom prst="roundRect">
          <a:avLst>
            <a:gd fmla="val 16667" name="adj"/>
          </a:avLst>
        </a:prstGeom>
        <a:solidFill>
          <a:srgbClr val="953734"/>
        </a:solidFill>
        <a:ln>
          <a:noFill/>
        </a:ln>
        <a:effectLst>
          <a:outerShdw blurRad="44450" algn="ctr" dir="5400000" dist="27940">
            <a:srgbClr val="000000">
              <a:alpha val="31764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Indicadores Mês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0</xdr:row>
      <xdr:rowOff>0</xdr:rowOff>
    </xdr:from>
    <xdr:ext cx="5534025" cy="3095625"/>
    <xdr:graphicFrame>
      <xdr:nvGraphicFramePr>
        <xdr:cNvPr id="91083911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114300</xdr:colOff>
      <xdr:row>0</xdr:row>
      <xdr:rowOff>152400</xdr:rowOff>
    </xdr:from>
    <xdr:ext cx="1438275" cy="495300"/>
    <xdr:sp>
      <xdr:nvSpPr>
        <xdr:cNvPr id="5" name="Shape 5">
          <a:hlinkClick r:id="rId2"/>
        </xdr:cNvPr>
        <xdr:cNvSpPr/>
      </xdr:nvSpPr>
      <xdr:spPr>
        <a:xfrm>
          <a:off x="4631625" y="3537113"/>
          <a:ext cx="1428750" cy="485775"/>
        </a:xfrm>
        <a:prstGeom prst="roundRect">
          <a:avLst>
            <a:gd fmla="val 16667" name="adj"/>
          </a:avLst>
        </a:prstGeom>
        <a:solidFill>
          <a:srgbClr val="205867"/>
        </a:solidFill>
        <a:ln>
          <a:noFill/>
        </a:ln>
        <a:effectLst>
          <a:outerShdw blurRad="44450" algn="ctr" dir="5400000" dist="27940">
            <a:srgbClr val="000000">
              <a:alpha val="31764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Indicadores Ano</a:t>
          </a:r>
          <a:endParaRPr b="1" sz="1100"/>
        </a:p>
      </xdr:txBody>
    </xdr:sp>
    <xdr:clientData fLocksWithSheet="0"/>
  </xdr:oneCellAnchor>
  <xdr:oneCellAnchor>
    <xdr:from>
      <xdr:col>5</xdr:col>
      <xdr:colOff>104775</xdr:colOff>
      <xdr:row>1</xdr:row>
      <xdr:rowOff>361950</xdr:rowOff>
    </xdr:from>
    <xdr:ext cx="1438275" cy="495300"/>
    <xdr:sp>
      <xdr:nvSpPr>
        <xdr:cNvPr id="6" name="Shape 6">
          <a:hlinkClick r:id="rId3"/>
        </xdr:cNvPr>
        <xdr:cNvSpPr/>
      </xdr:nvSpPr>
      <xdr:spPr>
        <a:xfrm>
          <a:off x="4631625" y="3537113"/>
          <a:ext cx="1428750" cy="485775"/>
        </a:xfrm>
        <a:prstGeom prst="roundRect">
          <a:avLst>
            <a:gd fmla="val 16667" name="adj"/>
          </a:avLst>
        </a:prstGeom>
        <a:solidFill>
          <a:srgbClr val="953734"/>
        </a:solidFill>
        <a:ln>
          <a:noFill/>
        </a:ln>
        <a:effectLst>
          <a:outerShdw blurRad="44450" algn="ctr" dir="5400000" dist="27940">
            <a:srgbClr val="000000">
              <a:alpha val="31764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Indicadores Mês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171450</xdr:colOff>
      <xdr:row>0</xdr:row>
      <xdr:rowOff>76200</xdr:rowOff>
    </xdr:from>
    <xdr:ext cx="5305425" cy="2971800"/>
    <xdr:graphicFrame>
      <xdr:nvGraphicFramePr>
        <xdr:cNvPr id="172241269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104775</xdr:colOff>
      <xdr:row>0</xdr:row>
      <xdr:rowOff>114300</xdr:rowOff>
    </xdr:from>
    <xdr:ext cx="1438275" cy="495300"/>
    <xdr:sp>
      <xdr:nvSpPr>
        <xdr:cNvPr id="7" name="Shape 7">
          <a:hlinkClick r:id="rId2"/>
        </xdr:cNvPr>
        <xdr:cNvSpPr/>
      </xdr:nvSpPr>
      <xdr:spPr>
        <a:xfrm>
          <a:off x="4631625" y="3537113"/>
          <a:ext cx="1428750" cy="485775"/>
        </a:xfrm>
        <a:prstGeom prst="roundRect">
          <a:avLst>
            <a:gd fmla="val 16667" name="adj"/>
          </a:avLst>
        </a:prstGeom>
        <a:solidFill>
          <a:srgbClr val="205867"/>
        </a:solidFill>
        <a:ln>
          <a:noFill/>
        </a:ln>
        <a:effectLst>
          <a:outerShdw blurRad="44450" algn="ctr" dir="5400000" dist="27940">
            <a:srgbClr val="000000">
              <a:alpha val="31764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Indicadores Ano</a:t>
          </a:r>
          <a:endParaRPr b="1" sz="1100"/>
        </a:p>
      </xdr:txBody>
    </xdr:sp>
    <xdr:clientData fLocksWithSheet="0"/>
  </xdr:oneCellAnchor>
  <xdr:oneCellAnchor>
    <xdr:from>
      <xdr:col>5</xdr:col>
      <xdr:colOff>95250</xdr:colOff>
      <xdr:row>1</xdr:row>
      <xdr:rowOff>323850</xdr:rowOff>
    </xdr:from>
    <xdr:ext cx="1438275" cy="495300"/>
    <xdr:sp>
      <xdr:nvSpPr>
        <xdr:cNvPr id="8" name="Shape 8">
          <a:hlinkClick r:id="rId3"/>
        </xdr:cNvPr>
        <xdr:cNvSpPr/>
      </xdr:nvSpPr>
      <xdr:spPr>
        <a:xfrm>
          <a:off x="4631625" y="3537113"/>
          <a:ext cx="1428750" cy="485775"/>
        </a:xfrm>
        <a:prstGeom prst="roundRect">
          <a:avLst>
            <a:gd fmla="val 16667" name="adj"/>
          </a:avLst>
        </a:prstGeom>
        <a:solidFill>
          <a:srgbClr val="953734"/>
        </a:solidFill>
        <a:ln>
          <a:noFill/>
        </a:ln>
        <a:effectLst>
          <a:outerShdw blurRad="44450" algn="ctr" dir="5400000" dist="27940">
            <a:srgbClr val="000000">
              <a:alpha val="31764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Indicadores Mês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152400</xdr:colOff>
      <xdr:row>0</xdr:row>
      <xdr:rowOff>38100</xdr:rowOff>
    </xdr:from>
    <xdr:ext cx="5362575" cy="2733675"/>
    <xdr:graphicFrame>
      <xdr:nvGraphicFramePr>
        <xdr:cNvPr id="501949936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133350</xdr:colOff>
      <xdr:row>0</xdr:row>
      <xdr:rowOff>133350</xdr:rowOff>
    </xdr:from>
    <xdr:ext cx="1438275" cy="495300"/>
    <xdr:sp>
      <xdr:nvSpPr>
        <xdr:cNvPr id="9" name="Shape 9">
          <a:hlinkClick r:id="rId2"/>
        </xdr:cNvPr>
        <xdr:cNvSpPr/>
      </xdr:nvSpPr>
      <xdr:spPr>
        <a:xfrm>
          <a:off x="4631625" y="3537113"/>
          <a:ext cx="1428750" cy="485775"/>
        </a:xfrm>
        <a:prstGeom prst="roundRect">
          <a:avLst>
            <a:gd fmla="val 16667" name="adj"/>
          </a:avLst>
        </a:prstGeom>
        <a:solidFill>
          <a:srgbClr val="205867"/>
        </a:solidFill>
        <a:ln>
          <a:noFill/>
        </a:ln>
        <a:effectLst>
          <a:outerShdw blurRad="44450" algn="ctr" dir="5400000" dist="27940">
            <a:srgbClr val="000000">
              <a:alpha val="31764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Indicadores Ano</a:t>
          </a:r>
          <a:endParaRPr b="1" sz="1100"/>
        </a:p>
      </xdr:txBody>
    </xdr:sp>
    <xdr:clientData fLocksWithSheet="0"/>
  </xdr:oneCellAnchor>
  <xdr:oneCellAnchor>
    <xdr:from>
      <xdr:col>5</xdr:col>
      <xdr:colOff>123825</xdr:colOff>
      <xdr:row>2</xdr:row>
      <xdr:rowOff>142875</xdr:rowOff>
    </xdr:from>
    <xdr:ext cx="1438275" cy="495300"/>
    <xdr:sp>
      <xdr:nvSpPr>
        <xdr:cNvPr id="10" name="Shape 10">
          <a:hlinkClick r:id="rId3"/>
        </xdr:cNvPr>
        <xdr:cNvSpPr/>
      </xdr:nvSpPr>
      <xdr:spPr>
        <a:xfrm>
          <a:off x="4631625" y="3532350"/>
          <a:ext cx="1428750" cy="495300"/>
        </a:xfrm>
        <a:prstGeom prst="roundRect">
          <a:avLst>
            <a:gd fmla="val 16667" name="adj"/>
          </a:avLst>
        </a:prstGeom>
        <a:solidFill>
          <a:srgbClr val="953734"/>
        </a:solidFill>
        <a:ln>
          <a:noFill/>
        </a:ln>
        <a:effectLst>
          <a:outerShdw blurRad="44450" algn="ctr" dir="5400000" dist="27940">
            <a:srgbClr val="000000">
              <a:alpha val="31764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Indicadores Mês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</xdr:colOff>
      <xdr:row>0</xdr:row>
      <xdr:rowOff>28575</xdr:rowOff>
    </xdr:from>
    <xdr:ext cx="5476875" cy="2733675"/>
    <xdr:graphicFrame>
      <xdr:nvGraphicFramePr>
        <xdr:cNvPr id="100757454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200025</xdr:colOff>
      <xdr:row>0</xdr:row>
      <xdr:rowOff>152400</xdr:rowOff>
    </xdr:from>
    <xdr:ext cx="1438275" cy="495300"/>
    <xdr:sp>
      <xdr:nvSpPr>
        <xdr:cNvPr id="11" name="Shape 11">
          <a:hlinkClick r:id="rId2"/>
        </xdr:cNvPr>
        <xdr:cNvSpPr/>
      </xdr:nvSpPr>
      <xdr:spPr>
        <a:xfrm>
          <a:off x="4631625" y="3532350"/>
          <a:ext cx="1428750" cy="495300"/>
        </a:xfrm>
        <a:prstGeom prst="roundRect">
          <a:avLst>
            <a:gd fmla="val 16667" name="adj"/>
          </a:avLst>
        </a:prstGeom>
        <a:solidFill>
          <a:srgbClr val="205867"/>
        </a:solidFill>
        <a:ln>
          <a:noFill/>
        </a:ln>
        <a:effectLst>
          <a:outerShdw blurRad="44450" algn="ctr" dir="5400000" dist="27940">
            <a:srgbClr val="000000">
              <a:alpha val="31764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Indicadores Ano</a:t>
          </a:r>
          <a:endParaRPr b="1" sz="1100"/>
        </a:p>
      </xdr:txBody>
    </xdr:sp>
    <xdr:clientData fLocksWithSheet="0"/>
  </xdr:oneCellAnchor>
  <xdr:oneCellAnchor>
    <xdr:from>
      <xdr:col>5</xdr:col>
      <xdr:colOff>190500</xdr:colOff>
      <xdr:row>2</xdr:row>
      <xdr:rowOff>161925</xdr:rowOff>
    </xdr:from>
    <xdr:ext cx="1438275" cy="495300"/>
    <xdr:sp>
      <xdr:nvSpPr>
        <xdr:cNvPr id="12" name="Shape 12">
          <a:hlinkClick r:id="rId3"/>
        </xdr:cNvPr>
        <xdr:cNvSpPr/>
      </xdr:nvSpPr>
      <xdr:spPr>
        <a:xfrm>
          <a:off x="4631625" y="3537113"/>
          <a:ext cx="1428750" cy="485775"/>
        </a:xfrm>
        <a:prstGeom prst="roundRect">
          <a:avLst>
            <a:gd fmla="val 16667" name="adj"/>
          </a:avLst>
        </a:prstGeom>
        <a:solidFill>
          <a:srgbClr val="953734"/>
        </a:solidFill>
        <a:ln>
          <a:noFill/>
        </a:ln>
        <a:effectLst>
          <a:outerShdw blurRad="44450" algn="ctr" dir="5400000" dist="27940">
            <a:srgbClr val="000000">
              <a:alpha val="31764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Indicadores Mês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133350</xdr:colOff>
      <xdr:row>0</xdr:row>
      <xdr:rowOff>28575</xdr:rowOff>
    </xdr:from>
    <xdr:ext cx="5410200" cy="3048000"/>
    <xdr:graphicFrame>
      <xdr:nvGraphicFramePr>
        <xdr:cNvPr id="886362524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152400</xdr:colOff>
      <xdr:row>0</xdr:row>
      <xdr:rowOff>161925</xdr:rowOff>
    </xdr:from>
    <xdr:ext cx="1438275" cy="495300"/>
    <xdr:sp>
      <xdr:nvSpPr>
        <xdr:cNvPr id="13" name="Shape 13">
          <a:hlinkClick r:id="rId2"/>
        </xdr:cNvPr>
        <xdr:cNvSpPr/>
      </xdr:nvSpPr>
      <xdr:spPr>
        <a:xfrm>
          <a:off x="4631625" y="3532350"/>
          <a:ext cx="1428750" cy="495300"/>
        </a:xfrm>
        <a:prstGeom prst="roundRect">
          <a:avLst>
            <a:gd fmla="val 16667" name="adj"/>
          </a:avLst>
        </a:prstGeom>
        <a:solidFill>
          <a:srgbClr val="205867"/>
        </a:solidFill>
        <a:ln>
          <a:noFill/>
        </a:ln>
        <a:effectLst>
          <a:outerShdw blurRad="44450" algn="ctr" dir="5400000" dist="27940">
            <a:srgbClr val="000000">
              <a:alpha val="31764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Indicadores Ano</a:t>
          </a:r>
          <a:endParaRPr b="1" sz="1100"/>
        </a:p>
      </xdr:txBody>
    </xdr:sp>
    <xdr:clientData fLocksWithSheet="0"/>
  </xdr:oneCellAnchor>
  <xdr:oneCellAnchor>
    <xdr:from>
      <xdr:col>5</xdr:col>
      <xdr:colOff>142875</xdr:colOff>
      <xdr:row>2</xdr:row>
      <xdr:rowOff>171450</xdr:rowOff>
    </xdr:from>
    <xdr:ext cx="1438275" cy="495300"/>
    <xdr:sp>
      <xdr:nvSpPr>
        <xdr:cNvPr id="14" name="Shape 14">
          <a:hlinkClick r:id="rId3"/>
        </xdr:cNvPr>
        <xdr:cNvSpPr/>
      </xdr:nvSpPr>
      <xdr:spPr>
        <a:xfrm>
          <a:off x="4631625" y="3532350"/>
          <a:ext cx="1428750" cy="495300"/>
        </a:xfrm>
        <a:prstGeom prst="roundRect">
          <a:avLst>
            <a:gd fmla="val 16667" name="adj"/>
          </a:avLst>
        </a:prstGeom>
        <a:solidFill>
          <a:srgbClr val="953734"/>
        </a:solidFill>
        <a:ln>
          <a:noFill/>
        </a:ln>
        <a:effectLst>
          <a:outerShdw blurRad="44450" algn="ctr" dir="5400000" dist="27940">
            <a:srgbClr val="000000">
              <a:alpha val="31764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Indicadores Mês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5867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0.14"/>
    <col customWidth="1" min="3" max="3" width="21.86"/>
    <col customWidth="1" min="4" max="4" width="7.86"/>
    <col customWidth="1" min="5" max="8" width="13.29"/>
    <col customWidth="1" min="9" max="11" width="14.14"/>
    <col customWidth="1" min="12" max="26" width="8.71"/>
  </cols>
  <sheetData>
    <row r="1" ht="7.5" customHeight="1">
      <c r="A1" s="1"/>
      <c r="B1" s="2"/>
      <c r="C1" s="3"/>
      <c r="D1" s="1"/>
      <c r="E1" s="1"/>
      <c r="F1" s="1"/>
      <c r="G1" s="1"/>
      <c r="H1" s="1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7.0" customHeight="1">
      <c r="A2" s="1"/>
      <c r="B2" s="4" t="s">
        <v>0</v>
      </c>
      <c r="C2" s="5"/>
      <c r="D2" s="5"/>
      <c r="E2" s="5"/>
      <c r="F2" s="5"/>
      <c r="G2" s="5"/>
      <c r="H2" s="5"/>
      <c r="I2" s="5"/>
      <c r="J2" s="5"/>
      <c r="K2" s="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5.25" customHeight="1">
      <c r="A3" s="1"/>
      <c r="B3" s="7" t="s">
        <v>1</v>
      </c>
      <c r="C3" s="8"/>
      <c r="D3" s="9" t="s">
        <v>2</v>
      </c>
      <c r="E3" s="10">
        <v>2023.0</v>
      </c>
      <c r="F3" s="10">
        <v>2024.0</v>
      </c>
      <c r="G3" s="10">
        <v>2025.0</v>
      </c>
      <c r="H3" s="10">
        <v>2026.0</v>
      </c>
      <c r="I3" s="11" t="s">
        <v>3</v>
      </c>
      <c r="J3" s="12"/>
      <c r="K3" s="1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5.25" customHeight="1">
      <c r="A4" s="1"/>
      <c r="B4" s="14" t="s">
        <v>4</v>
      </c>
      <c r="C4" s="15"/>
      <c r="D4" s="16" t="s">
        <v>5</v>
      </c>
      <c r="E4" s="17">
        <v>0.7</v>
      </c>
      <c r="F4" s="17">
        <v>0.75</v>
      </c>
      <c r="G4" s="17">
        <v>0.8</v>
      </c>
      <c r="H4" s="17">
        <v>0.82</v>
      </c>
      <c r="I4" s="18"/>
      <c r="K4" s="1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5.25" customHeight="1">
      <c r="A5" s="1"/>
      <c r="B5" s="20"/>
      <c r="C5" s="21"/>
      <c r="D5" s="22" t="s">
        <v>6</v>
      </c>
      <c r="E5" s="23">
        <v>0.8</v>
      </c>
      <c r="F5" s="23">
        <v>0.8</v>
      </c>
      <c r="G5" s="23">
        <v>0.82</v>
      </c>
      <c r="H5" s="24">
        <f>'Satisf. dos Clientes'!B16</f>
        <v>0.8863636364</v>
      </c>
      <c r="I5" s="20"/>
      <c r="J5" s="25"/>
      <c r="K5" s="2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5.25" customHeight="1">
      <c r="A6" s="1"/>
      <c r="B6" s="14" t="s">
        <v>7</v>
      </c>
      <c r="C6" s="15"/>
      <c r="D6" s="16" t="s">
        <v>5</v>
      </c>
      <c r="E6" s="26">
        <v>0.0</v>
      </c>
      <c r="F6" s="26">
        <v>0.0</v>
      </c>
      <c r="G6" s="26">
        <v>0.0</v>
      </c>
      <c r="H6" s="26">
        <v>0.0</v>
      </c>
      <c r="I6" s="18"/>
      <c r="K6" s="1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5.25" customHeight="1">
      <c r="A7" s="1"/>
      <c r="B7" s="20"/>
      <c r="C7" s="21"/>
      <c r="D7" s="22" t="s">
        <v>6</v>
      </c>
      <c r="E7" s="23">
        <v>0.03</v>
      </c>
      <c r="F7" s="23">
        <v>0.03</v>
      </c>
      <c r="G7" s="23">
        <v>0.03</v>
      </c>
      <c r="H7" s="23">
        <f>'Reclamações de Clientes'!B16</f>
        <v>0</v>
      </c>
      <c r="I7" s="20"/>
      <c r="J7" s="25"/>
      <c r="K7" s="2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5.25" customHeight="1">
      <c r="A8" s="1"/>
      <c r="B8" s="14" t="s">
        <v>8</v>
      </c>
      <c r="C8" s="15"/>
      <c r="D8" s="16" t="s">
        <v>5</v>
      </c>
      <c r="E8" s="26">
        <v>10.0</v>
      </c>
      <c r="F8" s="26">
        <v>11.0</v>
      </c>
      <c r="G8" s="26">
        <v>11.0</v>
      </c>
      <c r="H8" s="26">
        <v>11.0</v>
      </c>
      <c r="I8" s="18"/>
      <c r="K8" s="19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5.25" customHeight="1">
      <c r="A9" s="1"/>
      <c r="B9" s="20"/>
      <c r="C9" s="21"/>
      <c r="D9" s="22" t="s">
        <v>6</v>
      </c>
      <c r="E9" s="27">
        <v>10.0</v>
      </c>
      <c r="F9" s="27">
        <v>12.0</v>
      </c>
      <c r="G9" s="27">
        <v>14.0</v>
      </c>
      <c r="H9" s="28">
        <f>'Capac. Ministradas p. Colabor.'!B16</f>
        <v>9.818181818</v>
      </c>
      <c r="I9" s="20"/>
      <c r="J9" s="25"/>
      <c r="K9" s="2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5.25" customHeight="1">
      <c r="A10" s="1"/>
      <c r="B10" s="14" t="s">
        <v>9</v>
      </c>
      <c r="C10" s="15"/>
      <c r="D10" s="16" t="s">
        <v>5</v>
      </c>
      <c r="E10" s="26">
        <v>0.0</v>
      </c>
      <c r="F10" s="26">
        <v>0.0</v>
      </c>
      <c r="G10" s="26">
        <v>0.0</v>
      </c>
      <c r="H10" s="26">
        <v>0.0</v>
      </c>
      <c r="I10" s="18"/>
      <c r="K10" s="19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5.25" customHeight="1">
      <c r="A11" s="1"/>
      <c r="B11" s="20"/>
      <c r="C11" s="21"/>
      <c r="D11" s="22" t="s">
        <v>6</v>
      </c>
      <c r="E11" s="29">
        <v>0.0</v>
      </c>
      <c r="F11" s="29">
        <v>0.0</v>
      </c>
      <c r="G11" s="29">
        <v>0.0</v>
      </c>
      <c r="H11" s="29">
        <f>'Acid. com Colaboradores'!B16</f>
        <v>0.1818181818</v>
      </c>
      <c r="I11" s="20"/>
      <c r="J11" s="25"/>
      <c r="K11" s="2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5.25" customHeight="1">
      <c r="A12" s="1"/>
      <c r="B12" s="14" t="s">
        <v>10</v>
      </c>
      <c r="C12" s="15"/>
      <c r="D12" s="16" t="s">
        <v>5</v>
      </c>
      <c r="E12" s="30">
        <v>100000.0</v>
      </c>
      <c r="F12" s="30">
        <v>120000.0</v>
      </c>
      <c r="G12" s="30">
        <v>130000.0</v>
      </c>
      <c r="H12" s="30">
        <v>140000.0</v>
      </c>
      <c r="I12" s="18"/>
      <c r="K12" s="19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5.25" customHeight="1">
      <c r="A13" s="1"/>
      <c r="B13" s="20"/>
      <c r="C13" s="21"/>
      <c r="D13" s="22" t="s">
        <v>6</v>
      </c>
      <c r="E13" s="31">
        <v>120000.0</v>
      </c>
      <c r="F13" s="31">
        <v>130000.0</v>
      </c>
      <c r="G13" s="31">
        <v>150000.0</v>
      </c>
      <c r="H13" s="32">
        <f>'Prod. no Trabalho'!B16</f>
        <v>21818.18182</v>
      </c>
      <c r="I13" s="20"/>
      <c r="J13" s="25"/>
      <c r="K13" s="2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1"/>
      <c r="B14" s="14" t="s">
        <v>11</v>
      </c>
      <c r="C14" s="15"/>
      <c r="D14" s="16" t="s">
        <v>5</v>
      </c>
      <c r="E14" s="17">
        <v>0.05</v>
      </c>
      <c r="F14" s="17">
        <v>0.05</v>
      </c>
      <c r="G14" s="17">
        <v>0.07</v>
      </c>
      <c r="H14" s="17">
        <v>0.07</v>
      </c>
      <c r="I14" s="18"/>
      <c r="K14" s="1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5.25" customHeight="1">
      <c r="A15" s="1"/>
      <c r="B15" s="20"/>
      <c r="C15" s="21"/>
      <c r="D15" s="22" t="s">
        <v>6</v>
      </c>
      <c r="E15" s="23">
        <v>0.06</v>
      </c>
      <c r="F15" s="23">
        <v>0.065</v>
      </c>
      <c r="G15" s="23">
        <v>0.07</v>
      </c>
      <c r="H15" s="24">
        <f>'Margem de Lucro'!B16</f>
        <v>0.09166666667</v>
      </c>
      <c r="I15" s="20"/>
      <c r="J15" s="25"/>
      <c r="K15" s="2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I6:K7"/>
    <mergeCell ref="I8:K9"/>
    <mergeCell ref="B10:C11"/>
    <mergeCell ref="I10:K11"/>
    <mergeCell ref="B12:C13"/>
    <mergeCell ref="I12:K13"/>
    <mergeCell ref="B14:C15"/>
    <mergeCell ref="I14:K15"/>
    <mergeCell ref="B2:K2"/>
    <mergeCell ref="B3:C3"/>
    <mergeCell ref="I3:K3"/>
    <mergeCell ref="B4:C5"/>
    <mergeCell ref="I4:K5"/>
    <mergeCell ref="B6:C7"/>
    <mergeCell ref="B8:C9"/>
  </mergeCells>
  <conditionalFormatting sqref="E5">
    <cfRule type="cellIs" dxfId="0" priority="1" stopIfTrue="1" operator="equal">
      <formula>""</formula>
    </cfRule>
  </conditionalFormatting>
  <conditionalFormatting sqref="E5">
    <cfRule type="cellIs" dxfId="1" priority="2" operator="lessThan">
      <formula>$E$4</formula>
    </cfRule>
  </conditionalFormatting>
  <conditionalFormatting sqref="E5">
    <cfRule type="cellIs" dxfId="2" priority="3" operator="greaterThanOrEqual">
      <formula>$E$4</formula>
    </cfRule>
  </conditionalFormatting>
  <conditionalFormatting sqref="F5">
    <cfRule type="cellIs" dxfId="0" priority="4" stopIfTrue="1" operator="equal">
      <formula>""</formula>
    </cfRule>
  </conditionalFormatting>
  <conditionalFormatting sqref="F5">
    <cfRule type="cellIs" dxfId="1" priority="5" operator="lessThan">
      <formula>$F$4</formula>
    </cfRule>
  </conditionalFormatting>
  <conditionalFormatting sqref="F5">
    <cfRule type="cellIs" dxfId="2" priority="6" operator="greaterThanOrEqual">
      <formula>$F$4</formula>
    </cfRule>
  </conditionalFormatting>
  <conditionalFormatting sqref="G5">
    <cfRule type="cellIs" dxfId="0" priority="7" stopIfTrue="1" operator="equal">
      <formula>""</formula>
    </cfRule>
  </conditionalFormatting>
  <conditionalFormatting sqref="G5">
    <cfRule type="cellIs" dxfId="1" priority="8" operator="lessThan">
      <formula>$G$4</formula>
    </cfRule>
  </conditionalFormatting>
  <conditionalFormatting sqref="G5">
    <cfRule type="cellIs" dxfId="2" priority="9" operator="greaterThanOrEqual">
      <formula>$G$4</formula>
    </cfRule>
  </conditionalFormatting>
  <conditionalFormatting sqref="H5">
    <cfRule type="cellIs" dxfId="0" priority="10" stopIfTrue="1" operator="equal">
      <formula>""</formula>
    </cfRule>
  </conditionalFormatting>
  <conditionalFormatting sqref="H5">
    <cfRule type="cellIs" dxfId="1" priority="11" operator="lessThan">
      <formula>$H$4</formula>
    </cfRule>
  </conditionalFormatting>
  <conditionalFormatting sqref="H5">
    <cfRule type="cellIs" dxfId="2" priority="12" operator="greaterThanOrEqual">
      <formula>$H$4</formula>
    </cfRule>
  </conditionalFormatting>
  <conditionalFormatting sqref="E7">
    <cfRule type="cellIs" dxfId="0" priority="13" stopIfTrue="1" operator="equal">
      <formula>""</formula>
    </cfRule>
  </conditionalFormatting>
  <conditionalFormatting sqref="E7">
    <cfRule type="cellIs" dxfId="1" priority="14" operator="greaterThan">
      <formula>E$6</formula>
    </cfRule>
  </conditionalFormatting>
  <conditionalFormatting sqref="E7">
    <cfRule type="cellIs" dxfId="2" priority="15" operator="lessThanOrEqual">
      <formula>E$6</formula>
    </cfRule>
  </conditionalFormatting>
  <conditionalFormatting sqref="H7">
    <cfRule type="cellIs" dxfId="0" priority="16" stopIfTrue="1" operator="equal">
      <formula>""</formula>
    </cfRule>
  </conditionalFormatting>
  <conditionalFormatting sqref="H7">
    <cfRule type="cellIs" dxfId="2" priority="17" operator="lessThanOrEqual">
      <formula>$H$6</formula>
    </cfRule>
  </conditionalFormatting>
  <conditionalFormatting sqref="H7">
    <cfRule type="cellIs" dxfId="1" priority="18" operator="greaterThan">
      <formula>$H$6</formula>
    </cfRule>
  </conditionalFormatting>
  <conditionalFormatting sqref="E9">
    <cfRule type="cellIs" dxfId="0" priority="19" stopIfTrue="1" operator="equal">
      <formula>""</formula>
    </cfRule>
  </conditionalFormatting>
  <conditionalFormatting sqref="E9">
    <cfRule type="cellIs" dxfId="1" priority="20" operator="lessThan">
      <formula>$E$8</formula>
    </cfRule>
  </conditionalFormatting>
  <conditionalFormatting sqref="E9">
    <cfRule type="cellIs" dxfId="2" priority="21" operator="greaterThanOrEqual">
      <formula>$E$8</formula>
    </cfRule>
  </conditionalFormatting>
  <conditionalFormatting sqref="F9">
    <cfRule type="cellIs" dxfId="0" priority="22" stopIfTrue="1" operator="equal">
      <formula>""</formula>
    </cfRule>
  </conditionalFormatting>
  <conditionalFormatting sqref="F9">
    <cfRule type="cellIs" dxfId="1" priority="23" operator="lessThan">
      <formula>$F$8</formula>
    </cfRule>
  </conditionalFormatting>
  <conditionalFormatting sqref="F9">
    <cfRule type="cellIs" dxfId="2" priority="24" operator="greaterThanOrEqual">
      <formula>$F$8</formula>
    </cfRule>
  </conditionalFormatting>
  <conditionalFormatting sqref="G9">
    <cfRule type="cellIs" dxfId="0" priority="25" stopIfTrue="1" operator="equal">
      <formula>""</formula>
    </cfRule>
  </conditionalFormatting>
  <conditionalFormatting sqref="G9">
    <cfRule type="cellIs" dxfId="1" priority="26" operator="lessThan">
      <formula>$G$8</formula>
    </cfRule>
  </conditionalFormatting>
  <conditionalFormatting sqref="G9">
    <cfRule type="cellIs" dxfId="2" priority="27" operator="greaterThanOrEqual">
      <formula>$G$8</formula>
    </cfRule>
  </conditionalFormatting>
  <conditionalFormatting sqref="H9">
    <cfRule type="cellIs" dxfId="0" priority="28" stopIfTrue="1" operator="equal">
      <formula>""</formula>
    </cfRule>
  </conditionalFormatting>
  <conditionalFormatting sqref="H9">
    <cfRule type="cellIs" dxfId="1" priority="29" operator="lessThan">
      <formula>$H$8</formula>
    </cfRule>
  </conditionalFormatting>
  <conditionalFormatting sqref="H9">
    <cfRule type="cellIs" dxfId="2" priority="30" operator="greaterThanOrEqual">
      <formula>$H$8</formula>
    </cfRule>
  </conditionalFormatting>
  <conditionalFormatting sqref="E11">
    <cfRule type="cellIs" dxfId="0" priority="31" stopIfTrue="1" operator="equal">
      <formula>""</formula>
    </cfRule>
  </conditionalFormatting>
  <conditionalFormatting sqref="E11">
    <cfRule type="cellIs" dxfId="1" priority="32" operator="greaterThan">
      <formula>E$10</formula>
    </cfRule>
  </conditionalFormatting>
  <conditionalFormatting sqref="E11">
    <cfRule type="cellIs" dxfId="2" priority="33" operator="lessThanOrEqual">
      <formula>E$10</formula>
    </cfRule>
  </conditionalFormatting>
  <conditionalFormatting sqref="F11">
    <cfRule type="cellIs" dxfId="0" priority="34" stopIfTrue="1" operator="equal">
      <formula>""</formula>
    </cfRule>
  </conditionalFormatting>
  <conditionalFormatting sqref="F11">
    <cfRule type="cellIs" dxfId="2" priority="35" operator="lessThanOrEqual">
      <formula>$F$10</formula>
    </cfRule>
  </conditionalFormatting>
  <conditionalFormatting sqref="F11">
    <cfRule type="cellIs" dxfId="1" priority="36" operator="greaterThan">
      <formula>$F$10</formula>
    </cfRule>
  </conditionalFormatting>
  <conditionalFormatting sqref="G11">
    <cfRule type="cellIs" dxfId="0" priority="37" stopIfTrue="1" operator="equal">
      <formula>""</formula>
    </cfRule>
  </conditionalFormatting>
  <conditionalFormatting sqref="G11">
    <cfRule type="cellIs" dxfId="2" priority="38" operator="lessThanOrEqual">
      <formula>$G$10</formula>
    </cfRule>
  </conditionalFormatting>
  <conditionalFormatting sqref="G11">
    <cfRule type="cellIs" dxfId="1" priority="39" operator="greaterThan">
      <formula>$G$10</formula>
    </cfRule>
  </conditionalFormatting>
  <conditionalFormatting sqref="H11">
    <cfRule type="cellIs" dxfId="0" priority="40" stopIfTrue="1" operator="equal">
      <formula>""</formula>
    </cfRule>
  </conditionalFormatting>
  <conditionalFormatting sqref="H11">
    <cfRule type="cellIs" dxfId="2" priority="41" operator="lessThanOrEqual">
      <formula>$H$10</formula>
    </cfRule>
  </conditionalFormatting>
  <conditionalFormatting sqref="H11">
    <cfRule type="cellIs" dxfId="1" priority="42" operator="greaterThan">
      <formula>$H$10</formula>
    </cfRule>
  </conditionalFormatting>
  <conditionalFormatting sqref="E13">
    <cfRule type="cellIs" dxfId="0" priority="43" stopIfTrue="1" operator="equal">
      <formula>""</formula>
    </cfRule>
  </conditionalFormatting>
  <conditionalFormatting sqref="E13">
    <cfRule type="cellIs" dxfId="1" priority="44" operator="lessThan">
      <formula>$E$12</formula>
    </cfRule>
  </conditionalFormatting>
  <conditionalFormatting sqref="E13">
    <cfRule type="cellIs" dxfId="2" priority="45" operator="greaterThanOrEqual">
      <formula>$E$12</formula>
    </cfRule>
  </conditionalFormatting>
  <conditionalFormatting sqref="F13">
    <cfRule type="cellIs" dxfId="0" priority="46" stopIfTrue="1" operator="equal">
      <formula>""</formula>
    </cfRule>
  </conditionalFormatting>
  <conditionalFormatting sqref="F13">
    <cfRule type="cellIs" dxfId="1" priority="47" operator="lessThan">
      <formula>$F$12</formula>
    </cfRule>
  </conditionalFormatting>
  <conditionalFormatting sqref="F13">
    <cfRule type="cellIs" dxfId="2" priority="48" operator="greaterThanOrEqual">
      <formula>$F$12</formula>
    </cfRule>
  </conditionalFormatting>
  <conditionalFormatting sqref="G13">
    <cfRule type="cellIs" dxfId="0" priority="49" stopIfTrue="1" operator="equal">
      <formula>""</formula>
    </cfRule>
  </conditionalFormatting>
  <conditionalFormatting sqref="G13">
    <cfRule type="cellIs" dxfId="1" priority="50" operator="lessThan">
      <formula>$G$12</formula>
    </cfRule>
  </conditionalFormatting>
  <conditionalFormatting sqref="G13">
    <cfRule type="cellIs" dxfId="2" priority="51" operator="greaterThanOrEqual">
      <formula>$G$12</formula>
    </cfRule>
  </conditionalFormatting>
  <conditionalFormatting sqref="H13">
    <cfRule type="cellIs" dxfId="0" priority="52" stopIfTrue="1" operator="equal">
      <formula>""</formula>
    </cfRule>
  </conditionalFormatting>
  <conditionalFormatting sqref="H13">
    <cfRule type="cellIs" dxfId="1" priority="53" operator="lessThan">
      <formula>$H$12</formula>
    </cfRule>
  </conditionalFormatting>
  <conditionalFormatting sqref="H13">
    <cfRule type="cellIs" dxfId="2" priority="54" operator="greaterThanOrEqual">
      <formula>$H$12</formula>
    </cfRule>
  </conditionalFormatting>
  <conditionalFormatting sqref="E15">
    <cfRule type="cellIs" dxfId="0" priority="55" stopIfTrue="1" operator="equal">
      <formula>""</formula>
    </cfRule>
  </conditionalFormatting>
  <conditionalFormatting sqref="E15">
    <cfRule type="cellIs" dxfId="1" priority="56" operator="lessThan">
      <formula>$E$14</formula>
    </cfRule>
  </conditionalFormatting>
  <conditionalFormatting sqref="E15">
    <cfRule type="cellIs" dxfId="2" priority="57" operator="greaterThanOrEqual">
      <formula>$E$14</formula>
    </cfRule>
  </conditionalFormatting>
  <conditionalFormatting sqref="F15">
    <cfRule type="cellIs" dxfId="0" priority="58" stopIfTrue="1" operator="equal">
      <formula>""</formula>
    </cfRule>
  </conditionalFormatting>
  <conditionalFormatting sqref="F15">
    <cfRule type="cellIs" dxfId="1" priority="59" operator="lessThan">
      <formula>$F$14</formula>
    </cfRule>
  </conditionalFormatting>
  <conditionalFormatting sqref="F15">
    <cfRule type="cellIs" dxfId="2" priority="60" operator="greaterThanOrEqual">
      <formula>$F$14</formula>
    </cfRule>
  </conditionalFormatting>
  <conditionalFormatting sqref="G15">
    <cfRule type="cellIs" dxfId="0" priority="61" stopIfTrue="1" operator="equal">
      <formula>""</formula>
    </cfRule>
  </conditionalFormatting>
  <conditionalFormatting sqref="G15">
    <cfRule type="cellIs" dxfId="1" priority="62" operator="lessThan">
      <formula>$G$14</formula>
    </cfRule>
  </conditionalFormatting>
  <conditionalFormatting sqref="G15">
    <cfRule type="cellIs" dxfId="2" priority="63" operator="greaterThanOrEqual">
      <formula>$G$14</formula>
    </cfRule>
  </conditionalFormatting>
  <conditionalFormatting sqref="H15">
    <cfRule type="cellIs" dxfId="0" priority="64" stopIfTrue="1" operator="equal">
      <formula>""</formula>
    </cfRule>
  </conditionalFormatting>
  <conditionalFormatting sqref="H15">
    <cfRule type="cellIs" dxfId="1" priority="65" operator="lessThan">
      <formula>$H$14</formula>
    </cfRule>
  </conditionalFormatting>
  <conditionalFormatting sqref="H15">
    <cfRule type="cellIs" dxfId="2" priority="66" operator="greaterThanOrEqual">
      <formula>$H$14</formula>
    </cfRule>
  </conditionalFormatting>
  <conditionalFormatting sqref="F7:G7">
    <cfRule type="cellIs" dxfId="0" priority="67" stopIfTrue="1" operator="equal">
      <formula>""</formula>
    </cfRule>
  </conditionalFormatting>
  <conditionalFormatting sqref="F7:G7">
    <cfRule type="cellIs" dxfId="1" priority="68" operator="greaterThan">
      <formula>F$6</formula>
    </cfRule>
  </conditionalFormatting>
  <conditionalFormatting sqref="F7:G7">
    <cfRule type="cellIs" dxfId="2" priority="69" operator="lessThanOrEqual">
      <formula>F$6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3734"/>
    <pageSetUpPr/>
  </sheetPr>
  <sheetViews>
    <sheetView showGridLines="0" workbookViewId="0"/>
  </sheetViews>
  <sheetFormatPr customHeight="1" defaultColWidth="14.43" defaultRowHeight="15.0"/>
  <cols>
    <col customWidth="1" min="1" max="1" width="1.29"/>
    <col customWidth="1" min="2" max="2" width="20.14"/>
    <col customWidth="1" min="3" max="3" width="21.86"/>
    <col customWidth="1" min="4" max="4" width="9.14"/>
    <col customWidth="1" min="5" max="16" width="11.86"/>
    <col customWidth="1" min="17" max="19" width="10.71"/>
    <col customWidth="1" min="20" max="26" width="8.71"/>
  </cols>
  <sheetData>
    <row r="1" ht="6.75" customHeight="1">
      <c r="A1" s="1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1"/>
      <c r="S1" s="1"/>
      <c r="T1" s="1"/>
      <c r="U1" s="1"/>
      <c r="V1" s="1"/>
      <c r="W1" s="1"/>
      <c r="X1" s="1"/>
      <c r="Y1" s="1"/>
      <c r="Z1" s="1"/>
    </row>
    <row r="2" ht="57.0" customHeight="1">
      <c r="A2" s="1"/>
      <c r="B2" s="4" t="s">
        <v>12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1"/>
      <c r="U2" s="1"/>
      <c r="V2" s="1"/>
      <c r="W2" s="1"/>
      <c r="X2" s="1"/>
      <c r="Y2" s="1"/>
      <c r="Z2" s="1"/>
    </row>
    <row r="3" ht="35.25" customHeight="1">
      <c r="A3" s="1"/>
      <c r="B3" s="7" t="s">
        <v>1</v>
      </c>
      <c r="C3" s="8"/>
      <c r="D3" s="34" t="s">
        <v>2</v>
      </c>
      <c r="E3" s="35" t="s">
        <v>13</v>
      </c>
      <c r="F3" s="35" t="s">
        <v>14</v>
      </c>
      <c r="G3" s="35" t="s">
        <v>15</v>
      </c>
      <c r="H3" s="35" t="s">
        <v>16</v>
      </c>
      <c r="I3" s="35" t="s">
        <v>17</v>
      </c>
      <c r="J3" s="35" t="s">
        <v>18</v>
      </c>
      <c r="K3" s="35" t="s">
        <v>19</v>
      </c>
      <c r="L3" s="35" t="s">
        <v>20</v>
      </c>
      <c r="M3" s="35" t="s">
        <v>21</v>
      </c>
      <c r="N3" s="35" t="s">
        <v>22</v>
      </c>
      <c r="O3" s="35" t="s">
        <v>23</v>
      </c>
      <c r="P3" s="35" t="s">
        <v>24</v>
      </c>
      <c r="Q3" s="11" t="s">
        <v>3</v>
      </c>
      <c r="R3" s="12"/>
      <c r="S3" s="13"/>
      <c r="T3" s="1"/>
      <c r="U3" s="1"/>
      <c r="V3" s="1"/>
      <c r="W3" s="1"/>
      <c r="X3" s="1"/>
      <c r="Y3" s="1"/>
      <c r="Z3" s="1"/>
    </row>
    <row r="4" ht="35.25" customHeight="1">
      <c r="A4" s="1"/>
      <c r="B4" s="14" t="s">
        <v>4</v>
      </c>
      <c r="C4" s="15"/>
      <c r="D4" s="16" t="s">
        <v>25</v>
      </c>
      <c r="E4" s="17">
        <v>0.82</v>
      </c>
      <c r="F4" s="17">
        <v>0.82</v>
      </c>
      <c r="G4" s="17">
        <v>0.82</v>
      </c>
      <c r="H4" s="17">
        <v>0.82</v>
      </c>
      <c r="I4" s="17">
        <v>0.82</v>
      </c>
      <c r="J4" s="17">
        <v>0.82</v>
      </c>
      <c r="K4" s="17">
        <v>0.82</v>
      </c>
      <c r="L4" s="17">
        <v>0.82</v>
      </c>
      <c r="M4" s="17">
        <v>0.82</v>
      </c>
      <c r="N4" s="17">
        <v>0.82</v>
      </c>
      <c r="O4" s="17">
        <v>0.82</v>
      </c>
      <c r="P4" s="17">
        <v>0.82</v>
      </c>
      <c r="Q4" s="18"/>
      <c r="S4" s="19"/>
      <c r="T4" s="1"/>
      <c r="U4" s="1"/>
      <c r="V4" s="1"/>
      <c r="W4" s="1"/>
      <c r="X4" s="1"/>
      <c r="Y4" s="1"/>
      <c r="Z4" s="1"/>
    </row>
    <row r="5" ht="35.25" customHeight="1">
      <c r="A5" s="1"/>
      <c r="B5" s="20"/>
      <c r="C5" s="21"/>
      <c r="D5" s="22" t="s">
        <v>26</v>
      </c>
      <c r="E5" s="24">
        <f>'Satisf. dos Clientes'!C16</f>
        <v>0.9</v>
      </c>
      <c r="F5" s="24">
        <f>'Satisf. dos Clientes'!D16</f>
        <v>0.875</v>
      </c>
      <c r="G5" s="24" t="str">
        <f>'Satisf. dos Clientes'!E16</f>
        <v/>
      </c>
      <c r="H5" s="24" t="str">
        <f>'Satisf. dos Clientes'!F16</f>
        <v/>
      </c>
      <c r="I5" s="24" t="str">
        <f>'Satisf. dos Clientes'!G16</f>
        <v/>
      </c>
      <c r="J5" s="24" t="str">
        <f>'Satisf. dos Clientes'!H16</f>
        <v/>
      </c>
      <c r="K5" s="24" t="str">
        <f>'Satisf. dos Clientes'!I16</f>
        <v/>
      </c>
      <c r="L5" s="24" t="str">
        <f>'Satisf. dos Clientes'!J16</f>
        <v/>
      </c>
      <c r="M5" s="24" t="str">
        <f>'Satisf. dos Clientes'!K16</f>
        <v/>
      </c>
      <c r="N5" s="24" t="str">
        <f>'Satisf. dos Clientes'!L16</f>
        <v/>
      </c>
      <c r="O5" s="24" t="str">
        <f>'Satisf. dos Clientes'!M16</f>
        <v/>
      </c>
      <c r="P5" s="24" t="str">
        <f>'Satisf. dos Clientes'!N16</f>
        <v/>
      </c>
      <c r="Q5" s="20"/>
      <c r="R5" s="25"/>
      <c r="S5" s="21"/>
      <c r="T5" s="1"/>
      <c r="U5" s="1"/>
      <c r="V5" s="1"/>
      <c r="W5" s="1"/>
      <c r="X5" s="1"/>
      <c r="Y5" s="1"/>
      <c r="Z5" s="1"/>
    </row>
    <row r="6" ht="35.25" customHeight="1">
      <c r="A6" s="1"/>
      <c r="B6" s="14" t="s">
        <v>7</v>
      </c>
      <c r="C6" s="15"/>
      <c r="D6" s="16" t="s">
        <v>25</v>
      </c>
      <c r="E6" s="17">
        <v>0.0</v>
      </c>
      <c r="F6" s="17">
        <v>0.0</v>
      </c>
      <c r="G6" s="17">
        <v>0.0</v>
      </c>
      <c r="H6" s="17">
        <v>0.0</v>
      </c>
      <c r="I6" s="17">
        <v>0.0</v>
      </c>
      <c r="J6" s="17">
        <v>0.0</v>
      </c>
      <c r="K6" s="17">
        <v>0.0</v>
      </c>
      <c r="L6" s="17">
        <v>0.0</v>
      </c>
      <c r="M6" s="17">
        <v>0.0</v>
      </c>
      <c r="N6" s="17">
        <v>0.0</v>
      </c>
      <c r="O6" s="17">
        <v>0.0</v>
      </c>
      <c r="P6" s="17">
        <v>0.0</v>
      </c>
      <c r="Q6" s="18"/>
      <c r="S6" s="19"/>
      <c r="T6" s="1"/>
      <c r="U6" s="1"/>
      <c r="V6" s="1"/>
      <c r="W6" s="1"/>
      <c r="X6" s="1"/>
      <c r="Y6" s="1"/>
      <c r="Z6" s="1"/>
    </row>
    <row r="7" ht="35.25" customHeight="1">
      <c r="A7" s="1"/>
      <c r="B7" s="20"/>
      <c r="C7" s="21"/>
      <c r="D7" s="22" t="s">
        <v>26</v>
      </c>
      <c r="E7" s="24">
        <f>'Reclamações de Clientes'!C16</f>
        <v>0</v>
      </c>
      <c r="F7" s="24">
        <f>'Reclamações de Clientes'!D16</f>
        <v>0</v>
      </c>
      <c r="G7" s="24" t="str">
        <f>'Reclamações de Clientes'!E16</f>
        <v/>
      </c>
      <c r="H7" s="24" t="str">
        <f>'Reclamações de Clientes'!F16</f>
        <v/>
      </c>
      <c r="I7" s="24" t="str">
        <f>'Reclamações de Clientes'!G16</f>
        <v/>
      </c>
      <c r="J7" s="24" t="str">
        <f>'Reclamações de Clientes'!H16</f>
        <v/>
      </c>
      <c r="K7" s="24" t="str">
        <f>'Reclamações de Clientes'!I16</f>
        <v/>
      </c>
      <c r="L7" s="24" t="str">
        <f>'Reclamações de Clientes'!J16</f>
        <v/>
      </c>
      <c r="M7" s="24" t="str">
        <f>'Reclamações de Clientes'!K16</f>
        <v/>
      </c>
      <c r="N7" s="24" t="str">
        <f>'Reclamações de Clientes'!L16</f>
        <v/>
      </c>
      <c r="O7" s="24" t="str">
        <f>'Reclamações de Clientes'!M16</f>
        <v/>
      </c>
      <c r="P7" s="24" t="str">
        <f>'Reclamações de Clientes'!N16</f>
        <v/>
      </c>
      <c r="Q7" s="20"/>
      <c r="R7" s="25"/>
      <c r="S7" s="21"/>
      <c r="T7" s="1"/>
      <c r="U7" s="1"/>
      <c r="V7" s="1"/>
      <c r="W7" s="1"/>
      <c r="X7" s="1"/>
      <c r="Y7" s="1"/>
      <c r="Z7" s="1"/>
    </row>
    <row r="8" ht="35.25" customHeight="1">
      <c r="A8" s="1"/>
      <c r="B8" s="14" t="s">
        <v>8</v>
      </c>
      <c r="C8" s="15"/>
      <c r="D8" s="16" t="s">
        <v>25</v>
      </c>
      <c r="E8" s="26">
        <v>0.0</v>
      </c>
      <c r="F8" s="26">
        <v>0.0</v>
      </c>
      <c r="G8" s="26">
        <v>0.0</v>
      </c>
      <c r="H8" s="26">
        <v>0.0</v>
      </c>
      <c r="I8" s="26">
        <v>0.0</v>
      </c>
      <c r="J8" s="26">
        <v>0.0</v>
      </c>
      <c r="K8" s="26">
        <v>0.0</v>
      </c>
      <c r="L8" s="26">
        <v>0.0</v>
      </c>
      <c r="M8" s="26">
        <v>0.0</v>
      </c>
      <c r="N8" s="26">
        <v>0.0</v>
      </c>
      <c r="O8" s="26">
        <v>0.0</v>
      </c>
      <c r="P8" s="26">
        <v>0.0</v>
      </c>
      <c r="Q8" s="18"/>
      <c r="S8" s="19"/>
      <c r="T8" s="1"/>
      <c r="U8" s="1"/>
      <c r="V8" s="1"/>
      <c r="W8" s="1"/>
      <c r="X8" s="1"/>
      <c r="Y8" s="1"/>
      <c r="Z8" s="1"/>
    </row>
    <row r="9" ht="35.25" customHeight="1">
      <c r="A9" s="1"/>
      <c r="B9" s="20"/>
      <c r="C9" s="21"/>
      <c r="D9" s="22" t="s">
        <v>26</v>
      </c>
      <c r="E9" s="28">
        <f>'Capac. Ministradas p. Colabor.'!C16</f>
        <v>4.8</v>
      </c>
      <c r="F9" s="28">
        <f>'Capac. Ministradas p. Colabor.'!D16</f>
        <v>5</v>
      </c>
      <c r="G9" s="28" t="str">
        <f>'Capac. Ministradas p. Colabor.'!E16</f>
        <v/>
      </c>
      <c r="H9" s="28" t="str">
        <f>'Capac. Ministradas p. Colabor.'!F16</f>
        <v/>
      </c>
      <c r="I9" s="28" t="str">
        <f>'Capac. Ministradas p. Colabor.'!G16</f>
        <v/>
      </c>
      <c r="J9" s="28" t="str">
        <f>'Capac. Ministradas p. Colabor.'!H16</f>
        <v/>
      </c>
      <c r="K9" s="28" t="str">
        <f>'Capac. Ministradas p. Colabor.'!I16</f>
        <v/>
      </c>
      <c r="L9" s="28" t="str">
        <f>'Capac. Ministradas p. Colabor.'!J16</f>
        <v/>
      </c>
      <c r="M9" s="28" t="str">
        <f>'Capac. Ministradas p. Colabor.'!K16</f>
        <v/>
      </c>
      <c r="N9" s="28" t="str">
        <f>'Capac. Ministradas p. Colabor.'!L16</f>
        <v/>
      </c>
      <c r="O9" s="28" t="str">
        <f>'Capac. Ministradas p. Colabor.'!M16</f>
        <v/>
      </c>
      <c r="P9" s="28" t="str">
        <f>'Capac. Ministradas p. Colabor.'!N16</f>
        <v/>
      </c>
      <c r="Q9" s="20"/>
      <c r="R9" s="25"/>
      <c r="S9" s="21"/>
      <c r="T9" s="1"/>
      <c r="U9" s="1"/>
      <c r="V9" s="1"/>
      <c r="W9" s="1"/>
      <c r="X9" s="1"/>
      <c r="Y9" s="1"/>
      <c r="Z9" s="1"/>
    </row>
    <row r="10" ht="35.25" customHeight="1">
      <c r="A10" s="1"/>
      <c r="B10" s="14" t="s">
        <v>9</v>
      </c>
      <c r="C10" s="15"/>
      <c r="D10" s="16" t="s">
        <v>25</v>
      </c>
      <c r="E10" s="26">
        <v>0.0</v>
      </c>
      <c r="F10" s="26">
        <v>0.0</v>
      </c>
      <c r="G10" s="26">
        <v>0.0</v>
      </c>
      <c r="H10" s="26">
        <v>0.0</v>
      </c>
      <c r="I10" s="26">
        <v>0.0</v>
      </c>
      <c r="J10" s="26">
        <v>0.0</v>
      </c>
      <c r="K10" s="26">
        <v>0.0</v>
      </c>
      <c r="L10" s="26">
        <v>0.0</v>
      </c>
      <c r="M10" s="26">
        <v>0.0</v>
      </c>
      <c r="N10" s="26">
        <v>0.0</v>
      </c>
      <c r="O10" s="26">
        <v>0.0</v>
      </c>
      <c r="P10" s="26">
        <v>0.0</v>
      </c>
      <c r="Q10" s="18"/>
      <c r="S10" s="19"/>
      <c r="T10" s="1"/>
      <c r="U10" s="1"/>
      <c r="V10" s="1"/>
      <c r="W10" s="1"/>
      <c r="X10" s="1"/>
      <c r="Y10" s="1"/>
      <c r="Z10" s="1"/>
    </row>
    <row r="11" ht="35.25" customHeight="1">
      <c r="A11" s="1"/>
      <c r="B11" s="20"/>
      <c r="C11" s="21"/>
      <c r="D11" s="22" t="s">
        <v>26</v>
      </c>
      <c r="E11" s="28">
        <f>'Acid. com Colaboradores'!C16</f>
        <v>0.2</v>
      </c>
      <c r="F11" s="28">
        <f>'Acid. com Colaboradores'!D16</f>
        <v>0</v>
      </c>
      <c r="G11" s="28" t="str">
        <f>'Acid. com Colaboradores'!E16</f>
        <v/>
      </c>
      <c r="H11" s="28" t="str">
        <f>'Acid. com Colaboradores'!F16</f>
        <v/>
      </c>
      <c r="I11" s="28" t="str">
        <f>'Acid. com Colaboradores'!G16</f>
        <v/>
      </c>
      <c r="J11" s="28" t="str">
        <f>'Acid. com Colaboradores'!H16</f>
        <v/>
      </c>
      <c r="K11" s="28" t="str">
        <f>'Acid. com Colaboradores'!I16</f>
        <v/>
      </c>
      <c r="L11" s="28" t="str">
        <f>'Acid. com Colaboradores'!J16</f>
        <v/>
      </c>
      <c r="M11" s="28" t="str">
        <f>'Acid. com Colaboradores'!K16</f>
        <v/>
      </c>
      <c r="N11" s="28" t="str">
        <f>'Acid. com Colaboradores'!L16</f>
        <v/>
      </c>
      <c r="O11" s="28" t="str">
        <f>'Acid. com Colaboradores'!M16</f>
        <v/>
      </c>
      <c r="P11" s="28" t="str">
        <f>'Acid. com Colaboradores'!N16</f>
        <v/>
      </c>
      <c r="Q11" s="20"/>
      <c r="R11" s="25"/>
      <c r="S11" s="21"/>
      <c r="T11" s="1"/>
      <c r="U11" s="1"/>
      <c r="V11" s="1"/>
      <c r="W11" s="1"/>
      <c r="X11" s="1"/>
      <c r="Y11" s="1"/>
      <c r="Z11" s="1"/>
    </row>
    <row r="12" ht="35.25" customHeight="1">
      <c r="A12" s="1"/>
      <c r="B12" s="14" t="s">
        <v>10</v>
      </c>
      <c r="C12" s="15"/>
      <c r="D12" s="16" t="s">
        <v>25</v>
      </c>
      <c r="E12" s="30">
        <v>10000.0</v>
      </c>
      <c r="F12" s="30">
        <v>10000.0</v>
      </c>
      <c r="G12" s="30">
        <v>10000.0</v>
      </c>
      <c r="H12" s="30">
        <v>10000.0</v>
      </c>
      <c r="I12" s="30">
        <v>10000.0</v>
      </c>
      <c r="J12" s="30">
        <v>10000.0</v>
      </c>
      <c r="K12" s="30">
        <v>10000.0</v>
      </c>
      <c r="L12" s="30">
        <v>10000.0</v>
      </c>
      <c r="M12" s="30">
        <v>10000.0</v>
      </c>
      <c r="N12" s="30">
        <v>10000.0</v>
      </c>
      <c r="O12" s="30">
        <v>10000.0</v>
      </c>
      <c r="P12" s="30">
        <v>10000.0</v>
      </c>
      <c r="Q12" s="18"/>
      <c r="S12" s="19"/>
      <c r="T12" s="1"/>
      <c r="U12" s="1"/>
      <c r="V12" s="1"/>
      <c r="W12" s="1"/>
      <c r="X12" s="1"/>
      <c r="Y12" s="1"/>
      <c r="Z12" s="1"/>
    </row>
    <row r="13" ht="35.25" customHeight="1">
      <c r="A13" s="1"/>
      <c r="B13" s="20"/>
      <c r="C13" s="21"/>
      <c r="D13" s="22" t="s">
        <v>26</v>
      </c>
      <c r="E13" s="32">
        <f>'Prod. no Trabalho'!C16</f>
        <v>12000</v>
      </c>
      <c r="F13" s="32">
        <f>'Prod. no Trabalho'!D16</f>
        <v>10000</v>
      </c>
      <c r="G13" s="32" t="str">
        <f>'Prod. no Trabalho'!E16</f>
        <v/>
      </c>
      <c r="H13" s="32" t="str">
        <f>'Prod. no Trabalho'!F16</f>
        <v/>
      </c>
      <c r="I13" s="32" t="str">
        <f>'Prod. no Trabalho'!G16</f>
        <v/>
      </c>
      <c r="J13" s="32" t="str">
        <f>'Prod. no Trabalho'!H16</f>
        <v/>
      </c>
      <c r="K13" s="32" t="str">
        <f>'Prod. no Trabalho'!I16</f>
        <v/>
      </c>
      <c r="L13" s="32" t="str">
        <f>'Prod. no Trabalho'!J16</f>
        <v/>
      </c>
      <c r="M13" s="32" t="str">
        <f>'Prod. no Trabalho'!K16</f>
        <v/>
      </c>
      <c r="N13" s="32" t="str">
        <f>'Prod. no Trabalho'!L16</f>
        <v/>
      </c>
      <c r="O13" s="32" t="str">
        <f>'Prod. no Trabalho'!M16</f>
        <v/>
      </c>
      <c r="P13" s="32" t="str">
        <f>'Prod. no Trabalho'!N16</f>
        <v/>
      </c>
      <c r="Q13" s="20"/>
      <c r="R13" s="25"/>
      <c r="S13" s="21"/>
      <c r="T13" s="1"/>
      <c r="U13" s="1"/>
      <c r="V13" s="1"/>
      <c r="W13" s="1"/>
      <c r="X13" s="1"/>
      <c r="Y13" s="1"/>
      <c r="Z13" s="1"/>
    </row>
    <row r="14" ht="35.25" customHeight="1">
      <c r="A14" s="1"/>
      <c r="B14" s="14" t="s">
        <v>11</v>
      </c>
      <c r="C14" s="15"/>
      <c r="D14" s="16" t="s">
        <v>25</v>
      </c>
      <c r="E14" s="17">
        <v>0.07</v>
      </c>
      <c r="F14" s="17">
        <v>0.07</v>
      </c>
      <c r="G14" s="17">
        <v>0.07</v>
      </c>
      <c r="H14" s="17">
        <v>0.07</v>
      </c>
      <c r="I14" s="17">
        <v>0.07</v>
      </c>
      <c r="J14" s="17">
        <v>0.07</v>
      </c>
      <c r="K14" s="17">
        <v>0.07</v>
      </c>
      <c r="L14" s="17">
        <v>0.07</v>
      </c>
      <c r="M14" s="17">
        <v>0.07</v>
      </c>
      <c r="N14" s="17">
        <v>0.07</v>
      </c>
      <c r="O14" s="17">
        <v>0.07</v>
      </c>
      <c r="P14" s="17">
        <v>0.07</v>
      </c>
      <c r="Q14" s="18"/>
      <c r="S14" s="19"/>
      <c r="T14" s="1"/>
      <c r="U14" s="1"/>
      <c r="V14" s="1"/>
      <c r="W14" s="1"/>
      <c r="X14" s="1"/>
      <c r="Y14" s="1"/>
      <c r="Z14" s="1"/>
    </row>
    <row r="15" ht="35.25" customHeight="1">
      <c r="A15" s="1"/>
      <c r="B15" s="20"/>
      <c r="C15" s="21"/>
      <c r="D15" s="22" t="s">
        <v>26</v>
      </c>
      <c r="E15" s="24">
        <f>'Margem de Lucro'!C16</f>
        <v>0.08333333333</v>
      </c>
      <c r="F15" s="24">
        <f>'Margem de Lucro'!D16</f>
        <v>0.1</v>
      </c>
      <c r="G15" s="24" t="str">
        <f>'Margem de Lucro'!E16</f>
        <v/>
      </c>
      <c r="H15" s="24" t="str">
        <f>'Margem de Lucro'!F16</f>
        <v/>
      </c>
      <c r="I15" s="24" t="str">
        <f>'Margem de Lucro'!G16</f>
        <v/>
      </c>
      <c r="J15" s="24" t="str">
        <f>'Margem de Lucro'!H16</f>
        <v/>
      </c>
      <c r="K15" s="24" t="str">
        <f>'Margem de Lucro'!I16</f>
        <v/>
      </c>
      <c r="L15" s="24" t="str">
        <f>'Margem de Lucro'!J16</f>
        <v/>
      </c>
      <c r="M15" s="24" t="str">
        <f>'Margem de Lucro'!K16</f>
        <v/>
      </c>
      <c r="N15" s="24" t="str">
        <f>'Margem de Lucro'!L16</f>
        <v/>
      </c>
      <c r="O15" s="24" t="str">
        <f>'Margem de Lucro'!M16</f>
        <v/>
      </c>
      <c r="P15" s="24" t="str">
        <f>'Margem de Lucro'!N16</f>
        <v/>
      </c>
      <c r="Q15" s="20"/>
      <c r="R15" s="25"/>
      <c r="S15" s="2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Q6:S7"/>
    <mergeCell ref="Q8:S9"/>
    <mergeCell ref="Q4:S5"/>
    <mergeCell ref="Q10:S11"/>
    <mergeCell ref="Q3:S3"/>
    <mergeCell ref="Q12:S13"/>
    <mergeCell ref="B14:C15"/>
    <mergeCell ref="Q14:S15"/>
    <mergeCell ref="B2:S2"/>
    <mergeCell ref="B3:C3"/>
    <mergeCell ref="B4:C5"/>
    <mergeCell ref="B6:C7"/>
    <mergeCell ref="B8:C9"/>
    <mergeCell ref="B10:C11"/>
    <mergeCell ref="B12:C13"/>
  </mergeCells>
  <conditionalFormatting sqref="E5">
    <cfRule type="cellIs" dxfId="0" priority="1" stopIfTrue="1" operator="equal">
      <formula>""</formula>
    </cfRule>
  </conditionalFormatting>
  <conditionalFormatting sqref="E5">
    <cfRule type="cellIs" dxfId="1" priority="2" operator="lessThan">
      <formula>E$4</formula>
    </cfRule>
  </conditionalFormatting>
  <conditionalFormatting sqref="E5">
    <cfRule type="cellIs" dxfId="2" priority="3" operator="greaterThanOrEqual">
      <formula>E$4</formula>
    </cfRule>
  </conditionalFormatting>
  <conditionalFormatting sqref="F5">
    <cfRule type="cellIs" dxfId="0" priority="4" stopIfTrue="1" operator="equal">
      <formula>""</formula>
    </cfRule>
  </conditionalFormatting>
  <conditionalFormatting sqref="F5">
    <cfRule type="cellIs" dxfId="1" priority="5" operator="lessThan">
      <formula>F$4</formula>
    </cfRule>
  </conditionalFormatting>
  <conditionalFormatting sqref="F5">
    <cfRule type="cellIs" dxfId="2" priority="6" operator="greaterThanOrEqual">
      <formula>F$4</formula>
    </cfRule>
  </conditionalFormatting>
  <conditionalFormatting sqref="G5">
    <cfRule type="cellIs" dxfId="0" priority="7" stopIfTrue="1" operator="equal">
      <formula>""</formula>
    </cfRule>
  </conditionalFormatting>
  <conditionalFormatting sqref="G5">
    <cfRule type="cellIs" dxfId="1" priority="8" operator="lessThan">
      <formula>G$4</formula>
    </cfRule>
  </conditionalFormatting>
  <conditionalFormatting sqref="G5">
    <cfRule type="cellIs" dxfId="2" priority="9" operator="greaterThanOrEqual">
      <formula>G$4</formula>
    </cfRule>
  </conditionalFormatting>
  <conditionalFormatting sqref="H5">
    <cfRule type="cellIs" dxfId="0" priority="10" stopIfTrue="1" operator="equal">
      <formula>""</formula>
    </cfRule>
  </conditionalFormatting>
  <conditionalFormatting sqref="H5">
    <cfRule type="cellIs" dxfId="1" priority="11" operator="lessThan">
      <formula>H$4</formula>
    </cfRule>
  </conditionalFormatting>
  <conditionalFormatting sqref="H5">
    <cfRule type="cellIs" dxfId="2" priority="12" operator="greaterThanOrEqual">
      <formula>H$4</formula>
    </cfRule>
  </conditionalFormatting>
  <conditionalFormatting sqref="I5">
    <cfRule type="cellIs" dxfId="0" priority="13" stopIfTrue="1" operator="equal">
      <formula>""</formula>
    </cfRule>
  </conditionalFormatting>
  <conditionalFormatting sqref="I5">
    <cfRule type="cellIs" dxfId="1" priority="14" operator="lessThan">
      <formula>I$4</formula>
    </cfRule>
  </conditionalFormatting>
  <conditionalFormatting sqref="I5">
    <cfRule type="cellIs" dxfId="2" priority="15" operator="greaterThanOrEqual">
      <formula>I$4</formula>
    </cfRule>
  </conditionalFormatting>
  <conditionalFormatting sqref="J5">
    <cfRule type="cellIs" dxfId="0" priority="16" stopIfTrue="1" operator="equal">
      <formula>""</formula>
    </cfRule>
  </conditionalFormatting>
  <conditionalFormatting sqref="J5">
    <cfRule type="cellIs" dxfId="1" priority="17" operator="lessThan">
      <formula>J$4</formula>
    </cfRule>
  </conditionalFormatting>
  <conditionalFormatting sqref="J5">
    <cfRule type="cellIs" dxfId="2" priority="18" operator="greaterThanOrEqual">
      <formula>J$4</formula>
    </cfRule>
  </conditionalFormatting>
  <conditionalFormatting sqref="K5">
    <cfRule type="cellIs" dxfId="0" priority="19" stopIfTrue="1" operator="equal">
      <formula>""</formula>
    </cfRule>
  </conditionalFormatting>
  <conditionalFormatting sqref="K5">
    <cfRule type="cellIs" dxfId="1" priority="20" operator="lessThan">
      <formula>K$4</formula>
    </cfRule>
  </conditionalFormatting>
  <conditionalFormatting sqref="K5">
    <cfRule type="cellIs" dxfId="2" priority="21" operator="greaterThanOrEqual">
      <formula>K$4</formula>
    </cfRule>
  </conditionalFormatting>
  <conditionalFormatting sqref="L5">
    <cfRule type="cellIs" dxfId="0" priority="22" stopIfTrue="1" operator="equal">
      <formula>""</formula>
    </cfRule>
  </conditionalFormatting>
  <conditionalFormatting sqref="L5">
    <cfRule type="cellIs" dxfId="1" priority="23" operator="lessThan">
      <formula>L$4</formula>
    </cfRule>
  </conditionalFormatting>
  <conditionalFormatting sqref="L5">
    <cfRule type="cellIs" dxfId="2" priority="24" operator="greaterThanOrEqual">
      <formula>L$4</formula>
    </cfRule>
  </conditionalFormatting>
  <conditionalFormatting sqref="M5">
    <cfRule type="cellIs" dxfId="0" priority="25" stopIfTrue="1" operator="equal">
      <formula>""</formula>
    </cfRule>
  </conditionalFormatting>
  <conditionalFormatting sqref="M5">
    <cfRule type="cellIs" dxfId="1" priority="26" operator="lessThan">
      <formula>M$4</formula>
    </cfRule>
  </conditionalFormatting>
  <conditionalFormatting sqref="M5">
    <cfRule type="cellIs" dxfId="2" priority="27" operator="greaterThanOrEqual">
      <formula>M$4</formula>
    </cfRule>
  </conditionalFormatting>
  <conditionalFormatting sqref="N5">
    <cfRule type="cellIs" dxfId="0" priority="28" stopIfTrue="1" operator="equal">
      <formula>""</formula>
    </cfRule>
  </conditionalFormatting>
  <conditionalFormatting sqref="N5">
    <cfRule type="cellIs" dxfId="1" priority="29" operator="lessThan">
      <formula>N$4</formula>
    </cfRule>
  </conditionalFormatting>
  <conditionalFormatting sqref="N5">
    <cfRule type="cellIs" dxfId="2" priority="30" operator="greaterThanOrEqual">
      <formula>N$4</formula>
    </cfRule>
  </conditionalFormatting>
  <conditionalFormatting sqref="O5">
    <cfRule type="cellIs" dxfId="0" priority="31" stopIfTrue="1" operator="equal">
      <formula>""</formula>
    </cfRule>
  </conditionalFormatting>
  <conditionalFormatting sqref="O5">
    <cfRule type="cellIs" dxfId="1" priority="32" operator="lessThan">
      <formula>O$4</formula>
    </cfRule>
  </conditionalFormatting>
  <conditionalFormatting sqref="O5">
    <cfRule type="cellIs" dxfId="2" priority="33" operator="greaterThanOrEqual">
      <formula>O$4</formula>
    </cfRule>
  </conditionalFormatting>
  <conditionalFormatting sqref="P5">
    <cfRule type="cellIs" dxfId="0" priority="34" stopIfTrue="1" operator="equal">
      <formula>""</formula>
    </cfRule>
  </conditionalFormatting>
  <conditionalFormatting sqref="P5">
    <cfRule type="cellIs" dxfId="1" priority="35" operator="lessThan">
      <formula>P$4</formula>
    </cfRule>
  </conditionalFormatting>
  <conditionalFormatting sqref="P5">
    <cfRule type="cellIs" dxfId="2" priority="36" operator="greaterThanOrEqual">
      <formula>P$4</formula>
    </cfRule>
  </conditionalFormatting>
  <conditionalFormatting sqref="E9">
    <cfRule type="cellIs" dxfId="0" priority="37" stopIfTrue="1" operator="equal">
      <formula>""</formula>
    </cfRule>
  </conditionalFormatting>
  <conditionalFormatting sqref="E9">
    <cfRule type="cellIs" dxfId="1" priority="38" operator="lessThan">
      <formula>E$8</formula>
    </cfRule>
  </conditionalFormatting>
  <conditionalFormatting sqref="E9">
    <cfRule type="cellIs" dxfId="2" priority="39" operator="greaterThanOrEqual">
      <formula>E$8</formula>
    </cfRule>
  </conditionalFormatting>
  <conditionalFormatting sqref="F9">
    <cfRule type="cellIs" dxfId="0" priority="40" stopIfTrue="1" operator="equal">
      <formula>""</formula>
    </cfRule>
  </conditionalFormatting>
  <conditionalFormatting sqref="F9">
    <cfRule type="cellIs" dxfId="1" priority="41" operator="lessThan">
      <formula>F$8</formula>
    </cfRule>
  </conditionalFormatting>
  <conditionalFormatting sqref="F9">
    <cfRule type="cellIs" dxfId="2" priority="42" operator="greaterThanOrEqual">
      <formula>F$8</formula>
    </cfRule>
  </conditionalFormatting>
  <conditionalFormatting sqref="G9">
    <cfRule type="cellIs" dxfId="0" priority="43" stopIfTrue="1" operator="equal">
      <formula>""</formula>
    </cfRule>
  </conditionalFormatting>
  <conditionalFormatting sqref="G9">
    <cfRule type="cellIs" dxfId="1" priority="44" operator="lessThan">
      <formula>G$8</formula>
    </cfRule>
  </conditionalFormatting>
  <conditionalFormatting sqref="G9">
    <cfRule type="cellIs" dxfId="2" priority="45" operator="greaterThanOrEqual">
      <formula>G$8</formula>
    </cfRule>
  </conditionalFormatting>
  <conditionalFormatting sqref="H9">
    <cfRule type="cellIs" dxfId="0" priority="46" stopIfTrue="1" operator="equal">
      <formula>""</formula>
    </cfRule>
  </conditionalFormatting>
  <conditionalFormatting sqref="H9">
    <cfRule type="cellIs" dxfId="1" priority="47" operator="lessThan">
      <formula>H$8</formula>
    </cfRule>
  </conditionalFormatting>
  <conditionalFormatting sqref="H9">
    <cfRule type="cellIs" dxfId="2" priority="48" operator="greaterThanOrEqual">
      <formula>H$8</formula>
    </cfRule>
  </conditionalFormatting>
  <conditionalFormatting sqref="I9">
    <cfRule type="cellIs" dxfId="0" priority="49" stopIfTrue="1" operator="equal">
      <formula>""</formula>
    </cfRule>
  </conditionalFormatting>
  <conditionalFormatting sqref="I9">
    <cfRule type="cellIs" dxfId="1" priority="50" operator="lessThan">
      <formula>I$8</formula>
    </cfRule>
  </conditionalFormatting>
  <conditionalFormatting sqref="I9">
    <cfRule type="cellIs" dxfId="2" priority="51" operator="greaterThanOrEqual">
      <formula>I$8</formula>
    </cfRule>
  </conditionalFormatting>
  <conditionalFormatting sqref="J9">
    <cfRule type="cellIs" dxfId="0" priority="52" stopIfTrue="1" operator="equal">
      <formula>""</formula>
    </cfRule>
  </conditionalFormatting>
  <conditionalFormatting sqref="J9">
    <cfRule type="cellIs" dxfId="1" priority="53" operator="lessThan">
      <formula>J$8</formula>
    </cfRule>
  </conditionalFormatting>
  <conditionalFormatting sqref="J9">
    <cfRule type="cellIs" dxfId="2" priority="54" operator="greaterThanOrEqual">
      <formula>J$8</formula>
    </cfRule>
  </conditionalFormatting>
  <conditionalFormatting sqref="K9">
    <cfRule type="cellIs" dxfId="0" priority="55" stopIfTrue="1" operator="equal">
      <formula>""</formula>
    </cfRule>
  </conditionalFormatting>
  <conditionalFormatting sqref="K9">
    <cfRule type="cellIs" dxfId="1" priority="56" operator="lessThan">
      <formula>K$8</formula>
    </cfRule>
  </conditionalFormatting>
  <conditionalFormatting sqref="K9">
    <cfRule type="cellIs" dxfId="2" priority="57" operator="greaterThanOrEqual">
      <formula>K$8</formula>
    </cfRule>
  </conditionalFormatting>
  <conditionalFormatting sqref="L9">
    <cfRule type="cellIs" dxfId="0" priority="58" stopIfTrue="1" operator="equal">
      <formula>""</formula>
    </cfRule>
  </conditionalFormatting>
  <conditionalFormatting sqref="L9">
    <cfRule type="cellIs" dxfId="1" priority="59" operator="lessThan">
      <formula>L$8</formula>
    </cfRule>
  </conditionalFormatting>
  <conditionalFormatting sqref="L9">
    <cfRule type="cellIs" dxfId="2" priority="60" operator="greaterThanOrEqual">
      <formula>L$8</formula>
    </cfRule>
  </conditionalFormatting>
  <conditionalFormatting sqref="M9">
    <cfRule type="cellIs" dxfId="0" priority="61" stopIfTrue="1" operator="equal">
      <formula>""</formula>
    </cfRule>
  </conditionalFormatting>
  <conditionalFormatting sqref="M9">
    <cfRule type="cellIs" dxfId="1" priority="62" operator="lessThan">
      <formula>M$8</formula>
    </cfRule>
  </conditionalFormatting>
  <conditionalFormatting sqref="M9">
    <cfRule type="cellIs" dxfId="2" priority="63" operator="greaterThanOrEqual">
      <formula>M$8</formula>
    </cfRule>
  </conditionalFormatting>
  <conditionalFormatting sqref="N9">
    <cfRule type="cellIs" dxfId="0" priority="64" stopIfTrue="1" operator="equal">
      <formula>""</formula>
    </cfRule>
  </conditionalFormatting>
  <conditionalFormatting sqref="N9">
    <cfRule type="cellIs" dxfId="1" priority="65" operator="lessThan">
      <formula>N$8</formula>
    </cfRule>
  </conditionalFormatting>
  <conditionalFormatting sqref="N9">
    <cfRule type="cellIs" dxfId="2" priority="66" operator="greaterThanOrEqual">
      <formula>N$8</formula>
    </cfRule>
  </conditionalFormatting>
  <conditionalFormatting sqref="O9">
    <cfRule type="cellIs" dxfId="0" priority="67" stopIfTrue="1" operator="equal">
      <formula>""</formula>
    </cfRule>
  </conditionalFormatting>
  <conditionalFormatting sqref="O9">
    <cfRule type="cellIs" dxfId="1" priority="68" operator="lessThan">
      <formula>O$8</formula>
    </cfRule>
  </conditionalFormatting>
  <conditionalFormatting sqref="O9">
    <cfRule type="cellIs" dxfId="2" priority="69" operator="greaterThanOrEqual">
      <formula>O$8</formula>
    </cfRule>
  </conditionalFormatting>
  <conditionalFormatting sqref="P9">
    <cfRule type="cellIs" dxfId="0" priority="70" stopIfTrue="1" operator="equal">
      <formula>""</formula>
    </cfRule>
  </conditionalFormatting>
  <conditionalFormatting sqref="P9">
    <cfRule type="cellIs" dxfId="1" priority="71" operator="lessThan">
      <formula>P$8</formula>
    </cfRule>
  </conditionalFormatting>
  <conditionalFormatting sqref="P9">
    <cfRule type="cellIs" dxfId="2" priority="72" operator="greaterThanOrEqual">
      <formula>P$8</formula>
    </cfRule>
  </conditionalFormatting>
  <conditionalFormatting sqref="E11">
    <cfRule type="cellIs" dxfId="0" priority="73" stopIfTrue="1" operator="equal">
      <formula>""</formula>
    </cfRule>
  </conditionalFormatting>
  <conditionalFormatting sqref="E11">
    <cfRule type="cellIs" dxfId="2" priority="74" operator="equal">
      <formula>E$10</formula>
    </cfRule>
  </conditionalFormatting>
  <conditionalFormatting sqref="E11">
    <cfRule type="cellIs" dxfId="1" priority="75" operator="greaterThan">
      <formula>E$10</formula>
    </cfRule>
  </conditionalFormatting>
  <conditionalFormatting sqref="F11">
    <cfRule type="cellIs" dxfId="0" priority="76" stopIfTrue="1" operator="equal">
      <formula>""</formula>
    </cfRule>
  </conditionalFormatting>
  <conditionalFormatting sqref="F11">
    <cfRule type="cellIs" dxfId="2" priority="77" operator="equal">
      <formula>F$10</formula>
    </cfRule>
  </conditionalFormatting>
  <conditionalFormatting sqref="F11">
    <cfRule type="cellIs" dxfId="1" priority="78" operator="greaterThan">
      <formula>F$10</formula>
    </cfRule>
  </conditionalFormatting>
  <conditionalFormatting sqref="G11">
    <cfRule type="cellIs" dxfId="0" priority="79" stopIfTrue="1" operator="equal">
      <formula>""</formula>
    </cfRule>
  </conditionalFormatting>
  <conditionalFormatting sqref="G11">
    <cfRule type="cellIs" dxfId="2" priority="80" operator="equal">
      <formula>G$10</formula>
    </cfRule>
  </conditionalFormatting>
  <conditionalFormatting sqref="G11">
    <cfRule type="cellIs" dxfId="1" priority="81" operator="greaterThan">
      <formula>G$10</formula>
    </cfRule>
  </conditionalFormatting>
  <conditionalFormatting sqref="H11">
    <cfRule type="cellIs" dxfId="0" priority="82" stopIfTrue="1" operator="equal">
      <formula>""</formula>
    </cfRule>
  </conditionalFormatting>
  <conditionalFormatting sqref="H11">
    <cfRule type="cellIs" dxfId="2" priority="83" operator="equal">
      <formula>H$10</formula>
    </cfRule>
  </conditionalFormatting>
  <conditionalFormatting sqref="H11">
    <cfRule type="cellIs" dxfId="1" priority="84" operator="greaterThan">
      <formula>H$10</formula>
    </cfRule>
  </conditionalFormatting>
  <conditionalFormatting sqref="I11">
    <cfRule type="cellIs" dxfId="0" priority="85" stopIfTrue="1" operator="equal">
      <formula>""</formula>
    </cfRule>
  </conditionalFormatting>
  <conditionalFormatting sqref="I11">
    <cfRule type="cellIs" dxfId="2" priority="86" operator="equal">
      <formula>I$10</formula>
    </cfRule>
  </conditionalFormatting>
  <conditionalFormatting sqref="I11">
    <cfRule type="cellIs" dxfId="1" priority="87" operator="greaterThan">
      <formula>I$10</formula>
    </cfRule>
  </conditionalFormatting>
  <conditionalFormatting sqref="J11">
    <cfRule type="cellIs" dxfId="0" priority="88" stopIfTrue="1" operator="equal">
      <formula>""</formula>
    </cfRule>
  </conditionalFormatting>
  <conditionalFormatting sqref="J11">
    <cfRule type="cellIs" dxfId="2" priority="89" operator="equal">
      <formula>J$10</formula>
    </cfRule>
  </conditionalFormatting>
  <conditionalFormatting sqref="J11">
    <cfRule type="cellIs" dxfId="1" priority="90" operator="greaterThan">
      <formula>J$10</formula>
    </cfRule>
  </conditionalFormatting>
  <conditionalFormatting sqref="K11">
    <cfRule type="cellIs" dxfId="0" priority="91" stopIfTrue="1" operator="equal">
      <formula>""</formula>
    </cfRule>
  </conditionalFormatting>
  <conditionalFormatting sqref="K11">
    <cfRule type="cellIs" dxfId="2" priority="92" operator="equal">
      <formula>K$10</formula>
    </cfRule>
  </conditionalFormatting>
  <conditionalFormatting sqref="K11">
    <cfRule type="cellIs" dxfId="1" priority="93" operator="greaterThan">
      <formula>K$10</formula>
    </cfRule>
  </conditionalFormatting>
  <conditionalFormatting sqref="L11">
    <cfRule type="cellIs" dxfId="0" priority="94" stopIfTrue="1" operator="equal">
      <formula>""</formula>
    </cfRule>
  </conditionalFormatting>
  <conditionalFormatting sqref="L11">
    <cfRule type="cellIs" dxfId="2" priority="95" operator="equal">
      <formula>L$10</formula>
    </cfRule>
  </conditionalFormatting>
  <conditionalFormatting sqref="L11">
    <cfRule type="cellIs" dxfId="1" priority="96" operator="greaterThan">
      <formula>L$10</formula>
    </cfRule>
  </conditionalFormatting>
  <conditionalFormatting sqref="M11">
    <cfRule type="cellIs" dxfId="0" priority="97" stopIfTrue="1" operator="equal">
      <formula>""</formula>
    </cfRule>
  </conditionalFormatting>
  <conditionalFormatting sqref="M11">
    <cfRule type="cellIs" dxfId="2" priority="98" operator="equal">
      <formula>M$10</formula>
    </cfRule>
  </conditionalFormatting>
  <conditionalFormatting sqref="M11">
    <cfRule type="cellIs" dxfId="1" priority="99" operator="greaterThan">
      <formula>M$10</formula>
    </cfRule>
  </conditionalFormatting>
  <conditionalFormatting sqref="N11">
    <cfRule type="cellIs" dxfId="0" priority="100" stopIfTrue="1" operator="equal">
      <formula>""</formula>
    </cfRule>
  </conditionalFormatting>
  <conditionalFormatting sqref="N11">
    <cfRule type="cellIs" dxfId="2" priority="101" operator="equal">
      <formula>N$10</formula>
    </cfRule>
  </conditionalFormatting>
  <conditionalFormatting sqref="N11">
    <cfRule type="cellIs" dxfId="1" priority="102" operator="greaterThan">
      <formula>N$10</formula>
    </cfRule>
  </conditionalFormatting>
  <conditionalFormatting sqref="O11">
    <cfRule type="cellIs" dxfId="0" priority="103" stopIfTrue="1" operator="equal">
      <formula>""</formula>
    </cfRule>
  </conditionalFormatting>
  <conditionalFormatting sqref="O11">
    <cfRule type="cellIs" dxfId="2" priority="104" operator="equal">
      <formula>O$10</formula>
    </cfRule>
  </conditionalFormatting>
  <conditionalFormatting sqref="O11">
    <cfRule type="cellIs" dxfId="1" priority="105" operator="greaterThan">
      <formula>O$10</formula>
    </cfRule>
  </conditionalFormatting>
  <conditionalFormatting sqref="P11">
    <cfRule type="cellIs" dxfId="0" priority="106" stopIfTrue="1" operator="equal">
      <formula>""</formula>
    </cfRule>
  </conditionalFormatting>
  <conditionalFormatting sqref="P11">
    <cfRule type="cellIs" dxfId="2" priority="107" operator="equal">
      <formula>P$10</formula>
    </cfRule>
  </conditionalFormatting>
  <conditionalFormatting sqref="P11">
    <cfRule type="cellIs" dxfId="1" priority="108" operator="greaterThan">
      <formula>P$10</formula>
    </cfRule>
  </conditionalFormatting>
  <conditionalFormatting sqref="E13">
    <cfRule type="cellIs" dxfId="0" priority="109" stopIfTrue="1" operator="equal">
      <formula>""</formula>
    </cfRule>
  </conditionalFormatting>
  <conditionalFormatting sqref="E13">
    <cfRule type="cellIs" dxfId="1" priority="110" operator="lessThan">
      <formula>E$12</formula>
    </cfRule>
  </conditionalFormatting>
  <conditionalFormatting sqref="E13">
    <cfRule type="cellIs" dxfId="2" priority="111" operator="greaterThanOrEqual">
      <formula>E$12</formula>
    </cfRule>
  </conditionalFormatting>
  <conditionalFormatting sqref="F13">
    <cfRule type="cellIs" dxfId="0" priority="112" stopIfTrue="1" operator="equal">
      <formula>""</formula>
    </cfRule>
  </conditionalFormatting>
  <conditionalFormatting sqref="F13">
    <cfRule type="cellIs" dxfId="1" priority="113" operator="lessThan">
      <formula>F$12</formula>
    </cfRule>
  </conditionalFormatting>
  <conditionalFormatting sqref="F13">
    <cfRule type="cellIs" dxfId="2" priority="114" operator="greaterThanOrEqual">
      <formula>F$12</formula>
    </cfRule>
  </conditionalFormatting>
  <conditionalFormatting sqref="G13">
    <cfRule type="cellIs" dxfId="0" priority="115" stopIfTrue="1" operator="equal">
      <formula>""</formula>
    </cfRule>
  </conditionalFormatting>
  <conditionalFormatting sqref="G13">
    <cfRule type="cellIs" dxfId="1" priority="116" operator="lessThan">
      <formula>G$12</formula>
    </cfRule>
  </conditionalFormatting>
  <conditionalFormatting sqref="G13">
    <cfRule type="cellIs" dxfId="2" priority="117" operator="greaterThanOrEqual">
      <formula>G$12</formula>
    </cfRule>
  </conditionalFormatting>
  <conditionalFormatting sqref="H13">
    <cfRule type="cellIs" dxfId="0" priority="118" stopIfTrue="1" operator="equal">
      <formula>""</formula>
    </cfRule>
  </conditionalFormatting>
  <conditionalFormatting sqref="H13">
    <cfRule type="cellIs" dxfId="1" priority="119" operator="lessThan">
      <formula>H$12</formula>
    </cfRule>
  </conditionalFormatting>
  <conditionalFormatting sqref="H13">
    <cfRule type="cellIs" dxfId="2" priority="120" operator="greaterThanOrEqual">
      <formula>H$12</formula>
    </cfRule>
  </conditionalFormatting>
  <conditionalFormatting sqref="I13">
    <cfRule type="cellIs" dxfId="0" priority="121" stopIfTrue="1" operator="equal">
      <formula>""</formula>
    </cfRule>
  </conditionalFormatting>
  <conditionalFormatting sqref="I13">
    <cfRule type="cellIs" dxfId="1" priority="122" operator="lessThan">
      <formula>I$12</formula>
    </cfRule>
  </conditionalFormatting>
  <conditionalFormatting sqref="I13">
    <cfRule type="cellIs" dxfId="2" priority="123" operator="greaterThanOrEqual">
      <formula>I$12</formula>
    </cfRule>
  </conditionalFormatting>
  <conditionalFormatting sqref="J13">
    <cfRule type="cellIs" dxfId="0" priority="124" stopIfTrue="1" operator="equal">
      <formula>""</formula>
    </cfRule>
  </conditionalFormatting>
  <conditionalFormatting sqref="J13">
    <cfRule type="cellIs" dxfId="1" priority="125" operator="lessThan">
      <formula>J$12</formula>
    </cfRule>
  </conditionalFormatting>
  <conditionalFormatting sqref="J13">
    <cfRule type="cellIs" dxfId="2" priority="126" operator="greaterThanOrEqual">
      <formula>J$12</formula>
    </cfRule>
  </conditionalFormatting>
  <conditionalFormatting sqref="K13">
    <cfRule type="cellIs" dxfId="0" priority="127" stopIfTrue="1" operator="equal">
      <formula>""</formula>
    </cfRule>
  </conditionalFormatting>
  <conditionalFormatting sqref="K13">
    <cfRule type="cellIs" dxfId="1" priority="128" operator="lessThan">
      <formula>K$12</formula>
    </cfRule>
  </conditionalFormatting>
  <conditionalFormatting sqref="K13">
    <cfRule type="cellIs" dxfId="2" priority="129" operator="greaterThanOrEqual">
      <formula>K$12</formula>
    </cfRule>
  </conditionalFormatting>
  <conditionalFormatting sqref="L13">
    <cfRule type="cellIs" dxfId="0" priority="130" stopIfTrue="1" operator="equal">
      <formula>""</formula>
    </cfRule>
  </conditionalFormatting>
  <conditionalFormatting sqref="L13">
    <cfRule type="cellIs" dxfId="1" priority="131" operator="lessThan">
      <formula>L$12</formula>
    </cfRule>
  </conditionalFormatting>
  <conditionalFormatting sqref="L13">
    <cfRule type="cellIs" dxfId="2" priority="132" operator="greaterThanOrEqual">
      <formula>L$12</formula>
    </cfRule>
  </conditionalFormatting>
  <conditionalFormatting sqref="M13">
    <cfRule type="cellIs" dxfId="0" priority="133" stopIfTrue="1" operator="equal">
      <formula>""</formula>
    </cfRule>
  </conditionalFormatting>
  <conditionalFormatting sqref="M13">
    <cfRule type="cellIs" dxfId="1" priority="134" operator="lessThan">
      <formula>M$12</formula>
    </cfRule>
  </conditionalFormatting>
  <conditionalFormatting sqref="M13">
    <cfRule type="cellIs" dxfId="2" priority="135" operator="greaterThanOrEqual">
      <formula>M$12</formula>
    </cfRule>
  </conditionalFormatting>
  <conditionalFormatting sqref="N13">
    <cfRule type="cellIs" dxfId="0" priority="136" stopIfTrue="1" operator="equal">
      <formula>""</formula>
    </cfRule>
  </conditionalFormatting>
  <conditionalFormatting sqref="N13">
    <cfRule type="cellIs" dxfId="1" priority="137" operator="lessThan">
      <formula>N$12</formula>
    </cfRule>
  </conditionalFormatting>
  <conditionalFormatting sqref="N13">
    <cfRule type="cellIs" dxfId="2" priority="138" operator="greaterThanOrEqual">
      <formula>N$12</formula>
    </cfRule>
  </conditionalFormatting>
  <conditionalFormatting sqref="O13">
    <cfRule type="cellIs" dxfId="0" priority="139" stopIfTrue="1" operator="equal">
      <formula>""</formula>
    </cfRule>
  </conditionalFormatting>
  <conditionalFormatting sqref="O13">
    <cfRule type="cellIs" dxfId="1" priority="140" operator="lessThan">
      <formula>O$12</formula>
    </cfRule>
  </conditionalFormatting>
  <conditionalFormatting sqref="O13">
    <cfRule type="cellIs" dxfId="2" priority="141" operator="greaterThanOrEqual">
      <formula>O$12</formula>
    </cfRule>
  </conditionalFormatting>
  <conditionalFormatting sqref="P13">
    <cfRule type="cellIs" dxfId="0" priority="142" stopIfTrue="1" operator="equal">
      <formula>""</formula>
    </cfRule>
  </conditionalFormatting>
  <conditionalFormatting sqref="P13">
    <cfRule type="cellIs" dxfId="1" priority="143" operator="lessThan">
      <formula>P$12</formula>
    </cfRule>
  </conditionalFormatting>
  <conditionalFormatting sqref="P13">
    <cfRule type="cellIs" dxfId="2" priority="144" operator="greaterThanOrEqual">
      <formula>P$12</formula>
    </cfRule>
  </conditionalFormatting>
  <conditionalFormatting sqref="E15">
    <cfRule type="cellIs" dxfId="0" priority="145" stopIfTrue="1" operator="equal">
      <formula>""</formula>
    </cfRule>
  </conditionalFormatting>
  <conditionalFormatting sqref="E15">
    <cfRule type="cellIs" dxfId="1" priority="146" operator="lessThan">
      <formula>E$14</formula>
    </cfRule>
  </conditionalFormatting>
  <conditionalFormatting sqref="E15">
    <cfRule type="cellIs" dxfId="2" priority="147" operator="greaterThanOrEqual">
      <formula>E$14</formula>
    </cfRule>
  </conditionalFormatting>
  <conditionalFormatting sqref="F15">
    <cfRule type="cellIs" dxfId="0" priority="148" stopIfTrue="1" operator="equal">
      <formula>""</formula>
    </cfRule>
  </conditionalFormatting>
  <conditionalFormatting sqref="F15">
    <cfRule type="cellIs" dxfId="1" priority="149" operator="lessThan">
      <formula>F$14</formula>
    </cfRule>
  </conditionalFormatting>
  <conditionalFormatting sqref="F15">
    <cfRule type="cellIs" dxfId="2" priority="150" operator="greaterThanOrEqual">
      <formula>F$14</formula>
    </cfRule>
  </conditionalFormatting>
  <conditionalFormatting sqref="G15">
    <cfRule type="cellIs" dxfId="0" priority="151" stopIfTrue="1" operator="equal">
      <formula>""</formula>
    </cfRule>
  </conditionalFormatting>
  <conditionalFormatting sqref="G15">
    <cfRule type="cellIs" dxfId="1" priority="152" operator="lessThan">
      <formula>G$14</formula>
    </cfRule>
  </conditionalFormatting>
  <conditionalFormatting sqref="G15">
    <cfRule type="cellIs" dxfId="2" priority="153" operator="greaterThanOrEqual">
      <formula>G$14</formula>
    </cfRule>
  </conditionalFormatting>
  <conditionalFormatting sqref="H15">
    <cfRule type="cellIs" dxfId="0" priority="154" stopIfTrue="1" operator="equal">
      <formula>""</formula>
    </cfRule>
  </conditionalFormatting>
  <conditionalFormatting sqref="H15">
    <cfRule type="cellIs" dxfId="1" priority="155" operator="lessThan">
      <formula>H$14</formula>
    </cfRule>
  </conditionalFormatting>
  <conditionalFormatting sqref="H15">
    <cfRule type="cellIs" dxfId="2" priority="156" operator="greaterThanOrEqual">
      <formula>H$14</formula>
    </cfRule>
  </conditionalFormatting>
  <conditionalFormatting sqref="I15">
    <cfRule type="cellIs" dxfId="0" priority="157" stopIfTrue="1" operator="equal">
      <formula>""</formula>
    </cfRule>
  </conditionalFormatting>
  <conditionalFormatting sqref="I15">
    <cfRule type="cellIs" dxfId="1" priority="158" operator="lessThan">
      <formula>I$14</formula>
    </cfRule>
  </conditionalFormatting>
  <conditionalFormatting sqref="I15">
    <cfRule type="cellIs" dxfId="2" priority="159" operator="greaterThanOrEqual">
      <formula>I$14</formula>
    </cfRule>
  </conditionalFormatting>
  <conditionalFormatting sqref="J15">
    <cfRule type="cellIs" dxfId="0" priority="160" stopIfTrue="1" operator="equal">
      <formula>""</formula>
    </cfRule>
  </conditionalFormatting>
  <conditionalFormatting sqref="J15">
    <cfRule type="cellIs" dxfId="1" priority="161" operator="lessThan">
      <formula>J$14</formula>
    </cfRule>
  </conditionalFormatting>
  <conditionalFormatting sqref="J15">
    <cfRule type="cellIs" dxfId="2" priority="162" operator="greaterThanOrEqual">
      <formula>J$14</formula>
    </cfRule>
  </conditionalFormatting>
  <conditionalFormatting sqref="K15">
    <cfRule type="cellIs" dxfId="0" priority="163" stopIfTrue="1" operator="equal">
      <formula>""</formula>
    </cfRule>
  </conditionalFormatting>
  <conditionalFormatting sqref="K15">
    <cfRule type="cellIs" dxfId="1" priority="164" operator="lessThan">
      <formula>K$14</formula>
    </cfRule>
  </conditionalFormatting>
  <conditionalFormatting sqref="K15">
    <cfRule type="cellIs" dxfId="2" priority="165" operator="greaterThanOrEqual">
      <formula>K$14</formula>
    </cfRule>
  </conditionalFormatting>
  <conditionalFormatting sqref="L15">
    <cfRule type="cellIs" dxfId="0" priority="166" stopIfTrue="1" operator="equal">
      <formula>""</formula>
    </cfRule>
  </conditionalFormatting>
  <conditionalFormatting sqref="L15">
    <cfRule type="cellIs" dxfId="1" priority="167" operator="lessThan">
      <formula>L$14</formula>
    </cfRule>
  </conditionalFormatting>
  <conditionalFormatting sqref="L15">
    <cfRule type="cellIs" dxfId="2" priority="168" operator="greaterThanOrEqual">
      <formula>L$14</formula>
    </cfRule>
  </conditionalFormatting>
  <conditionalFormatting sqref="M15">
    <cfRule type="cellIs" dxfId="0" priority="169" stopIfTrue="1" operator="equal">
      <formula>""</formula>
    </cfRule>
  </conditionalFormatting>
  <conditionalFormatting sqref="M15">
    <cfRule type="cellIs" dxfId="1" priority="170" operator="lessThan">
      <formula>M$14</formula>
    </cfRule>
  </conditionalFormatting>
  <conditionalFormatting sqref="M15">
    <cfRule type="cellIs" dxfId="2" priority="171" operator="greaterThanOrEqual">
      <formula>M$14</formula>
    </cfRule>
  </conditionalFormatting>
  <conditionalFormatting sqref="N15">
    <cfRule type="cellIs" dxfId="0" priority="172" stopIfTrue="1" operator="equal">
      <formula>""</formula>
    </cfRule>
  </conditionalFormatting>
  <conditionalFormatting sqref="N15">
    <cfRule type="cellIs" dxfId="1" priority="173" operator="lessThan">
      <formula>N$14</formula>
    </cfRule>
  </conditionalFormatting>
  <conditionalFormatting sqref="N15">
    <cfRule type="cellIs" dxfId="2" priority="174" operator="greaterThanOrEqual">
      <formula>N$14</formula>
    </cfRule>
  </conditionalFormatting>
  <conditionalFormatting sqref="O15">
    <cfRule type="cellIs" dxfId="0" priority="175" stopIfTrue="1" operator="equal">
      <formula>""</formula>
    </cfRule>
  </conditionalFormatting>
  <conditionalFormatting sqref="O15">
    <cfRule type="cellIs" dxfId="1" priority="176" operator="lessThan">
      <formula>O$14</formula>
    </cfRule>
  </conditionalFormatting>
  <conditionalFormatting sqref="O15">
    <cfRule type="cellIs" dxfId="2" priority="177" operator="greaterThanOrEqual">
      <formula>O$14</formula>
    </cfRule>
  </conditionalFormatting>
  <conditionalFormatting sqref="P15">
    <cfRule type="cellIs" dxfId="0" priority="178" stopIfTrue="1" operator="equal">
      <formula>""</formula>
    </cfRule>
  </conditionalFormatting>
  <conditionalFormatting sqref="P15">
    <cfRule type="cellIs" dxfId="1" priority="179" operator="lessThan">
      <formula>P$14</formula>
    </cfRule>
  </conditionalFormatting>
  <conditionalFormatting sqref="P15">
    <cfRule type="cellIs" dxfId="2" priority="180" operator="greaterThanOrEqual">
      <formula>P$14</formula>
    </cfRule>
  </conditionalFormatting>
  <conditionalFormatting sqref="E7">
    <cfRule type="cellIs" dxfId="0" priority="181" stopIfTrue="1" operator="equal">
      <formula>""</formula>
    </cfRule>
  </conditionalFormatting>
  <conditionalFormatting sqref="E7">
    <cfRule type="cellIs" dxfId="2" priority="182" operator="lessThanOrEqual">
      <formula>E$6</formula>
    </cfRule>
  </conditionalFormatting>
  <conditionalFormatting sqref="E7">
    <cfRule type="cellIs" dxfId="1" priority="183" operator="greaterThan">
      <formula>E$6</formula>
    </cfRule>
  </conditionalFormatting>
  <conditionalFormatting sqref="F7">
    <cfRule type="cellIs" dxfId="0" priority="184" stopIfTrue="1" operator="equal">
      <formula>""</formula>
    </cfRule>
  </conditionalFormatting>
  <conditionalFormatting sqref="F7">
    <cfRule type="cellIs" dxfId="2" priority="185" operator="lessThanOrEqual">
      <formula>F$6</formula>
    </cfRule>
  </conditionalFormatting>
  <conditionalFormatting sqref="F7">
    <cfRule type="cellIs" dxfId="1" priority="186" operator="greaterThan">
      <formula>F$6</formula>
    </cfRule>
  </conditionalFormatting>
  <conditionalFormatting sqref="G7">
    <cfRule type="cellIs" dxfId="0" priority="187" stopIfTrue="1" operator="equal">
      <formula>""</formula>
    </cfRule>
  </conditionalFormatting>
  <conditionalFormatting sqref="G7">
    <cfRule type="cellIs" dxfId="2" priority="188" operator="lessThanOrEqual">
      <formula>G$6</formula>
    </cfRule>
  </conditionalFormatting>
  <conditionalFormatting sqref="G7">
    <cfRule type="cellIs" dxfId="1" priority="189" operator="greaterThan">
      <formula>G$6</formula>
    </cfRule>
  </conditionalFormatting>
  <conditionalFormatting sqref="H7">
    <cfRule type="cellIs" dxfId="0" priority="190" stopIfTrue="1" operator="equal">
      <formula>""</formula>
    </cfRule>
  </conditionalFormatting>
  <conditionalFormatting sqref="H7">
    <cfRule type="cellIs" dxfId="2" priority="191" operator="lessThanOrEqual">
      <formula>H$6</formula>
    </cfRule>
  </conditionalFormatting>
  <conditionalFormatting sqref="H7">
    <cfRule type="cellIs" dxfId="1" priority="192" operator="greaterThan">
      <formula>H$6</formula>
    </cfRule>
  </conditionalFormatting>
  <conditionalFormatting sqref="I7">
    <cfRule type="cellIs" dxfId="0" priority="193" stopIfTrue="1" operator="equal">
      <formula>""</formula>
    </cfRule>
  </conditionalFormatting>
  <conditionalFormatting sqref="I7">
    <cfRule type="cellIs" dxfId="2" priority="194" operator="lessThanOrEqual">
      <formula>I$6</formula>
    </cfRule>
  </conditionalFormatting>
  <conditionalFormatting sqref="I7">
    <cfRule type="cellIs" dxfId="1" priority="195" operator="greaterThan">
      <formula>I$6</formula>
    </cfRule>
  </conditionalFormatting>
  <conditionalFormatting sqref="J7">
    <cfRule type="cellIs" dxfId="0" priority="196" stopIfTrue="1" operator="equal">
      <formula>""</formula>
    </cfRule>
  </conditionalFormatting>
  <conditionalFormatting sqref="J7">
    <cfRule type="cellIs" dxfId="2" priority="197" operator="lessThanOrEqual">
      <formula>J$6</formula>
    </cfRule>
  </conditionalFormatting>
  <conditionalFormatting sqref="J7">
    <cfRule type="cellIs" dxfId="1" priority="198" operator="greaterThan">
      <formula>J$6</formula>
    </cfRule>
  </conditionalFormatting>
  <conditionalFormatting sqref="K7">
    <cfRule type="cellIs" dxfId="0" priority="199" stopIfTrue="1" operator="equal">
      <formula>""</formula>
    </cfRule>
  </conditionalFormatting>
  <conditionalFormatting sqref="K7">
    <cfRule type="cellIs" dxfId="2" priority="200" operator="lessThanOrEqual">
      <formula>K$6</formula>
    </cfRule>
  </conditionalFormatting>
  <conditionalFormatting sqref="K7">
    <cfRule type="cellIs" dxfId="1" priority="201" operator="greaterThan">
      <formula>K$6</formula>
    </cfRule>
  </conditionalFormatting>
  <conditionalFormatting sqref="L7">
    <cfRule type="cellIs" dxfId="0" priority="202" stopIfTrue="1" operator="equal">
      <formula>""</formula>
    </cfRule>
  </conditionalFormatting>
  <conditionalFormatting sqref="L7">
    <cfRule type="cellIs" dxfId="2" priority="203" operator="lessThanOrEqual">
      <formula>L$6</formula>
    </cfRule>
  </conditionalFormatting>
  <conditionalFormatting sqref="L7">
    <cfRule type="cellIs" dxfId="1" priority="204" operator="greaterThan">
      <formula>L$6</formula>
    </cfRule>
  </conditionalFormatting>
  <conditionalFormatting sqref="M7">
    <cfRule type="cellIs" dxfId="0" priority="205" stopIfTrue="1" operator="equal">
      <formula>""</formula>
    </cfRule>
  </conditionalFormatting>
  <conditionalFormatting sqref="M7">
    <cfRule type="cellIs" dxfId="2" priority="206" operator="lessThanOrEqual">
      <formula>M$6</formula>
    </cfRule>
  </conditionalFormatting>
  <conditionalFormatting sqref="M7">
    <cfRule type="cellIs" dxfId="1" priority="207" operator="greaterThan">
      <formula>M$6</formula>
    </cfRule>
  </conditionalFormatting>
  <conditionalFormatting sqref="N7">
    <cfRule type="cellIs" dxfId="0" priority="208" stopIfTrue="1" operator="equal">
      <formula>""</formula>
    </cfRule>
  </conditionalFormatting>
  <conditionalFormatting sqref="N7">
    <cfRule type="cellIs" dxfId="2" priority="209" operator="lessThanOrEqual">
      <formula>N$6</formula>
    </cfRule>
  </conditionalFormatting>
  <conditionalFormatting sqref="N7">
    <cfRule type="cellIs" dxfId="1" priority="210" operator="greaterThan">
      <formula>N$6</formula>
    </cfRule>
  </conditionalFormatting>
  <conditionalFormatting sqref="O7">
    <cfRule type="cellIs" dxfId="0" priority="211" stopIfTrue="1" operator="equal">
      <formula>""</formula>
    </cfRule>
  </conditionalFormatting>
  <conditionalFormatting sqref="O7">
    <cfRule type="cellIs" dxfId="2" priority="212" operator="lessThanOrEqual">
      <formula>O$6</formula>
    </cfRule>
  </conditionalFormatting>
  <conditionalFormatting sqref="O7">
    <cfRule type="cellIs" dxfId="1" priority="213" operator="greaterThan">
      <formula>O$6</formula>
    </cfRule>
  </conditionalFormatting>
  <conditionalFormatting sqref="P7">
    <cfRule type="cellIs" dxfId="0" priority="214" stopIfTrue="1" operator="equal">
      <formula>""</formula>
    </cfRule>
  </conditionalFormatting>
  <conditionalFormatting sqref="P7">
    <cfRule type="cellIs" dxfId="2" priority="215" operator="lessThanOrEqual">
      <formula>P$6</formula>
    </cfRule>
  </conditionalFormatting>
  <conditionalFormatting sqref="P7">
    <cfRule type="cellIs" dxfId="1" priority="216" operator="greaterThan">
      <formula>P$6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6.14"/>
    <col customWidth="1" min="2" max="14" width="11.29"/>
    <col customWidth="1" min="15" max="26" width="8.71"/>
  </cols>
  <sheetData>
    <row r="1" ht="35.25" customHeight="1">
      <c r="A1" s="36" t="s">
        <v>27</v>
      </c>
      <c r="B1" s="5"/>
      <c r="C1" s="5"/>
      <c r="D1" s="5"/>
      <c r="E1" s="6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37" t="s">
        <v>28</v>
      </c>
      <c r="B2" s="38" t="s">
        <v>29</v>
      </c>
      <c r="C2" s="39"/>
      <c r="D2" s="39"/>
      <c r="E2" s="4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9.75" customHeight="1">
      <c r="A3" s="41" t="s">
        <v>30</v>
      </c>
      <c r="B3" s="42" t="s">
        <v>31</v>
      </c>
      <c r="C3" s="43"/>
      <c r="D3" s="43"/>
      <c r="E3" s="4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63.0" customHeight="1">
      <c r="A4" s="41" t="s">
        <v>32</v>
      </c>
      <c r="B4" s="42" t="s">
        <v>33</v>
      </c>
      <c r="C4" s="43"/>
      <c r="D4" s="43"/>
      <c r="E4" s="4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1" t="s">
        <v>34</v>
      </c>
      <c r="B5" s="45" t="s">
        <v>35</v>
      </c>
      <c r="C5" s="43"/>
      <c r="D5" s="43"/>
      <c r="E5" s="4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1" t="s">
        <v>36</v>
      </c>
      <c r="B6" s="46" t="s">
        <v>37</v>
      </c>
      <c r="C6" s="43"/>
      <c r="D6" s="43"/>
      <c r="E6" s="4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1" t="s">
        <v>38</v>
      </c>
      <c r="B7" s="46" t="s">
        <v>37</v>
      </c>
      <c r="C7" s="43"/>
      <c r="D7" s="43"/>
      <c r="E7" s="4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1" t="s">
        <v>39</v>
      </c>
      <c r="B8" s="46" t="s">
        <v>37</v>
      </c>
      <c r="C8" s="43"/>
      <c r="D8" s="43"/>
      <c r="E8" s="4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47" t="s">
        <v>40</v>
      </c>
      <c r="B9" s="48" t="s">
        <v>37</v>
      </c>
      <c r="C9" s="49"/>
      <c r="D9" s="49"/>
      <c r="E9" s="50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1.25" customHeight="1">
      <c r="A10" s="51"/>
      <c r="B10" s="5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3.25" customHeight="1">
      <c r="A11" s="52" t="s">
        <v>41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53" t="s">
        <v>42</v>
      </c>
      <c r="B12" s="54" t="s">
        <v>43</v>
      </c>
      <c r="C12" s="39"/>
      <c r="D12" s="39"/>
      <c r="E12" s="39"/>
      <c r="F12" s="39"/>
      <c r="G12" s="39"/>
      <c r="H12" s="39"/>
      <c r="I12" s="39"/>
      <c r="J12" s="39"/>
      <c r="K12" s="55"/>
      <c r="L12" s="56" t="s">
        <v>44</v>
      </c>
      <c r="M12" s="54">
        <v>2016.0</v>
      </c>
      <c r="N12" s="40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7" t="s">
        <v>45</v>
      </c>
      <c r="B13" s="58" t="s">
        <v>46</v>
      </c>
      <c r="C13" s="59" t="s">
        <v>47</v>
      </c>
      <c r="D13" s="59" t="s">
        <v>48</v>
      </c>
      <c r="E13" s="59" t="s">
        <v>49</v>
      </c>
      <c r="F13" s="59" t="s">
        <v>50</v>
      </c>
      <c r="G13" s="59" t="s">
        <v>51</v>
      </c>
      <c r="H13" s="59" t="s">
        <v>52</v>
      </c>
      <c r="I13" s="59" t="s">
        <v>53</v>
      </c>
      <c r="J13" s="59" t="s">
        <v>54</v>
      </c>
      <c r="K13" s="59" t="s">
        <v>55</v>
      </c>
      <c r="L13" s="59" t="s">
        <v>56</v>
      </c>
      <c r="M13" s="59" t="s">
        <v>57</v>
      </c>
      <c r="N13" s="60" t="s">
        <v>58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6.25" customHeight="1">
      <c r="A14" s="61" t="s">
        <v>59</v>
      </c>
      <c r="B14" s="62">
        <f t="shared" ref="B14:B15" si="1">SUM(C14:N14)</f>
        <v>39</v>
      </c>
      <c r="C14" s="63">
        <v>18.0</v>
      </c>
      <c r="D14" s="64">
        <v>21.0</v>
      </c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3.25" customHeight="1">
      <c r="A15" s="65" t="s">
        <v>60</v>
      </c>
      <c r="B15" s="62">
        <f t="shared" si="1"/>
        <v>44</v>
      </c>
      <c r="C15" s="66">
        <v>20.0</v>
      </c>
      <c r="D15" s="67">
        <v>24.0</v>
      </c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68" t="s">
        <v>61</v>
      </c>
      <c r="B16" s="69">
        <f>B14/B15</f>
        <v>0.8863636364</v>
      </c>
      <c r="C16" s="70">
        <f t="shared" ref="C16:N16" si="2">IF(C15="","",(C14/C15))</f>
        <v>0.9</v>
      </c>
      <c r="D16" s="70">
        <f t="shared" si="2"/>
        <v>0.875</v>
      </c>
      <c r="E16" s="70" t="str">
        <f t="shared" si="2"/>
        <v/>
      </c>
      <c r="F16" s="70" t="str">
        <f t="shared" si="2"/>
        <v/>
      </c>
      <c r="G16" s="70" t="str">
        <f t="shared" si="2"/>
        <v/>
      </c>
      <c r="H16" s="70" t="str">
        <f t="shared" si="2"/>
        <v/>
      </c>
      <c r="I16" s="70" t="str">
        <f t="shared" si="2"/>
        <v/>
      </c>
      <c r="J16" s="70" t="str">
        <f t="shared" si="2"/>
        <v/>
      </c>
      <c r="K16" s="70" t="str">
        <f t="shared" si="2"/>
        <v/>
      </c>
      <c r="L16" s="70" t="str">
        <f t="shared" si="2"/>
        <v/>
      </c>
      <c r="M16" s="70" t="str">
        <f t="shared" si="2"/>
        <v/>
      </c>
      <c r="N16" s="71" t="str">
        <f t="shared" si="2"/>
        <v/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B8:E8"/>
    <mergeCell ref="B9:E9"/>
    <mergeCell ref="A11:N11"/>
    <mergeCell ref="B12:K12"/>
    <mergeCell ref="M12:N12"/>
    <mergeCell ref="A1:E1"/>
    <mergeCell ref="B2:E2"/>
    <mergeCell ref="B3:E3"/>
    <mergeCell ref="B4:E4"/>
    <mergeCell ref="B5:E5"/>
    <mergeCell ref="B6:E6"/>
    <mergeCell ref="B7:E7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6.14"/>
    <col customWidth="1" min="2" max="14" width="11.29"/>
    <col customWidth="1" min="15" max="26" width="8.71"/>
  </cols>
  <sheetData>
    <row r="1" ht="35.25" customHeight="1">
      <c r="A1" s="36" t="s">
        <v>27</v>
      </c>
      <c r="B1" s="5"/>
      <c r="C1" s="5"/>
      <c r="D1" s="5"/>
      <c r="E1" s="6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37" t="s">
        <v>28</v>
      </c>
      <c r="B2" s="38" t="s">
        <v>7</v>
      </c>
      <c r="C2" s="39"/>
      <c r="D2" s="39"/>
      <c r="E2" s="4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9.75" customHeight="1">
      <c r="A3" s="41" t="s">
        <v>30</v>
      </c>
      <c r="B3" s="42" t="s">
        <v>31</v>
      </c>
      <c r="C3" s="43"/>
      <c r="D3" s="43"/>
      <c r="E3" s="4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9.5" customHeight="1">
      <c r="A4" s="41" t="s">
        <v>32</v>
      </c>
      <c r="B4" s="72" t="s">
        <v>62</v>
      </c>
      <c r="C4" s="43"/>
      <c r="D4" s="43"/>
      <c r="E4" s="4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1" t="s">
        <v>34</v>
      </c>
      <c r="B5" s="45" t="s">
        <v>35</v>
      </c>
      <c r="C5" s="43"/>
      <c r="D5" s="43"/>
      <c r="E5" s="4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1" t="s">
        <v>36</v>
      </c>
      <c r="B6" s="46" t="s">
        <v>37</v>
      </c>
      <c r="C6" s="43"/>
      <c r="D6" s="43"/>
      <c r="E6" s="4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1" t="s">
        <v>38</v>
      </c>
      <c r="B7" s="46" t="s">
        <v>37</v>
      </c>
      <c r="C7" s="43"/>
      <c r="D7" s="43"/>
      <c r="E7" s="4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1" t="s">
        <v>39</v>
      </c>
      <c r="B8" s="46" t="s">
        <v>37</v>
      </c>
      <c r="C8" s="43"/>
      <c r="D8" s="43"/>
      <c r="E8" s="4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47" t="s">
        <v>40</v>
      </c>
      <c r="B9" s="48" t="s">
        <v>37</v>
      </c>
      <c r="C9" s="49"/>
      <c r="D9" s="49"/>
      <c r="E9" s="50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1.25" customHeight="1">
      <c r="A10" s="51"/>
      <c r="B10" s="5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3.25" customHeight="1">
      <c r="A11" s="52" t="s">
        <v>41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53" t="s">
        <v>42</v>
      </c>
      <c r="B12" s="54" t="s">
        <v>43</v>
      </c>
      <c r="C12" s="39"/>
      <c r="D12" s="39"/>
      <c r="E12" s="39"/>
      <c r="F12" s="39"/>
      <c r="G12" s="39"/>
      <c r="H12" s="39"/>
      <c r="I12" s="39"/>
      <c r="J12" s="39"/>
      <c r="K12" s="55"/>
      <c r="L12" s="56" t="s">
        <v>44</v>
      </c>
      <c r="M12" s="54">
        <v>2016.0</v>
      </c>
      <c r="N12" s="40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7" t="s">
        <v>45</v>
      </c>
      <c r="B13" s="58" t="s">
        <v>46</v>
      </c>
      <c r="C13" s="59" t="s">
        <v>47</v>
      </c>
      <c r="D13" s="59" t="s">
        <v>48</v>
      </c>
      <c r="E13" s="59" t="s">
        <v>49</v>
      </c>
      <c r="F13" s="59" t="s">
        <v>50</v>
      </c>
      <c r="G13" s="59" t="s">
        <v>51</v>
      </c>
      <c r="H13" s="59" t="s">
        <v>52</v>
      </c>
      <c r="I13" s="59" t="s">
        <v>53</v>
      </c>
      <c r="J13" s="59" t="s">
        <v>54</v>
      </c>
      <c r="K13" s="59" t="s">
        <v>55</v>
      </c>
      <c r="L13" s="59" t="s">
        <v>56</v>
      </c>
      <c r="M13" s="59" t="s">
        <v>57</v>
      </c>
      <c r="N13" s="60" t="s">
        <v>58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6.25" customHeight="1">
      <c r="A14" s="61" t="s">
        <v>63</v>
      </c>
      <c r="B14" s="62">
        <f t="shared" ref="B14:B15" si="1">SUM(C14:N14)</f>
        <v>0</v>
      </c>
      <c r="C14" s="63">
        <v>0.0</v>
      </c>
      <c r="D14" s="64">
        <v>0.0</v>
      </c>
      <c r="E14" s="64"/>
      <c r="F14" s="64"/>
      <c r="G14" s="64"/>
      <c r="H14" s="64"/>
      <c r="I14" s="64"/>
      <c r="J14" s="64"/>
      <c r="K14" s="64"/>
      <c r="L14" s="64"/>
      <c r="M14" s="64"/>
      <c r="N14" s="7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3.25" customHeight="1">
      <c r="A15" s="65" t="s">
        <v>64</v>
      </c>
      <c r="B15" s="62">
        <f t="shared" si="1"/>
        <v>8</v>
      </c>
      <c r="C15" s="66">
        <v>6.0</v>
      </c>
      <c r="D15" s="67">
        <v>2.0</v>
      </c>
      <c r="E15" s="67"/>
      <c r="F15" s="67"/>
      <c r="G15" s="67"/>
      <c r="H15" s="67"/>
      <c r="I15" s="67"/>
      <c r="J15" s="67"/>
      <c r="K15" s="67"/>
      <c r="L15" s="67"/>
      <c r="M15" s="67"/>
      <c r="N15" s="74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68" t="s">
        <v>65</v>
      </c>
      <c r="B16" s="69">
        <f>B14/B15</f>
        <v>0</v>
      </c>
      <c r="C16" s="70">
        <f t="shared" ref="C16:N16" si="2">IF(C15="","",(C14/C15))</f>
        <v>0</v>
      </c>
      <c r="D16" s="70">
        <f t="shared" si="2"/>
        <v>0</v>
      </c>
      <c r="E16" s="70" t="str">
        <f t="shared" si="2"/>
        <v/>
      </c>
      <c r="F16" s="70" t="str">
        <f t="shared" si="2"/>
        <v/>
      </c>
      <c r="G16" s="70" t="str">
        <f t="shared" si="2"/>
        <v/>
      </c>
      <c r="H16" s="70" t="str">
        <f t="shared" si="2"/>
        <v/>
      </c>
      <c r="I16" s="70" t="str">
        <f t="shared" si="2"/>
        <v/>
      </c>
      <c r="J16" s="70" t="str">
        <f t="shared" si="2"/>
        <v/>
      </c>
      <c r="K16" s="70" t="str">
        <f t="shared" si="2"/>
        <v/>
      </c>
      <c r="L16" s="70" t="str">
        <f t="shared" si="2"/>
        <v/>
      </c>
      <c r="M16" s="70" t="str">
        <f t="shared" si="2"/>
        <v/>
      </c>
      <c r="N16" s="71" t="str">
        <f t="shared" si="2"/>
        <v/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B8:E8"/>
    <mergeCell ref="B9:E9"/>
    <mergeCell ref="A11:N11"/>
    <mergeCell ref="B12:K12"/>
    <mergeCell ref="M12:N12"/>
    <mergeCell ref="A1:E1"/>
    <mergeCell ref="B2:E2"/>
    <mergeCell ref="B3:E3"/>
    <mergeCell ref="B4:E4"/>
    <mergeCell ref="B5:E5"/>
    <mergeCell ref="B6:E6"/>
    <mergeCell ref="B7:E7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6.14"/>
    <col customWidth="1" min="2" max="14" width="11.29"/>
    <col customWidth="1" min="15" max="26" width="8.71"/>
  </cols>
  <sheetData>
    <row r="1" ht="35.25" customHeight="1">
      <c r="A1" s="36" t="s">
        <v>27</v>
      </c>
      <c r="B1" s="5"/>
      <c r="C1" s="5"/>
      <c r="D1" s="5"/>
      <c r="E1" s="6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37" t="s">
        <v>28</v>
      </c>
      <c r="B2" s="38" t="s">
        <v>66</v>
      </c>
      <c r="C2" s="39"/>
      <c r="D2" s="39"/>
      <c r="E2" s="4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9.75" customHeight="1">
      <c r="A3" s="41" t="s">
        <v>30</v>
      </c>
      <c r="B3" s="42" t="s">
        <v>67</v>
      </c>
      <c r="C3" s="43"/>
      <c r="D3" s="43"/>
      <c r="E3" s="4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7.25" customHeight="1">
      <c r="A4" s="41" t="s">
        <v>32</v>
      </c>
      <c r="B4" s="42" t="s">
        <v>68</v>
      </c>
      <c r="C4" s="43"/>
      <c r="D4" s="43"/>
      <c r="E4" s="4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1" t="s">
        <v>34</v>
      </c>
      <c r="B5" s="45" t="s">
        <v>69</v>
      </c>
      <c r="C5" s="43"/>
      <c r="D5" s="43"/>
      <c r="E5" s="4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1" t="s">
        <v>36</v>
      </c>
      <c r="B6" s="46" t="s">
        <v>37</v>
      </c>
      <c r="C6" s="43"/>
      <c r="D6" s="43"/>
      <c r="E6" s="4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1" t="s">
        <v>38</v>
      </c>
      <c r="B7" s="46" t="s">
        <v>37</v>
      </c>
      <c r="C7" s="43"/>
      <c r="D7" s="43"/>
      <c r="E7" s="4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1" t="s">
        <v>39</v>
      </c>
      <c r="B8" s="46" t="s">
        <v>37</v>
      </c>
      <c r="C8" s="43"/>
      <c r="D8" s="43"/>
      <c r="E8" s="4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47" t="s">
        <v>40</v>
      </c>
      <c r="B9" s="48" t="s">
        <v>37</v>
      </c>
      <c r="C9" s="49"/>
      <c r="D9" s="49"/>
      <c r="E9" s="50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1.25" customHeight="1">
      <c r="A10" s="51"/>
      <c r="B10" s="5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3.25" customHeight="1">
      <c r="A11" s="52" t="s">
        <v>41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53" t="s">
        <v>42</v>
      </c>
      <c r="B12" s="54" t="s">
        <v>43</v>
      </c>
      <c r="C12" s="39"/>
      <c r="D12" s="39"/>
      <c r="E12" s="39"/>
      <c r="F12" s="39"/>
      <c r="G12" s="39"/>
      <c r="H12" s="39"/>
      <c r="I12" s="39"/>
      <c r="J12" s="39"/>
      <c r="K12" s="55"/>
      <c r="L12" s="56" t="s">
        <v>44</v>
      </c>
      <c r="M12" s="54">
        <v>2016.0</v>
      </c>
      <c r="N12" s="40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7" t="s">
        <v>45</v>
      </c>
      <c r="B13" s="58" t="s">
        <v>46</v>
      </c>
      <c r="C13" s="59" t="s">
        <v>47</v>
      </c>
      <c r="D13" s="59" t="s">
        <v>48</v>
      </c>
      <c r="E13" s="59" t="s">
        <v>49</v>
      </c>
      <c r="F13" s="59" t="s">
        <v>50</v>
      </c>
      <c r="G13" s="59" t="s">
        <v>51</v>
      </c>
      <c r="H13" s="59" t="s">
        <v>52</v>
      </c>
      <c r="I13" s="59" t="s">
        <v>53</v>
      </c>
      <c r="J13" s="59" t="s">
        <v>54</v>
      </c>
      <c r="K13" s="59" t="s">
        <v>55</v>
      </c>
      <c r="L13" s="59" t="s">
        <v>56</v>
      </c>
      <c r="M13" s="59" t="s">
        <v>57</v>
      </c>
      <c r="N13" s="60" t="s">
        <v>58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9.25" customHeight="1">
      <c r="A14" s="61" t="s">
        <v>70</v>
      </c>
      <c r="B14" s="62">
        <f>SUM(C14:N14)</f>
        <v>54</v>
      </c>
      <c r="C14" s="63">
        <v>24.0</v>
      </c>
      <c r="D14" s="64">
        <v>30.0</v>
      </c>
      <c r="E14" s="64"/>
      <c r="F14" s="64"/>
      <c r="G14" s="64"/>
      <c r="H14" s="64"/>
      <c r="I14" s="64"/>
      <c r="J14" s="64"/>
      <c r="K14" s="64"/>
      <c r="L14" s="64"/>
      <c r="M14" s="64"/>
      <c r="N14" s="7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9.25" customHeight="1">
      <c r="A15" s="65" t="s">
        <v>71</v>
      </c>
      <c r="B15" s="62">
        <f>AVERAGE(C15:N15)</f>
        <v>5.5</v>
      </c>
      <c r="C15" s="66">
        <v>5.0</v>
      </c>
      <c r="D15" s="67">
        <v>6.0</v>
      </c>
      <c r="E15" s="67"/>
      <c r="F15" s="67"/>
      <c r="G15" s="67"/>
      <c r="H15" s="67"/>
      <c r="I15" s="67"/>
      <c r="J15" s="67"/>
      <c r="K15" s="67"/>
      <c r="L15" s="67"/>
      <c r="M15" s="67"/>
      <c r="N15" s="74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1.25" customHeight="1">
      <c r="A16" s="68" t="s">
        <v>72</v>
      </c>
      <c r="B16" s="75">
        <f>B14/B15</f>
        <v>9.818181818</v>
      </c>
      <c r="C16" s="76">
        <f t="shared" ref="C16:N16" si="1">IF(C15="","",(C14/C15))</f>
        <v>4.8</v>
      </c>
      <c r="D16" s="76">
        <f t="shared" si="1"/>
        <v>5</v>
      </c>
      <c r="E16" s="76" t="str">
        <f t="shared" si="1"/>
        <v/>
      </c>
      <c r="F16" s="76" t="str">
        <f t="shared" si="1"/>
        <v/>
      </c>
      <c r="G16" s="76" t="str">
        <f t="shared" si="1"/>
        <v/>
      </c>
      <c r="H16" s="76" t="str">
        <f t="shared" si="1"/>
        <v/>
      </c>
      <c r="I16" s="76" t="str">
        <f t="shared" si="1"/>
        <v/>
      </c>
      <c r="J16" s="76" t="str">
        <f t="shared" si="1"/>
        <v/>
      </c>
      <c r="K16" s="76" t="str">
        <f t="shared" si="1"/>
        <v/>
      </c>
      <c r="L16" s="76" t="str">
        <f t="shared" si="1"/>
        <v/>
      </c>
      <c r="M16" s="76" t="str">
        <f t="shared" si="1"/>
        <v/>
      </c>
      <c r="N16" s="77" t="str">
        <f t="shared" si="1"/>
        <v/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B8:E8"/>
    <mergeCell ref="B9:E9"/>
    <mergeCell ref="A11:N11"/>
    <mergeCell ref="B12:K12"/>
    <mergeCell ref="M12:N12"/>
    <mergeCell ref="A1:E1"/>
    <mergeCell ref="B2:E2"/>
    <mergeCell ref="B3:E3"/>
    <mergeCell ref="B4:E4"/>
    <mergeCell ref="B5:E5"/>
    <mergeCell ref="B6:E6"/>
    <mergeCell ref="B7:E7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6.14"/>
    <col customWidth="1" min="2" max="14" width="11.29"/>
    <col customWidth="1" min="15" max="26" width="8.71"/>
  </cols>
  <sheetData>
    <row r="1" ht="35.25" customHeight="1">
      <c r="A1" s="36" t="s">
        <v>27</v>
      </c>
      <c r="B1" s="5"/>
      <c r="C1" s="5"/>
      <c r="D1" s="5"/>
      <c r="E1" s="6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7" t="s">
        <v>28</v>
      </c>
      <c r="B2" s="78" t="s">
        <v>9</v>
      </c>
      <c r="C2" s="39"/>
      <c r="D2" s="39"/>
      <c r="E2" s="4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9.0" customHeight="1">
      <c r="A3" s="41" t="s">
        <v>30</v>
      </c>
      <c r="B3" s="42" t="s">
        <v>73</v>
      </c>
      <c r="C3" s="43"/>
      <c r="D3" s="43"/>
      <c r="E3" s="4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8.25" customHeight="1">
      <c r="A4" s="41" t="s">
        <v>32</v>
      </c>
      <c r="B4" s="42" t="s">
        <v>74</v>
      </c>
      <c r="C4" s="43"/>
      <c r="D4" s="43"/>
      <c r="E4" s="4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1" t="s">
        <v>34</v>
      </c>
      <c r="B5" s="45" t="s">
        <v>75</v>
      </c>
      <c r="C5" s="43"/>
      <c r="D5" s="43"/>
      <c r="E5" s="4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1" t="s">
        <v>36</v>
      </c>
      <c r="B6" s="46" t="s">
        <v>37</v>
      </c>
      <c r="C6" s="43"/>
      <c r="D6" s="43"/>
      <c r="E6" s="4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1" t="s">
        <v>38</v>
      </c>
      <c r="B7" s="46" t="s">
        <v>37</v>
      </c>
      <c r="C7" s="43"/>
      <c r="D7" s="43"/>
      <c r="E7" s="4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1" t="s">
        <v>39</v>
      </c>
      <c r="B8" s="46" t="s">
        <v>37</v>
      </c>
      <c r="C8" s="43"/>
      <c r="D8" s="43"/>
      <c r="E8" s="4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47" t="s">
        <v>40</v>
      </c>
      <c r="B9" s="48" t="s">
        <v>37</v>
      </c>
      <c r="C9" s="49"/>
      <c r="D9" s="49"/>
      <c r="E9" s="50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1.25" customHeight="1">
      <c r="A10" s="51"/>
      <c r="B10" s="5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3.25" customHeight="1">
      <c r="A11" s="52" t="s">
        <v>41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53" t="s">
        <v>42</v>
      </c>
      <c r="B12" s="54" t="s">
        <v>43</v>
      </c>
      <c r="C12" s="39"/>
      <c r="D12" s="39"/>
      <c r="E12" s="39"/>
      <c r="F12" s="39"/>
      <c r="G12" s="39"/>
      <c r="H12" s="39"/>
      <c r="I12" s="39"/>
      <c r="J12" s="39"/>
      <c r="K12" s="55"/>
      <c r="L12" s="56" t="s">
        <v>44</v>
      </c>
      <c r="M12" s="54">
        <v>2016.0</v>
      </c>
      <c r="N12" s="40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7" t="s">
        <v>45</v>
      </c>
      <c r="B13" s="58" t="s">
        <v>46</v>
      </c>
      <c r="C13" s="59" t="s">
        <v>47</v>
      </c>
      <c r="D13" s="59" t="s">
        <v>48</v>
      </c>
      <c r="E13" s="59" t="s">
        <v>49</v>
      </c>
      <c r="F13" s="59" t="s">
        <v>50</v>
      </c>
      <c r="G13" s="59" t="s">
        <v>51</v>
      </c>
      <c r="H13" s="59" t="s">
        <v>52</v>
      </c>
      <c r="I13" s="59" t="s">
        <v>53</v>
      </c>
      <c r="J13" s="59" t="s">
        <v>54</v>
      </c>
      <c r="K13" s="59" t="s">
        <v>55</v>
      </c>
      <c r="L13" s="59" t="s">
        <v>56</v>
      </c>
      <c r="M13" s="59" t="s">
        <v>57</v>
      </c>
      <c r="N13" s="60" t="s">
        <v>58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8.5" customHeight="1">
      <c r="A14" s="61" t="s">
        <v>76</v>
      </c>
      <c r="B14" s="62">
        <f>SUM(C14:N14)</f>
        <v>1</v>
      </c>
      <c r="C14" s="79">
        <v>1.0</v>
      </c>
      <c r="D14" s="80">
        <v>0.0</v>
      </c>
      <c r="E14" s="80"/>
      <c r="F14" s="80"/>
      <c r="G14" s="80"/>
      <c r="H14" s="80"/>
      <c r="I14" s="80"/>
      <c r="J14" s="80"/>
      <c r="K14" s="80"/>
      <c r="L14" s="80"/>
      <c r="M14" s="80"/>
      <c r="N14" s="8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3.25" customHeight="1">
      <c r="A15" s="65" t="s">
        <v>77</v>
      </c>
      <c r="B15" s="82">
        <f>AVERAGE(C15:N15)</f>
        <v>5.5</v>
      </c>
      <c r="C15" s="66">
        <v>5.0</v>
      </c>
      <c r="D15" s="67">
        <v>6.0</v>
      </c>
      <c r="E15" s="67"/>
      <c r="F15" s="67"/>
      <c r="G15" s="67"/>
      <c r="H15" s="67"/>
      <c r="I15" s="67"/>
      <c r="J15" s="67"/>
      <c r="K15" s="67"/>
      <c r="L15" s="67"/>
      <c r="M15" s="67"/>
      <c r="N15" s="74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68" t="s">
        <v>78</v>
      </c>
      <c r="B16" s="83">
        <f>B14/B15</f>
        <v>0.1818181818</v>
      </c>
      <c r="C16" s="84">
        <f t="shared" ref="C16:N16" si="1">IF(C15="","",(C14/C15))</f>
        <v>0.2</v>
      </c>
      <c r="D16" s="84">
        <f t="shared" si="1"/>
        <v>0</v>
      </c>
      <c r="E16" s="84" t="str">
        <f t="shared" si="1"/>
        <v/>
      </c>
      <c r="F16" s="84" t="str">
        <f t="shared" si="1"/>
        <v/>
      </c>
      <c r="G16" s="84" t="str">
        <f t="shared" si="1"/>
        <v/>
      </c>
      <c r="H16" s="84" t="str">
        <f t="shared" si="1"/>
        <v/>
      </c>
      <c r="I16" s="84" t="str">
        <f t="shared" si="1"/>
        <v/>
      </c>
      <c r="J16" s="84" t="str">
        <f t="shared" si="1"/>
        <v/>
      </c>
      <c r="K16" s="84" t="str">
        <f t="shared" si="1"/>
        <v/>
      </c>
      <c r="L16" s="84" t="str">
        <f t="shared" si="1"/>
        <v/>
      </c>
      <c r="M16" s="84" t="str">
        <f t="shared" si="1"/>
        <v/>
      </c>
      <c r="N16" s="85" t="str">
        <f t="shared" si="1"/>
        <v/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B8:E8"/>
    <mergeCell ref="B9:E9"/>
    <mergeCell ref="A11:N11"/>
    <mergeCell ref="B12:K12"/>
    <mergeCell ref="M12:N12"/>
    <mergeCell ref="A1:E1"/>
    <mergeCell ref="B2:E2"/>
    <mergeCell ref="B3:E3"/>
    <mergeCell ref="B4:E4"/>
    <mergeCell ref="B5:E5"/>
    <mergeCell ref="B6:E6"/>
    <mergeCell ref="B7:E7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6.14"/>
    <col customWidth="1" min="2" max="14" width="11.29"/>
    <col customWidth="1" min="15" max="26" width="8.71"/>
  </cols>
  <sheetData>
    <row r="1" ht="35.25" customHeight="1">
      <c r="A1" s="36" t="s">
        <v>27</v>
      </c>
      <c r="B1" s="5"/>
      <c r="C1" s="5"/>
      <c r="D1" s="5"/>
      <c r="E1" s="6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7" t="s">
        <v>28</v>
      </c>
      <c r="B2" s="78" t="s">
        <v>10</v>
      </c>
      <c r="C2" s="39"/>
      <c r="D2" s="39"/>
      <c r="E2" s="4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6.0" customHeight="1">
      <c r="A3" s="41" t="s">
        <v>30</v>
      </c>
      <c r="B3" s="42" t="s">
        <v>79</v>
      </c>
      <c r="C3" s="43"/>
      <c r="D3" s="43"/>
      <c r="E3" s="4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7.25" customHeight="1">
      <c r="A4" s="41" t="s">
        <v>32</v>
      </c>
      <c r="B4" s="42" t="s">
        <v>80</v>
      </c>
      <c r="C4" s="43"/>
      <c r="D4" s="43"/>
      <c r="E4" s="4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1" t="s">
        <v>34</v>
      </c>
      <c r="B5" s="45" t="s">
        <v>81</v>
      </c>
      <c r="C5" s="43"/>
      <c r="D5" s="43"/>
      <c r="E5" s="4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1" t="s">
        <v>36</v>
      </c>
      <c r="B6" s="46" t="s">
        <v>37</v>
      </c>
      <c r="C6" s="43"/>
      <c r="D6" s="43"/>
      <c r="E6" s="4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1" t="s">
        <v>38</v>
      </c>
      <c r="B7" s="46" t="s">
        <v>37</v>
      </c>
      <c r="C7" s="43"/>
      <c r="D7" s="43"/>
      <c r="E7" s="4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1" t="s">
        <v>39</v>
      </c>
      <c r="B8" s="46" t="s">
        <v>37</v>
      </c>
      <c r="C8" s="43"/>
      <c r="D8" s="43"/>
      <c r="E8" s="4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47" t="s">
        <v>40</v>
      </c>
      <c r="B9" s="48" t="s">
        <v>37</v>
      </c>
      <c r="C9" s="49"/>
      <c r="D9" s="49"/>
      <c r="E9" s="50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51"/>
      <c r="B10" s="5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3.25" customHeight="1">
      <c r="A11" s="52" t="s">
        <v>41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53" t="s">
        <v>42</v>
      </c>
      <c r="B12" s="54" t="s">
        <v>43</v>
      </c>
      <c r="C12" s="39"/>
      <c r="D12" s="39"/>
      <c r="E12" s="39"/>
      <c r="F12" s="39"/>
      <c r="G12" s="39"/>
      <c r="H12" s="39"/>
      <c r="I12" s="39"/>
      <c r="J12" s="39"/>
      <c r="K12" s="55"/>
      <c r="L12" s="56" t="s">
        <v>44</v>
      </c>
      <c r="M12" s="54">
        <v>2016.0</v>
      </c>
      <c r="N12" s="40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7" t="s">
        <v>45</v>
      </c>
      <c r="B13" s="58" t="s">
        <v>46</v>
      </c>
      <c r="C13" s="59" t="s">
        <v>47</v>
      </c>
      <c r="D13" s="59" t="s">
        <v>48</v>
      </c>
      <c r="E13" s="59" t="s">
        <v>49</v>
      </c>
      <c r="F13" s="59" t="s">
        <v>50</v>
      </c>
      <c r="G13" s="59" t="s">
        <v>51</v>
      </c>
      <c r="H13" s="59" t="s">
        <v>52</v>
      </c>
      <c r="I13" s="59" t="s">
        <v>53</v>
      </c>
      <c r="J13" s="59" t="s">
        <v>54</v>
      </c>
      <c r="K13" s="59" t="s">
        <v>55</v>
      </c>
      <c r="L13" s="59" t="s">
        <v>56</v>
      </c>
      <c r="M13" s="59" t="s">
        <v>57</v>
      </c>
      <c r="N13" s="60" t="s">
        <v>58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86" t="s">
        <v>82</v>
      </c>
      <c r="B14" s="82">
        <f>SUM(C14:N14)</f>
        <v>120000</v>
      </c>
      <c r="C14" s="87">
        <v>60000.0</v>
      </c>
      <c r="D14" s="88">
        <v>60000.0</v>
      </c>
      <c r="E14" s="88"/>
      <c r="F14" s="88"/>
      <c r="G14" s="88"/>
      <c r="H14" s="88"/>
      <c r="I14" s="88"/>
      <c r="J14" s="88"/>
      <c r="K14" s="88"/>
      <c r="L14" s="88"/>
      <c r="M14" s="88"/>
      <c r="N14" s="89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65" t="s">
        <v>77</v>
      </c>
      <c r="B15" s="82">
        <f>AVERAGE(C15:N15)</f>
        <v>5.5</v>
      </c>
      <c r="C15" s="66">
        <v>5.0</v>
      </c>
      <c r="D15" s="67">
        <v>6.0</v>
      </c>
      <c r="E15" s="67"/>
      <c r="F15" s="67"/>
      <c r="G15" s="67"/>
      <c r="H15" s="67"/>
      <c r="I15" s="67"/>
      <c r="J15" s="67"/>
      <c r="K15" s="67"/>
      <c r="L15" s="67"/>
      <c r="M15" s="67"/>
      <c r="N15" s="74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68" t="s">
        <v>83</v>
      </c>
      <c r="B16" s="83">
        <f>B14/B15</f>
        <v>21818.18182</v>
      </c>
      <c r="C16" s="84">
        <f t="shared" ref="C16:N16" si="1">IF(C15="","",(C14/C15))</f>
        <v>12000</v>
      </c>
      <c r="D16" s="84">
        <f t="shared" si="1"/>
        <v>10000</v>
      </c>
      <c r="E16" s="84" t="str">
        <f t="shared" si="1"/>
        <v/>
      </c>
      <c r="F16" s="84" t="str">
        <f t="shared" si="1"/>
        <v/>
      </c>
      <c r="G16" s="84" t="str">
        <f t="shared" si="1"/>
        <v/>
      </c>
      <c r="H16" s="84" t="str">
        <f t="shared" si="1"/>
        <v/>
      </c>
      <c r="I16" s="84" t="str">
        <f t="shared" si="1"/>
        <v/>
      </c>
      <c r="J16" s="84" t="str">
        <f t="shared" si="1"/>
        <v/>
      </c>
      <c r="K16" s="84" t="str">
        <f t="shared" si="1"/>
        <v/>
      </c>
      <c r="L16" s="84" t="str">
        <f t="shared" si="1"/>
        <v/>
      </c>
      <c r="M16" s="84" t="str">
        <f t="shared" si="1"/>
        <v/>
      </c>
      <c r="N16" s="85" t="str">
        <f t="shared" si="1"/>
        <v/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B8:E8"/>
    <mergeCell ref="B9:E9"/>
    <mergeCell ref="A11:N11"/>
    <mergeCell ref="B12:K12"/>
    <mergeCell ref="M12:N12"/>
    <mergeCell ref="A1:E1"/>
    <mergeCell ref="B2:E2"/>
    <mergeCell ref="B3:E3"/>
    <mergeCell ref="B4:E4"/>
    <mergeCell ref="B5:E5"/>
    <mergeCell ref="B6:E6"/>
    <mergeCell ref="B7:E7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6.14"/>
    <col customWidth="1" min="2" max="14" width="11.29"/>
    <col customWidth="1" min="15" max="26" width="8.71"/>
  </cols>
  <sheetData>
    <row r="1" ht="35.25" customHeight="1">
      <c r="A1" s="36" t="s">
        <v>27</v>
      </c>
      <c r="B1" s="5"/>
      <c r="C1" s="5"/>
      <c r="D1" s="5"/>
      <c r="E1" s="6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7" t="s">
        <v>28</v>
      </c>
      <c r="B2" s="78" t="s">
        <v>11</v>
      </c>
      <c r="C2" s="39"/>
      <c r="D2" s="39"/>
      <c r="E2" s="4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52.5" customHeight="1">
      <c r="A3" s="41" t="s">
        <v>30</v>
      </c>
      <c r="B3" s="42" t="s">
        <v>84</v>
      </c>
      <c r="C3" s="43"/>
      <c r="D3" s="43"/>
      <c r="E3" s="44"/>
      <c r="F3" s="1"/>
      <c r="G3" s="1"/>
      <c r="H3" s="1"/>
      <c r="I3" s="90"/>
      <c r="J3" s="9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7.25" customHeight="1">
      <c r="A4" s="41" t="s">
        <v>32</v>
      </c>
      <c r="B4" s="42" t="s">
        <v>85</v>
      </c>
      <c r="C4" s="43"/>
      <c r="D4" s="43"/>
      <c r="E4" s="44"/>
      <c r="F4" s="1"/>
      <c r="G4" s="1"/>
      <c r="H4" s="1"/>
      <c r="I4" s="9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1" t="s">
        <v>34</v>
      </c>
      <c r="B5" s="45" t="s">
        <v>35</v>
      </c>
      <c r="C5" s="43"/>
      <c r="D5" s="43"/>
      <c r="E5" s="4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1" t="s">
        <v>36</v>
      </c>
      <c r="B6" s="46" t="s">
        <v>37</v>
      </c>
      <c r="C6" s="43"/>
      <c r="D6" s="43"/>
      <c r="E6" s="4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1" t="s">
        <v>38</v>
      </c>
      <c r="B7" s="46" t="s">
        <v>37</v>
      </c>
      <c r="C7" s="43"/>
      <c r="D7" s="43"/>
      <c r="E7" s="4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1" t="s">
        <v>39</v>
      </c>
      <c r="B8" s="46" t="s">
        <v>37</v>
      </c>
      <c r="C8" s="43"/>
      <c r="D8" s="43"/>
      <c r="E8" s="4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47" t="s">
        <v>40</v>
      </c>
      <c r="B9" s="48" t="s">
        <v>37</v>
      </c>
      <c r="C9" s="49"/>
      <c r="D9" s="49"/>
      <c r="E9" s="50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51"/>
      <c r="B10" s="5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3.25" customHeight="1">
      <c r="A11" s="52" t="s">
        <v>41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53" t="s">
        <v>42</v>
      </c>
      <c r="B12" s="54" t="s">
        <v>43</v>
      </c>
      <c r="C12" s="39"/>
      <c r="D12" s="39"/>
      <c r="E12" s="39"/>
      <c r="F12" s="39"/>
      <c r="G12" s="39"/>
      <c r="H12" s="39"/>
      <c r="I12" s="39"/>
      <c r="J12" s="39"/>
      <c r="K12" s="55"/>
      <c r="L12" s="56" t="s">
        <v>44</v>
      </c>
      <c r="M12" s="54">
        <v>2016.0</v>
      </c>
      <c r="N12" s="40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7" t="s">
        <v>45</v>
      </c>
      <c r="B13" s="58" t="s">
        <v>46</v>
      </c>
      <c r="C13" s="59" t="s">
        <v>47</v>
      </c>
      <c r="D13" s="59" t="s">
        <v>48</v>
      </c>
      <c r="E13" s="59" t="s">
        <v>49</v>
      </c>
      <c r="F13" s="59" t="s">
        <v>50</v>
      </c>
      <c r="G13" s="59" t="s">
        <v>51</v>
      </c>
      <c r="H13" s="59" t="s">
        <v>52</v>
      </c>
      <c r="I13" s="59" t="s">
        <v>53</v>
      </c>
      <c r="J13" s="59" t="s">
        <v>54</v>
      </c>
      <c r="K13" s="59" t="s">
        <v>55</v>
      </c>
      <c r="L13" s="59" t="s">
        <v>56</v>
      </c>
      <c r="M13" s="59" t="s">
        <v>57</v>
      </c>
      <c r="N13" s="60" t="s">
        <v>58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86" t="s">
        <v>86</v>
      </c>
      <c r="B14" s="82">
        <f t="shared" ref="B14:B15" si="1">SUM(C14:N14)</f>
        <v>11000</v>
      </c>
      <c r="C14" s="91">
        <v>5000.0</v>
      </c>
      <c r="D14" s="92">
        <v>6000.0</v>
      </c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65" t="s">
        <v>82</v>
      </c>
      <c r="B15" s="82">
        <f t="shared" si="1"/>
        <v>120000</v>
      </c>
      <c r="C15" s="87">
        <v>60000.0</v>
      </c>
      <c r="D15" s="88">
        <v>60000.0</v>
      </c>
      <c r="E15" s="88"/>
      <c r="F15" s="88"/>
      <c r="G15" s="88"/>
      <c r="H15" s="88"/>
      <c r="I15" s="88"/>
      <c r="J15" s="88"/>
      <c r="K15" s="88"/>
      <c r="L15" s="88"/>
      <c r="M15" s="88"/>
      <c r="N15" s="89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68" t="s">
        <v>87</v>
      </c>
      <c r="B16" s="69">
        <f>B14/B15</f>
        <v>0.09166666667</v>
      </c>
      <c r="C16" s="70">
        <f t="shared" ref="C16:N16" si="2">IF(C15="","",(C14/C15))</f>
        <v>0.08333333333</v>
      </c>
      <c r="D16" s="70">
        <f t="shared" si="2"/>
        <v>0.1</v>
      </c>
      <c r="E16" s="70" t="str">
        <f t="shared" si="2"/>
        <v/>
      </c>
      <c r="F16" s="70" t="str">
        <f t="shared" si="2"/>
        <v/>
      </c>
      <c r="G16" s="70" t="str">
        <f t="shared" si="2"/>
        <v/>
      </c>
      <c r="H16" s="70" t="str">
        <f t="shared" si="2"/>
        <v/>
      </c>
      <c r="I16" s="70" t="str">
        <f t="shared" si="2"/>
        <v/>
      </c>
      <c r="J16" s="70" t="str">
        <f t="shared" si="2"/>
        <v/>
      </c>
      <c r="K16" s="70" t="str">
        <f t="shared" si="2"/>
        <v/>
      </c>
      <c r="L16" s="70" t="str">
        <f t="shared" si="2"/>
        <v/>
      </c>
      <c r="M16" s="70" t="str">
        <f t="shared" si="2"/>
        <v/>
      </c>
      <c r="N16" s="71" t="str">
        <f t="shared" si="2"/>
        <v/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B8:E8"/>
    <mergeCell ref="B9:E9"/>
    <mergeCell ref="A11:N11"/>
    <mergeCell ref="B12:K12"/>
    <mergeCell ref="M12:N12"/>
    <mergeCell ref="A1:E1"/>
    <mergeCell ref="B2:E2"/>
    <mergeCell ref="B3:E3"/>
    <mergeCell ref="B4:E4"/>
    <mergeCell ref="B5:E5"/>
    <mergeCell ref="B6:E6"/>
    <mergeCell ref="B7:E7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