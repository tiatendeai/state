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ce aqui ✅" sheetId="1" r:id="rId4"/>
    <sheet state="visible" name="Instruções" sheetId="2" r:id="rId5"/>
    <sheet state="visible" name="1. Timesheet diário" sheetId="3" r:id="rId6"/>
    <sheet state="visible" name="2. Timesheet mensal" sheetId="4" r:id="rId7"/>
  </sheets>
  <definedNames/>
  <calcPr/>
</workbook>
</file>

<file path=xl/sharedStrings.xml><?xml version="1.0" encoding="utf-8"?>
<sst xmlns="http://schemas.openxmlformats.org/spreadsheetml/2006/main" count="168" uniqueCount="73">
  <si>
    <r>
      <rPr>
        <rFont val="Inter, Arial"/>
        <b/>
        <color rgb="FF000000"/>
        <sz val="18.0"/>
      </rPr>
      <t xml:space="preserve">QUER EDITAR A PLANILHA? 
</t>
    </r>
    <r>
      <rPr>
        <rFont val="Inter, Arial"/>
        <b/>
        <color rgb="FF000000"/>
        <sz val="14.0"/>
      </rPr>
      <t xml:space="preserve">FAÇA UMA CÓPIA:
</t>
    </r>
    <r>
      <rPr>
        <rFont val="Inter, Arial"/>
        <b val="0"/>
        <color rgb="FF000000"/>
        <sz val="14.0"/>
      </rPr>
      <t xml:space="preserve">CLIQUE EM "ARQUIVO" (CANTO SUPERIOR ESQUERDO) &gt; "FAZER UMA CÓPIA"
</t>
    </r>
    <r>
      <rPr>
        <rFont val="Inter, Arial"/>
        <b/>
        <color rgb="FF000000"/>
        <sz val="14.0"/>
      </rPr>
      <t xml:space="preserve">OU UM DOWNLOAD:
</t>
    </r>
    <r>
      <rPr>
        <rFont val="Inter, Arial"/>
        <b val="0"/>
        <color rgb="FF000000"/>
        <sz val="14.0"/>
      </rPr>
      <t>CLIQUE EM "ARQUIVO" (CANTO SUPERIOR ESQUERDO) &gt; "FAZER DOWNLOAD"</t>
    </r>
  </si>
  <si>
    <t>Planilha Timesheet</t>
  </si>
  <si>
    <t>Utilize esta planilha para contabilizar horas de trabalho e precificar projetos.</t>
  </si>
  <si>
    <r>
      <rPr>
        <rFont val="Inter, Arial"/>
        <b/>
        <color rgb="FF343B49"/>
        <sz val="14.0"/>
      </rPr>
      <t xml:space="preserve">Quer trazer eficiência para sua agência?
</t>
    </r>
    <r>
      <rPr>
        <rFont val="Inter, Arial"/>
        <b val="0"/>
        <color rgb="FF343B49"/>
        <sz val="12.0"/>
      </rPr>
      <t>Conheça Studio, software de gestão de projetos, atividades, dados e finanças, completo para agências de todos os portes.</t>
    </r>
  </si>
  <si>
    <t>CRIE SUA CONTA NO STUDIO!</t>
  </si>
  <si>
    <r>
      <rPr>
        <rFont val="Inter, Arial"/>
        <b/>
        <color rgb="FF000000"/>
        <sz val="14.0"/>
      </rPr>
      <t xml:space="preserve">QUER EDITAR A PLANILHA?
FAÇA UMA CÓPIA:
</t>
    </r>
    <r>
      <rPr>
        <rFont val="Inter, Arial"/>
        <b val="0"/>
        <color rgb="FF000000"/>
        <sz val="12.0"/>
      </rPr>
      <t xml:space="preserve">CLIQUE EM "ARQUIVO" (CANTO SUPERIOR ESQUERDO) &gt; "FAZER UMA CÓPIA"
</t>
    </r>
    <r>
      <rPr>
        <rFont val="Inter, Arial"/>
        <b/>
        <color rgb="FF000000"/>
        <sz val="12.0"/>
      </rPr>
      <t xml:space="preserve">OU UM DOWNLOAD:
</t>
    </r>
    <r>
      <rPr>
        <rFont val="Inter, Arial"/>
        <b val="0"/>
        <color rgb="FF000000"/>
        <sz val="12.0"/>
      </rPr>
      <t>CLIQUE EM "ARQUIVO" (CANTO SUPERIOR ESQUERDO) &gt; "FAZER DOWNLOAD"</t>
    </r>
  </si>
  <si>
    <t>Funil de Vendas</t>
  </si>
  <si>
    <t>TIMESHEET DIÁRIO</t>
  </si>
  <si>
    <t>A planilha "Timesheet diário" deve ser preenchida pelo colaborador diariamente. Cada linha é referente a uma tarefa. A essência deste planner é lançar-se para outra tarefa apenas quando a anterior estiver finalizada.  Por isso, é preciso preencher separadamente os dados de cada trabalho.
No preenchimento da planilha, é preciso se atentar à inserção dos dados de "horas trabalhadas". Esses dados devem ser inseridos no formato "00:00" e não no formado "0". Caso haja equívoco neste preenchimento, a contabilização e os resultados serão prejudicados. O mesmo acontece com os dados inseridos nas colunas "Start" e "Stop".  Veja exemplo da conduta correta:</t>
  </si>
  <si>
    <t>Start</t>
  </si>
  <si>
    <t>Stop</t>
  </si>
  <si>
    <t>Título do Job</t>
  </si>
  <si>
    <t>Tarefa</t>
  </si>
  <si>
    <t>Cliente</t>
  </si>
  <si>
    <t>Horas trabalhadas</t>
  </si>
  <si>
    <t>Valor Hora</t>
  </si>
  <si>
    <t>Custo do Job</t>
  </si>
  <si>
    <t>Agência Luz</t>
  </si>
  <si>
    <t>alinhamento</t>
  </si>
  <si>
    <t>Marcos</t>
  </si>
  <si>
    <t>Título "Y"</t>
  </si>
  <si>
    <t>Tarefa "Y"</t>
  </si>
  <si>
    <t>Cliente "Y"</t>
  </si>
  <si>
    <t>Este procedimento deverá ser repetido diariamente. Chegado o fim da semana, o quadro lateral deverá ser preenchido com os custos das horas. Exemplo:</t>
  </si>
  <si>
    <t>Custo Total diário</t>
  </si>
  <si>
    <t>Dia 1</t>
  </si>
  <si>
    <t>Dia 2</t>
  </si>
  <si>
    <t>Dia 3</t>
  </si>
  <si>
    <t>Dia 4</t>
  </si>
  <si>
    <t>Dia 5</t>
  </si>
  <si>
    <t>Dia 6</t>
  </si>
  <si>
    <t>Dia 7</t>
  </si>
  <si>
    <t>Total custo</t>
  </si>
  <si>
    <t>TIMESHEET MENSAL</t>
  </si>
  <si>
    <t>Em seguida, na segunda aba deste arquivo, a planilha de "Timesheet mensal" deverá ter os dados inseridos para análise posterior. Esses dados são os tabulados durante toda a semana na primeira aba deste documento. A segunda aba é para análise e resumo das informações.</t>
  </si>
  <si>
    <t>MATERIAIS DE APOIO</t>
  </si>
  <si>
    <t>Tudo que você precisa saber sobre o timesheet</t>
  </si>
  <si>
    <t>Como o timesheet ajuda times criativos?</t>
  </si>
  <si>
    <t>Como conscientizar seu time a usar o timesheet?</t>
  </si>
  <si>
    <t>Timesheet diário</t>
  </si>
  <si>
    <t>DATA</t>
  </si>
  <si>
    <t>15/06/2020</t>
  </si>
  <si>
    <t>FUNCIONÁRIO</t>
  </si>
  <si>
    <t>Noemia Martins</t>
  </si>
  <si>
    <t>Custo total diário</t>
  </si>
  <si>
    <t>Título do job</t>
  </si>
  <si>
    <t>Valor hora</t>
  </si>
  <si>
    <t>Custo do job</t>
  </si>
  <si>
    <t>Job exemplo</t>
  </si>
  <si>
    <t>Tarefa exemplo</t>
  </si>
  <si>
    <t>Cliente exemplo</t>
  </si>
  <si>
    <t>rodeios</t>
  </si>
  <si>
    <t>-</t>
  </si>
  <si>
    <t>Semana 1</t>
  </si>
  <si>
    <t>Total de horas diárias</t>
  </si>
  <si>
    <t>Custo diário</t>
  </si>
  <si>
    <t>Título exemplo</t>
  </si>
  <si>
    <t>Timesheet mensal</t>
  </si>
  <si>
    <t>MÊS</t>
  </si>
  <si>
    <t>Março</t>
  </si>
  <si>
    <t>CLIENTE</t>
  </si>
  <si>
    <t>Marília</t>
  </si>
  <si>
    <t>Semana</t>
  </si>
  <si>
    <t>Custo das horas da semana</t>
  </si>
  <si>
    <t>Horas trabalhadas na semana</t>
  </si>
  <si>
    <t>Gestão de Rede Social</t>
  </si>
  <si>
    <t>Criação de texto</t>
  </si>
  <si>
    <t xml:space="preserve">Marília </t>
  </si>
  <si>
    <t>Semana 2</t>
  </si>
  <si>
    <t>Criação de Fotos</t>
  </si>
  <si>
    <t>Semana 3</t>
  </si>
  <si>
    <t>Semana 4</t>
  </si>
  <si>
    <t>Total de horas/custo mensal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</si>
</sst>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$&quot;\ #,##0.00;[Red]\-&quot;R$&quot;\ #,##0.00"/>
    <numFmt numFmtId="165" formatCode="hh:mm"/>
  </numFmts>
  <fonts count="29">
    <font>
      <sz val="11.0"/>
      <color rgb="FF000000"/>
      <name val="Calibri"/>
    </font>
    <font>
      <sz val="11.0"/>
      <name val="Calibri"/>
    </font>
    <font>
      <b/>
      <sz val="18.0"/>
      <color rgb="FF000000"/>
      <name val="Inter"/>
    </font>
    <font/>
    <font>
      <b/>
      <sz val="36.0"/>
      <color rgb="FFFFFFFF"/>
      <name val="Inter"/>
    </font>
    <font>
      <sz val="14.0"/>
      <color rgb="FFFFFFFF"/>
      <name val="Inter"/>
    </font>
    <font>
      <b/>
      <sz val="14.0"/>
      <color rgb="FF343B49"/>
      <name val="Inter"/>
    </font>
    <font>
      <sz val="11.0"/>
      <name val="Corbel"/>
    </font>
    <font>
      <b/>
      <u/>
      <sz val="14.0"/>
      <color rgb="FFFFFFFF"/>
      <name val="Inter"/>
    </font>
    <font>
      <b/>
      <sz val="14.0"/>
      <color rgb="FF000000"/>
      <name val="Inter"/>
    </font>
    <font>
      <b/>
      <sz val="11.0"/>
      <color rgb="FFFFFFFF"/>
      <name val="Inter"/>
    </font>
    <font>
      <name val="Inter"/>
    </font>
    <font>
      <b/>
      <sz val="10.0"/>
      <color rgb="FFFFFFFF"/>
      <name val="Inter"/>
    </font>
    <font>
      <sz val="10.0"/>
      <color rgb="FF5B158C"/>
      <name val="Inter"/>
    </font>
    <font>
      <b/>
      <sz val="10.0"/>
      <color rgb="FF000000"/>
      <name val="Inter"/>
    </font>
    <font>
      <sz val="10.0"/>
      <color rgb="FF000000"/>
      <name val="Inter"/>
    </font>
    <font>
      <sz val="10.0"/>
      <name val="Inter"/>
    </font>
    <font>
      <b/>
      <sz val="10.0"/>
      <color rgb="FF826DEB"/>
      <name val="Inter"/>
    </font>
    <font>
      <u/>
      <color rgb="FF1155CC"/>
      <name val="Inter"/>
    </font>
    <font>
      <color rgb="FF2D3648"/>
    </font>
    <font>
      <b/>
      <sz val="20.0"/>
      <color rgb="FF2D3648"/>
      <name val="Inter"/>
    </font>
    <font>
      <sz val="11.0"/>
      <color rgb="FF000000"/>
      <name val="Inter"/>
    </font>
    <font>
      <b/>
      <sz val="11.0"/>
      <color rgb="FF5B158C"/>
      <name val="Inter"/>
    </font>
    <font>
      <sz val="11.0"/>
      <color rgb="FF5B158C"/>
      <name val="Inter"/>
    </font>
    <font>
      <b/>
      <color rgb="FF826DEB"/>
      <name val="Inter"/>
    </font>
    <font>
      <color rgb="FF222222"/>
      <name val="Inter"/>
    </font>
    <font>
      <b/>
      <sz val="20.0"/>
      <color rgb="FF44546A"/>
      <name val="Inter"/>
    </font>
    <font>
      <b/>
      <sz val="18.0"/>
      <color rgb="FFCC3399"/>
      <name val="Inter"/>
    </font>
    <font>
      <b/>
      <u/>
      <sz val="10.0"/>
      <color rgb="FFD60093"/>
      <name val="Inter"/>
    </font>
  </fonts>
  <fills count="10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rgb="FF2D3648"/>
        <bgColor rgb="FF2D3648"/>
      </patternFill>
    </fill>
    <fill>
      <patternFill patternType="solid">
        <fgColor rgb="FFF5F8FF"/>
        <bgColor rgb="FFF5F8FF"/>
      </patternFill>
    </fill>
    <fill>
      <patternFill patternType="solid">
        <fgColor rgb="FF225ED8"/>
        <bgColor rgb="FF225ED8"/>
      </patternFill>
    </fill>
    <fill>
      <patternFill patternType="solid">
        <fgColor rgb="FF343B49"/>
        <bgColor rgb="FF343B49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5B95F9"/>
        <bgColor rgb="FF5B95F9"/>
      </patternFill>
    </fill>
  </fills>
  <borders count="28">
    <border/>
    <border>
      <right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5F8FF"/>
      </left>
      <right style="thin">
        <color rgb="FFF5F8FF"/>
      </right>
      <top style="thin">
        <color rgb="FFF5F8FF"/>
      </top>
      <bottom style="thin">
        <color rgb="FFF5F8FF"/>
      </bottom>
    </border>
    <border>
      <left style="thin">
        <color rgb="FFF5F8FF"/>
      </left>
      <top style="thin">
        <color rgb="FFF5F8FF"/>
      </top>
      <bottom style="thin">
        <color rgb="FFF5F8FF"/>
      </bottom>
    </border>
    <border>
      <top style="thin">
        <color rgb="FFD9D9D9"/>
      </top>
      <bottom style="thin">
        <color rgb="FFD9D9D9"/>
      </bottom>
    </border>
    <border>
      <right style="thin">
        <color rgb="FFF5F8FF"/>
      </right>
      <top style="thin">
        <color rgb="FFF5F8FF"/>
      </top>
      <bottom style="thin">
        <color rgb="FFF5F8FF"/>
      </bottom>
    </border>
    <border>
      <left style="thin">
        <color rgb="FFF5F8FF"/>
      </left>
      <right style="thin">
        <color rgb="FFF5F8FF"/>
      </right>
      <bottom style="thin">
        <color rgb="FFF5F8FF"/>
      </bottom>
    </border>
    <border>
      <top style="thin">
        <color rgb="FFF5F8FF"/>
      </top>
      <bottom style="thin">
        <color rgb="FFF5F8FF"/>
      </bottom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/>
      <top style="medium">
        <color rgb="FF000000"/>
      </top>
      <bottom/>
    </border>
    <border>
      <left/>
      <bottom/>
    </border>
    <border>
      <bottom/>
    </border>
    <border>
      <right/>
      <bottom/>
    </border>
    <border>
      <left/>
      <top/>
      <bottom/>
    </border>
    <border>
      <right/>
      <top/>
    </border>
    <border>
      <left/>
      <right/>
      <top/>
    </border>
    <border>
      <left/>
      <right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top/>
      <bottom/>
    </border>
    <border>
      <right/>
      <top/>
      <bottom/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center"/>
    </xf>
    <xf borderId="1" fillId="0" fontId="3" numFmtId="0" xfId="0" applyBorder="1" applyFont="1"/>
    <xf borderId="0" fillId="3" fontId="1" numFmtId="0" xfId="0" applyAlignment="1" applyFill="1" applyFont="1">
      <alignment vertical="bottom"/>
    </xf>
    <xf borderId="0" fillId="3" fontId="4" numFmtId="0" xfId="0" applyAlignment="1" applyFont="1">
      <alignment readingOrder="0" shrinkToFit="0" wrapText="1"/>
    </xf>
    <xf borderId="0" fillId="3" fontId="5" numFmtId="0" xfId="0" applyAlignment="1" applyFont="1">
      <alignment readingOrder="0" shrinkToFit="0" vertical="top" wrapText="1"/>
    </xf>
    <xf borderId="0" fillId="4" fontId="1" numFmtId="0" xfId="0" applyAlignment="1" applyFill="1" applyFont="1">
      <alignment vertical="bottom"/>
    </xf>
    <xf borderId="0" fillId="4" fontId="6" numFmtId="0" xfId="0" applyAlignment="1" applyFont="1">
      <alignment horizontal="center" readingOrder="0" shrinkToFit="0" vertical="bottom" wrapText="1"/>
    </xf>
    <xf borderId="0" fillId="4" fontId="7" numFmtId="0" xfId="0" applyAlignment="1" applyFont="1">
      <alignment vertical="bottom"/>
    </xf>
    <xf borderId="0" fillId="5" fontId="8" numFmtId="0" xfId="0" applyAlignment="1" applyFill="1" applyFont="1">
      <alignment horizontal="center" readingOrder="0" vertical="center"/>
    </xf>
    <xf borderId="1" fillId="2" fontId="1" numFmtId="0" xfId="0" applyBorder="1" applyFont="1"/>
    <xf borderId="0" fillId="2" fontId="9" numFmtId="0" xfId="0" applyAlignment="1" applyFont="1">
      <alignment readingOrder="0"/>
    </xf>
    <xf borderId="0" fillId="3" fontId="1" numFmtId="0" xfId="0" applyFont="1"/>
    <xf borderId="0" fillId="6" fontId="1" numFmtId="0" xfId="0" applyAlignment="1" applyFill="1" applyFont="1">
      <alignment vertical="bottom"/>
    </xf>
    <xf borderId="0" fillId="7" fontId="10" numFmtId="0" xfId="0" applyAlignment="1" applyFill="1" applyFont="1">
      <alignment horizontal="center" readingOrder="0" shrinkToFit="0" wrapText="1"/>
    </xf>
    <xf borderId="0" fillId="6" fontId="1" numFmtId="0" xfId="0" applyFont="1"/>
    <xf borderId="0" fillId="4" fontId="11" numFmtId="0" xfId="0" applyAlignment="1" applyFont="1">
      <alignment readingOrder="0" shrinkToFit="0" vertical="center" wrapText="1"/>
    </xf>
    <xf borderId="2" fillId="3" fontId="12" numFmtId="0" xfId="0" applyAlignment="1" applyBorder="1" applyFont="1">
      <alignment horizontal="center" vertical="center"/>
    </xf>
    <xf borderId="2" fillId="3" fontId="12" numFmtId="0" xfId="0" applyAlignment="1" applyBorder="1" applyFont="1">
      <alignment horizontal="center" shrinkToFit="0" vertical="center" wrapText="1"/>
    </xf>
    <xf borderId="3" fillId="3" fontId="12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2" fillId="0" fontId="13" numFmtId="20" xfId="0" applyAlignment="1" applyBorder="1" applyFont="1" applyNumberFormat="1">
      <alignment horizontal="center" readingOrder="0" vertical="center"/>
    </xf>
    <xf borderId="2" fillId="0" fontId="13" numFmtId="21" xfId="0" applyAlignment="1" applyBorder="1" applyFont="1" applyNumberFormat="1">
      <alignment horizontal="center" readingOrder="0" vertical="center"/>
    </xf>
    <xf borderId="2" fillId="0" fontId="13" numFmtId="0" xfId="0" applyAlignment="1" applyBorder="1" applyFont="1">
      <alignment horizontal="center" readingOrder="0" vertical="center"/>
    </xf>
    <xf borderId="3" fillId="0" fontId="13" numFmtId="20" xfId="0" applyAlignment="1" applyBorder="1" applyFont="1" applyNumberFormat="1">
      <alignment horizontal="center" vertical="center"/>
    </xf>
    <xf borderId="2" fillId="0" fontId="13" numFmtId="164" xfId="0" applyAlignment="1" applyBorder="1" applyFont="1" applyNumberFormat="1">
      <alignment horizontal="center" readingOrder="0" vertical="center"/>
    </xf>
    <xf borderId="2" fillId="0" fontId="13" numFmtId="164" xfId="0" applyAlignment="1" applyBorder="1" applyFont="1" applyNumberFormat="1">
      <alignment horizontal="center" vertical="center"/>
    </xf>
    <xf borderId="2" fillId="0" fontId="13" numFmtId="20" xfId="0" applyAlignment="1" applyBorder="1" applyFont="1" applyNumberFormat="1">
      <alignment horizontal="center" vertical="center"/>
    </xf>
    <xf borderId="2" fillId="0" fontId="13" numFmtId="0" xfId="0" applyAlignment="1" applyBorder="1" applyFont="1">
      <alignment horizontal="center" vertical="center"/>
    </xf>
    <xf borderId="5" fillId="4" fontId="11" numFmtId="0" xfId="0" applyAlignment="1" applyBorder="1" applyFont="1">
      <alignment readingOrder="0" shrinkToFit="0" vertical="center" wrapText="1"/>
    </xf>
    <xf borderId="6" fillId="4" fontId="11" numFmtId="0" xfId="0" applyAlignment="1" applyBorder="1" applyFont="1">
      <alignment readingOrder="0" shrinkToFit="0" vertical="center" wrapText="1"/>
    </xf>
    <xf borderId="3" fillId="3" fontId="12" numFmtId="0" xfId="0" applyAlignment="1" applyBorder="1" applyFont="1">
      <alignment horizontal="center" vertical="bottom"/>
    </xf>
    <xf borderId="7" fillId="0" fontId="3" numFmtId="0" xfId="0" applyBorder="1" applyFont="1"/>
    <xf borderId="8" fillId="4" fontId="11" numFmtId="0" xfId="0" applyAlignment="1" applyBorder="1" applyFont="1">
      <alignment readingOrder="0" shrinkToFit="0" vertical="center" wrapText="1"/>
    </xf>
    <xf borderId="2" fillId="0" fontId="14" numFmtId="0" xfId="0" applyAlignment="1" applyBorder="1" applyFont="1">
      <alignment horizontal="center" vertical="bottom"/>
    </xf>
    <xf borderId="3" fillId="8" fontId="15" numFmtId="0" xfId="0" applyAlignment="1" applyBorder="1" applyFill="1" applyFont="1">
      <alignment horizontal="center" readingOrder="0"/>
    </xf>
    <xf borderId="3" fillId="8" fontId="16" numFmtId="0" xfId="0" applyAlignment="1" applyBorder="1" applyFont="1">
      <alignment readingOrder="0" shrinkToFit="0" vertical="center" wrapText="1"/>
    </xf>
    <xf borderId="2" fillId="9" fontId="12" numFmtId="0" xfId="0" applyAlignment="1" applyBorder="1" applyFill="1" applyFont="1">
      <alignment horizontal="center"/>
    </xf>
    <xf borderId="3" fillId="8" fontId="17" numFmtId="164" xfId="0" applyAlignment="1" applyBorder="1" applyFont="1" applyNumberFormat="1">
      <alignment horizontal="center"/>
    </xf>
    <xf borderId="9" fillId="4" fontId="11" numFmtId="0" xfId="0" applyAlignment="1" applyBorder="1" applyFont="1">
      <alignment readingOrder="0" shrinkToFit="0" vertical="center" wrapText="1"/>
    </xf>
    <xf borderId="0" fillId="7" fontId="10" numFmtId="0" xfId="0" applyAlignment="1" applyFont="1">
      <alignment horizontal="center" readingOrder="0" shrinkToFit="0" vertical="bottom" wrapText="1"/>
    </xf>
    <xf borderId="5" fillId="4" fontId="11" numFmtId="0" xfId="0" applyAlignment="1" applyBorder="1" applyFont="1">
      <alignment readingOrder="0" shrinkToFit="0" vertical="bottom" wrapText="1"/>
    </xf>
    <xf borderId="6" fillId="4" fontId="18" numFmtId="0" xfId="0" applyAlignment="1" applyBorder="1" applyFont="1">
      <alignment readingOrder="0" shrinkToFit="0" vertical="bottom" wrapText="1"/>
    </xf>
    <xf borderId="10" fillId="0" fontId="3" numFmtId="0" xfId="0" applyBorder="1" applyFont="1"/>
    <xf borderId="8" fillId="0" fontId="3" numFmtId="0" xfId="0" applyBorder="1" applyFont="1"/>
    <xf borderId="6" fillId="4" fontId="11" numFmtId="0" xfId="0" applyAlignment="1" applyBorder="1" applyFont="1">
      <alignment shrinkToFit="0" vertical="bottom" wrapText="1"/>
    </xf>
    <xf borderId="0" fillId="3" fontId="19" numFmtId="0" xfId="0" applyFont="1"/>
    <xf borderId="0" fillId="8" fontId="20" numFmtId="0" xfId="0" applyAlignment="1" applyFont="1">
      <alignment horizontal="left" readingOrder="0" vertical="center"/>
    </xf>
    <xf borderId="11" fillId="8" fontId="20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8" fontId="21" numFmtId="0" xfId="0" applyBorder="1" applyFont="1"/>
    <xf borderId="2" fillId="9" fontId="10" numFmtId="0" xfId="0" applyAlignment="1" applyBorder="1" applyFont="1">
      <alignment horizontal="center" readingOrder="0" vertical="center"/>
    </xf>
    <xf borderId="3" fillId="4" fontId="21" numFmtId="0" xfId="0" applyAlignment="1" applyBorder="1" applyFont="1">
      <alignment horizontal="center" readingOrder="0" vertical="center"/>
    </xf>
    <xf borderId="0" fillId="0" fontId="11" numFmtId="0" xfId="0" applyFont="1"/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8" fontId="21" numFmtId="0" xfId="0" applyBorder="1" applyFont="1"/>
    <xf borderId="0" fillId="0" fontId="21" numFmtId="0" xfId="0" applyAlignment="1" applyFont="1">
      <alignment horizontal="center"/>
    </xf>
    <xf borderId="0" fillId="8" fontId="10" numFmtId="0" xfId="0" applyAlignment="1" applyFont="1">
      <alignment horizontal="center" readingOrder="0" vertical="center"/>
    </xf>
    <xf borderId="2" fillId="3" fontId="10" numFmtId="0" xfId="0" applyAlignment="1" applyBorder="1" applyFont="1">
      <alignment horizontal="center" readingOrder="0" vertical="center"/>
    </xf>
    <xf borderId="19" fillId="8" fontId="21" numFmtId="0" xfId="0" applyBorder="1" applyFont="1"/>
    <xf borderId="20" fillId="8" fontId="21" numFmtId="0" xfId="0" applyBorder="1" applyFont="1"/>
    <xf borderId="21" fillId="8" fontId="21" numFmtId="0" xfId="0" applyBorder="1" applyFont="1"/>
    <xf borderId="3" fillId="9" fontId="10" numFmtId="0" xfId="0" applyAlignment="1" applyBorder="1" applyFont="1">
      <alignment horizontal="center" readingOrder="0"/>
    </xf>
    <xf borderId="0" fillId="8" fontId="10" numFmtId="0" xfId="0" applyAlignment="1" applyFont="1">
      <alignment horizontal="center" vertical="center"/>
    </xf>
    <xf borderId="22" fillId="3" fontId="10" numFmtId="0" xfId="0" applyAlignment="1" applyBorder="1" applyFont="1">
      <alignment horizontal="center" vertical="center"/>
    </xf>
    <xf borderId="2" fillId="3" fontId="10" numFmtId="0" xfId="0" applyAlignment="1" applyBorder="1" applyFont="1">
      <alignment horizontal="center" vertical="center"/>
    </xf>
    <xf borderId="4" fillId="3" fontId="10" numFmtId="0" xfId="0" applyAlignment="1" applyBorder="1" applyFont="1">
      <alignment horizontal="center" vertical="center"/>
    </xf>
    <xf borderId="3" fillId="3" fontId="10" numFmtId="0" xfId="0" applyAlignment="1" applyBorder="1" applyFont="1">
      <alignment horizontal="center" readingOrder="0" vertical="center"/>
    </xf>
    <xf borderId="2" fillId="0" fontId="22" numFmtId="0" xfId="0" applyAlignment="1" applyBorder="1" applyFont="1">
      <alignment horizontal="center" vertical="center"/>
    </xf>
    <xf borderId="3" fillId="0" fontId="23" numFmtId="164" xfId="0" applyAlignment="1" applyBorder="1" applyFont="1" applyNumberFormat="1">
      <alignment horizontal="center" vertical="center"/>
    </xf>
    <xf borderId="0" fillId="8" fontId="15" numFmtId="20" xfId="0" applyAlignment="1" applyFont="1" applyNumberFormat="1">
      <alignment horizontal="center" readingOrder="0" vertical="center"/>
    </xf>
    <xf borderId="2" fillId="0" fontId="15" numFmtId="20" xfId="0" applyAlignment="1" applyBorder="1" applyFont="1" applyNumberFormat="1">
      <alignment horizontal="center" readingOrder="0" vertical="center"/>
    </xf>
    <xf borderId="2" fillId="0" fontId="15" numFmtId="0" xfId="0" applyAlignment="1" applyBorder="1" applyFont="1">
      <alignment horizontal="center" readingOrder="0" shrinkToFit="0" vertical="center" wrapText="1"/>
    </xf>
    <xf borderId="4" fillId="0" fontId="15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horizontal="center" readingOrder="0" vertical="center"/>
    </xf>
    <xf borderId="3" fillId="0" fontId="15" numFmtId="0" xfId="0" applyAlignment="1" applyBorder="1" applyFont="1">
      <alignment horizontal="center" readingOrder="0" vertical="center"/>
    </xf>
    <xf borderId="2" fillId="0" fontId="15" numFmtId="164" xfId="0" applyAlignment="1" applyBorder="1" applyFont="1" applyNumberFormat="1">
      <alignment horizontal="center" readingOrder="0" vertical="center"/>
    </xf>
    <xf borderId="2" fillId="0" fontId="15" numFmtId="164" xfId="0" applyAlignment="1" applyBorder="1" applyFont="1" applyNumberFormat="1">
      <alignment horizontal="center" vertical="center"/>
    </xf>
    <xf borderId="2" fillId="4" fontId="22" numFmtId="0" xfId="0" applyAlignment="1" applyBorder="1" applyFont="1">
      <alignment horizontal="center" vertical="center"/>
    </xf>
    <xf borderId="3" fillId="4" fontId="23" numFmtId="164" xfId="0" applyAlignment="1" applyBorder="1" applyFont="1" applyNumberFormat="1">
      <alignment horizontal="center" vertical="center"/>
    </xf>
    <xf borderId="2" fillId="4" fontId="15" numFmtId="20" xfId="0" applyAlignment="1" applyBorder="1" applyFont="1" applyNumberFormat="1">
      <alignment horizontal="center" readingOrder="0" vertical="center"/>
    </xf>
    <xf borderId="2" fillId="4" fontId="15" numFmtId="0" xfId="0" applyAlignment="1" applyBorder="1" applyFont="1">
      <alignment horizontal="center" shrinkToFit="0" vertical="center" wrapText="1"/>
    </xf>
    <xf borderId="4" fillId="4" fontId="15" numFmtId="0" xfId="0" applyAlignment="1" applyBorder="1" applyFont="1">
      <alignment horizontal="center" vertical="center"/>
    </xf>
    <xf borderId="2" fillId="4" fontId="15" numFmtId="0" xfId="0" applyAlignment="1" applyBorder="1" applyFont="1">
      <alignment horizontal="center" vertical="center"/>
    </xf>
    <xf borderId="3" fillId="4" fontId="15" numFmtId="0" xfId="0" applyAlignment="1" applyBorder="1" applyFont="1">
      <alignment horizontal="center" readingOrder="0" vertical="center"/>
    </xf>
    <xf borderId="2" fillId="4" fontId="15" numFmtId="164" xfId="0" applyAlignment="1" applyBorder="1" applyFont="1" applyNumberFormat="1">
      <alignment horizontal="center" readingOrder="0" vertical="center"/>
    </xf>
    <xf borderId="2" fillId="4" fontId="15" numFmtId="164" xfId="0" applyAlignment="1" applyBorder="1" applyFont="1" applyNumberFormat="1">
      <alignment horizontal="center" vertical="center"/>
    </xf>
    <xf borderId="0" fillId="8" fontId="15" numFmtId="20" xfId="0" applyAlignment="1" applyFont="1" applyNumberFormat="1">
      <alignment horizontal="center" vertical="center"/>
    </xf>
    <xf borderId="2" fillId="0" fontId="15" numFmtId="20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vertical="center"/>
    </xf>
    <xf borderId="3" fillId="0" fontId="15" numFmtId="20" xfId="0" applyAlignment="1" applyBorder="1" applyFont="1" applyNumberFormat="1">
      <alignment horizontal="center" vertical="center"/>
    </xf>
    <xf borderId="2" fillId="4" fontId="15" numFmtId="20" xfId="0" applyAlignment="1" applyBorder="1" applyFont="1" applyNumberFormat="1">
      <alignment horizontal="center" vertical="center"/>
    </xf>
    <xf borderId="3" fillId="4" fontId="15" numFmtId="20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horizontal="center" vertical="center"/>
    </xf>
    <xf borderId="3" fillId="4" fontId="23" numFmtId="164" xfId="0" applyAlignment="1" applyBorder="1" applyFont="1" applyNumberFormat="1">
      <alignment horizontal="center" readingOrder="0" vertical="center"/>
    </xf>
    <xf borderId="3" fillId="0" fontId="23" numFmtId="164" xfId="0" applyAlignment="1" applyBorder="1" applyFont="1" applyNumberFormat="1">
      <alignment horizontal="center" readingOrder="0" vertical="center"/>
    </xf>
    <xf borderId="2" fillId="9" fontId="10" numFmtId="0" xfId="0" applyAlignment="1" applyBorder="1" applyFont="1">
      <alignment horizontal="center" vertical="center"/>
    </xf>
    <xf borderId="3" fillId="4" fontId="24" numFmtId="164" xfId="0" applyAlignment="1" applyBorder="1" applyFont="1" applyNumberFormat="1">
      <alignment horizontal="center" vertical="center"/>
    </xf>
    <xf borderId="0" fillId="8" fontId="15" numFmtId="0" xfId="0" applyAlignment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horizontal="center" shrinkToFit="0" vertical="center" wrapText="1"/>
    </xf>
    <xf borderId="7" fillId="9" fontId="12" numFmtId="0" xfId="0" applyAlignment="1" applyBorder="1" applyFont="1">
      <alignment horizontal="center" readingOrder="0" vertical="center"/>
    </xf>
    <xf borderId="2" fillId="9" fontId="12" numFmtId="0" xfId="0" applyAlignment="1" applyBorder="1" applyFont="1">
      <alignment horizontal="center" readingOrder="0" vertical="center"/>
    </xf>
    <xf borderId="2" fillId="0" fontId="17" numFmtId="164" xfId="0" applyAlignment="1" applyBorder="1" applyFont="1" applyNumberFormat="1">
      <alignment horizontal="center" vertical="center"/>
    </xf>
    <xf borderId="0" fillId="8" fontId="11" numFmtId="0" xfId="0" applyFont="1"/>
    <xf borderId="23" fillId="3" fontId="10" numFmtId="0" xfId="0" applyAlignment="1" applyBorder="1" applyFont="1">
      <alignment horizontal="center" readingOrder="0" vertical="center"/>
    </xf>
    <xf borderId="0" fillId="8" fontId="13" numFmtId="165" xfId="0" applyAlignment="1" applyFont="1" applyNumberFormat="1">
      <alignment horizontal="center" readingOrder="0" vertical="center"/>
    </xf>
    <xf borderId="2" fillId="0" fontId="13" numFmtId="165" xfId="0" applyAlignment="1" applyBorder="1" applyFont="1" applyNumberForma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0" fillId="8" fontId="13" numFmtId="20" xfId="0" applyAlignment="1" applyFont="1" applyNumberFormat="1">
      <alignment horizontal="center" readingOrder="0" vertical="center"/>
    </xf>
    <xf borderId="2" fillId="4" fontId="13" numFmtId="20" xfId="0" applyAlignment="1" applyBorder="1" applyFont="1" applyNumberFormat="1">
      <alignment horizontal="center" readingOrder="0" vertical="center"/>
    </xf>
    <xf borderId="2" fillId="4" fontId="13" numFmtId="0" xfId="0" applyAlignment="1" applyBorder="1" applyFont="1">
      <alignment horizontal="center" vertical="center"/>
    </xf>
    <xf borderId="4" fillId="4" fontId="13" numFmtId="0" xfId="0" applyAlignment="1" applyBorder="1" applyFont="1">
      <alignment horizontal="center" vertical="center"/>
    </xf>
    <xf borderId="3" fillId="4" fontId="13" numFmtId="20" xfId="0" applyAlignment="1" applyBorder="1" applyFont="1" applyNumberFormat="1">
      <alignment horizontal="center" vertical="center"/>
    </xf>
    <xf borderId="2" fillId="4" fontId="13" numFmtId="164" xfId="0" applyAlignment="1" applyBorder="1" applyFont="1" applyNumberFormat="1">
      <alignment horizontal="center" readingOrder="0" vertical="center"/>
    </xf>
    <xf borderId="2" fillId="4" fontId="13" numFmtId="164" xfId="0" applyAlignment="1" applyBorder="1" applyFont="1" applyNumberFormat="1">
      <alignment horizontal="center" vertical="center"/>
    </xf>
    <xf borderId="0" fillId="8" fontId="13" numFmtId="20" xfId="0" applyAlignment="1" applyFont="1" applyNumberFormat="1">
      <alignment horizontal="center" vertical="center"/>
    </xf>
    <xf borderId="4" fillId="0" fontId="13" numFmtId="0" xfId="0" applyAlignment="1" applyBorder="1" applyFont="1">
      <alignment horizontal="center" vertical="center"/>
    </xf>
    <xf borderId="2" fillId="4" fontId="13" numFmtId="20" xfId="0" applyAlignment="1" applyBorder="1" applyFont="1" applyNumberFormat="1">
      <alignment horizontal="center" vertical="center"/>
    </xf>
    <xf borderId="3" fillId="9" fontId="12" numFmtId="0" xfId="0" applyAlignment="1" applyBorder="1" applyFont="1">
      <alignment horizontal="center" readingOrder="0" vertical="center"/>
    </xf>
    <xf borderId="0" fillId="8" fontId="25" numFmtId="0" xfId="0" applyAlignment="1" applyFont="1">
      <alignment readingOrder="0"/>
    </xf>
    <xf borderId="0" fillId="8" fontId="21" numFmtId="0" xfId="0" applyAlignment="1" applyFont="1">
      <alignment horizontal="center"/>
    </xf>
    <xf borderId="0" fillId="0" fontId="21" numFmtId="0" xfId="0" applyFont="1"/>
    <xf borderId="24" fillId="8" fontId="20" numFmtId="0" xfId="0" applyAlignment="1" applyBorder="1" applyFont="1">
      <alignment horizontal="left" readingOrder="0" vertical="center"/>
    </xf>
    <xf borderId="24" fillId="0" fontId="3" numFmtId="0" xfId="0" applyBorder="1" applyFont="1"/>
    <xf borderId="25" fillId="0" fontId="3" numFmtId="0" xfId="0" applyBorder="1" applyFont="1"/>
    <xf borderId="17" fillId="8" fontId="26" numFmtId="0" xfId="0" applyAlignment="1" applyBorder="1" applyFont="1">
      <alignment horizontal="center" vertical="center"/>
    </xf>
    <xf borderId="0" fillId="8" fontId="21" numFmtId="0" xfId="0" applyFont="1"/>
    <xf borderId="0" fillId="8" fontId="23" numFmtId="0" xfId="0" applyAlignment="1" applyFont="1">
      <alignment horizontal="center" readingOrder="0" vertical="center"/>
    </xf>
    <xf borderId="2" fillId="0" fontId="15" numFmtId="20" xfId="0" applyAlignment="1" applyBorder="1" applyFont="1" applyNumberFormat="1">
      <alignment horizontal="center" readingOrder="0"/>
    </xf>
    <xf borderId="2" fillId="4" fontId="15" numFmtId="0" xfId="0" applyAlignment="1" applyBorder="1" applyFont="1">
      <alignment horizontal="center" readingOrder="0" vertical="center"/>
    </xf>
    <xf borderId="2" fillId="4" fontId="15" numFmtId="0" xfId="0" applyAlignment="1" applyBorder="1" applyFont="1">
      <alignment horizontal="center" readingOrder="0"/>
    </xf>
    <xf borderId="2" fillId="0" fontId="15" numFmtId="0" xfId="0" applyAlignment="1" applyBorder="1" applyFont="1">
      <alignment horizontal="center"/>
    </xf>
    <xf borderId="0" fillId="8" fontId="23" numFmtId="0" xfId="0" applyAlignment="1" applyFont="1">
      <alignment horizontal="center" vertical="center"/>
    </xf>
    <xf borderId="2" fillId="4" fontId="15" numFmtId="0" xfId="0" applyAlignment="1" applyBorder="1" applyFont="1">
      <alignment horizontal="center"/>
    </xf>
    <xf borderId="0" fillId="8" fontId="21" numFmtId="0" xfId="0" applyAlignment="1" applyFont="1">
      <alignment horizontal="center" vertical="center"/>
    </xf>
    <xf borderId="26" fillId="9" fontId="12" numFmtId="0" xfId="0" applyAlignment="1" applyBorder="1" applyFont="1">
      <alignment horizontal="center" readingOrder="0" vertical="center"/>
    </xf>
    <xf borderId="27" fillId="0" fontId="3" numFmtId="0" xfId="0" applyBorder="1" applyFont="1"/>
    <xf borderId="22" fillId="0" fontId="17" numFmtId="164" xfId="0" applyAlignment="1" applyBorder="1" applyFont="1" applyNumberFormat="1">
      <alignment horizontal="center" vertical="center"/>
    </xf>
    <xf borderId="22" fillId="0" fontId="17" numFmtId="20" xfId="0" applyAlignment="1" applyBorder="1" applyFont="1" applyNumberFormat="1">
      <alignment horizontal="center"/>
    </xf>
    <xf borderId="0" fillId="0" fontId="27" numFmtId="0" xfId="0" applyAlignment="1" applyFont="1">
      <alignment horizontal="center" shrinkToFit="0" vertical="center" wrapText="1"/>
    </xf>
    <xf borderId="0" fillId="0" fontId="2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2</xdr:row>
      <xdr:rowOff>95250</xdr:rowOff>
    </xdr:from>
    <xdr:ext cx="2143125" cy="314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teriais.rockcontent.com/produtos/studio/agencias?utm_source=referral&amp;utm_medium=template&amp;utm_campaign=planilha-de-projetos-pack-agencias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ockcontent.com/br/blog/ebook-tudo-que-voce-precisa-saber-sobre-o-timesheet/" TargetMode="External"/><Relationship Id="rId2" Type="http://schemas.openxmlformats.org/officeDocument/2006/relationships/hyperlink" Target="https://rockcontent.com/br/blog/timesheet-ajuda-times-criativos/" TargetMode="External"/><Relationship Id="rId3" Type="http://schemas.openxmlformats.org/officeDocument/2006/relationships/hyperlink" Target="https://rockcontent.com/br/blog/como-conscientizar-seu-time-a-usar-o-timesheet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F8FF"/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7.71"/>
    <col customWidth="1" min="2" max="2" width="6.0"/>
    <col customWidth="1" min="3" max="3" width="12.0"/>
    <col customWidth="1" min="4" max="4" width="25.57"/>
    <col customWidth="1" min="5" max="5" width="21.57"/>
    <col customWidth="1" min="6" max="6" width="13.0"/>
    <col customWidth="1" min="7" max="7" width="15.86"/>
    <col customWidth="1" min="8" max="8" width="8.43"/>
    <col customWidth="1" min="9" max="9" width="6.71"/>
  </cols>
  <sheetData>
    <row r="1" ht="96.75" customHeight="1">
      <c r="A1" s="1"/>
      <c r="B1" s="2" t="s">
        <v>0</v>
      </c>
      <c r="I1" s="3"/>
    </row>
    <row r="2">
      <c r="A2" s="4"/>
      <c r="B2" s="4"/>
      <c r="C2" s="4"/>
      <c r="D2" s="4"/>
      <c r="E2" s="4"/>
      <c r="F2" s="4"/>
      <c r="G2" s="4"/>
      <c r="H2" s="4"/>
      <c r="I2" s="4"/>
    </row>
    <row r="3">
      <c r="A3" s="4"/>
      <c r="B3" s="4"/>
      <c r="C3" s="4"/>
      <c r="D3" s="4"/>
      <c r="E3" s="4"/>
      <c r="F3" s="4"/>
      <c r="G3" s="4"/>
      <c r="H3" s="4"/>
      <c r="I3" s="4"/>
    </row>
    <row r="4">
      <c r="A4" s="4"/>
      <c r="B4" s="4"/>
      <c r="C4" s="4"/>
      <c r="D4" s="4"/>
      <c r="E4" s="4"/>
      <c r="F4" s="4"/>
      <c r="G4" s="4"/>
      <c r="H4" s="4"/>
      <c r="I4" s="4"/>
    </row>
    <row r="5">
      <c r="A5" s="4"/>
      <c r="B5" s="4"/>
      <c r="C5" s="4"/>
      <c r="D5" s="4"/>
      <c r="E5" s="4"/>
      <c r="F5" s="4"/>
      <c r="G5" s="4"/>
      <c r="H5" s="4"/>
      <c r="I5" s="4"/>
    </row>
    <row r="6">
      <c r="A6" s="4"/>
      <c r="B6" s="5" t="s">
        <v>1</v>
      </c>
    </row>
    <row r="7">
      <c r="A7" s="4"/>
      <c r="B7" s="6" t="s">
        <v>2</v>
      </c>
    </row>
    <row r="8">
      <c r="A8" s="4"/>
      <c r="B8" s="4"/>
      <c r="C8" s="4"/>
      <c r="D8" s="4"/>
      <c r="E8" s="4"/>
      <c r="F8" s="4"/>
      <c r="G8" s="4"/>
      <c r="H8" s="4"/>
      <c r="I8" s="4"/>
    </row>
    <row r="9">
      <c r="A9" s="4"/>
      <c r="B9" s="7"/>
      <c r="C9" s="7"/>
      <c r="D9" s="7"/>
      <c r="E9" s="7"/>
      <c r="F9" s="7"/>
      <c r="G9" s="7"/>
      <c r="H9" s="7"/>
      <c r="I9" s="4"/>
    </row>
    <row r="10">
      <c r="A10" s="4"/>
      <c r="B10" s="7"/>
      <c r="C10" s="8" t="s">
        <v>3</v>
      </c>
      <c r="H10" s="7"/>
      <c r="I10" s="4"/>
    </row>
    <row r="11">
      <c r="A11" s="4"/>
      <c r="B11" s="7"/>
      <c r="C11" s="9"/>
      <c r="D11" s="9"/>
      <c r="E11" s="9"/>
      <c r="F11" s="9"/>
      <c r="G11" s="9"/>
      <c r="H11" s="7"/>
      <c r="I11" s="4"/>
    </row>
    <row r="12">
      <c r="A12" s="4"/>
      <c r="B12" s="7"/>
      <c r="C12" s="9"/>
      <c r="D12" s="10" t="s">
        <v>4</v>
      </c>
      <c r="G12" s="9"/>
      <c r="H12" s="7"/>
      <c r="I12" s="4"/>
    </row>
    <row r="13">
      <c r="A13" s="4"/>
      <c r="B13" s="7"/>
      <c r="C13" s="9"/>
      <c r="G13" s="9"/>
      <c r="H13" s="7"/>
      <c r="I13" s="4"/>
    </row>
    <row r="14">
      <c r="A14" s="4"/>
      <c r="B14" s="7"/>
      <c r="C14" s="7"/>
      <c r="D14" s="7"/>
      <c r="E14" s="7"/>
      <c r="F14" s="7"/>
      <c r="G14" s="7"/>
      <c r="H14" s="7"/>
      <c r="I14" s="4"/>
    </row>
    <row r="15" ht="31.5" customHeight="1">
      <c r="A15" s="4"/>
      <c r="B15" s="4"/>
      <c r="C15" s="4"/>
      <c r="D15" s="4"/>
      <c r="E15" s="4"/>
      <c r="F15" s="4"/>
      <c r="G15" s="4"/>
      <c r="H15" s="4"/>
      <c r="I15" s="4"/>
    </row>
  </sheetData>
  <mergeCells count="5">
    <mergeCell ref="B1:I1"/>
    <mergeCell ref="B6:I6"/>
    <mergeCell ref="B7:I7"/>
    <mergeCell ref="C10:G10"/>
    <mergeCell ref="D12:F13"/>
  </mergeCells>
  <hyperlinks>
    <hyperlink r:id="rId1" ref="D1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4.14"/>
    <col customWidth="1" min="3" max="3" width="18.29"/>
    <col customWidth="1" min="4" max="4" width="12.86"/>
    <col customWidth="1" min="5" max="5" width="18.29"/>
    <col customWidth="1" min="6" max="6" width="15.71"/>
    <col customWidth="1" min="7" max="7" width="14.86"/>
    <col customWidth="1" min="8" max="8" width="0.43"/>
    <col customWidth="1" min="9" max="9" width="16.57"/>
    <col customWidth="1" min="10" max="10" width="14.29"/>
    <col customWidth="1" min="11" max="11" width="3.86"/>
  </cols>
  <sheetData>
    <row r="1">
      <c r="A1" s="11"/>
      <c r="B1" s="12" t="s">
        <v>5</v>
      </c>
      <c r="K1" s="3"/>
    </row>
    <row r="2">
      <c r="A2" s="13"/>
      <c r="B2" s="13" t="s">
        <v>6</v>
      </c>
      <c r="K2" s="13"/>
    </row>
    <row r="3">
      <c r="A3" s="14"/>
      <c r="B3" s="15" t="s">
        <v>7</v>
      </c>
      <c r="K3" s="13"/>
    </row>
    <row r="4" ht="120.75" customHeight="1">
      <c r="A4" s="16"/>
      <c r="B4" s="17" t="s">
        <v>8</v>
      </c>
      <c r="K4" s="13"/>
    </row>
    <row r="5" ht="33.0" customHeight="1">
      <c r="A5" s="16"/>
      <c r="B5" s="18" t="s">
        <v>9</v>
      </c>
      <c r="C5" s="18" t="s">
        <v>10</v>
      </c>
      <c r="D5" s="19" t="s">
        <v>11</v>
      </c>
      <c r="E5" s="18" t="s">
        <v>12</v>
      </c>
      <c r="F5" s="18" t="s">
        <v>13</v>
      </c>
      <c r="G5" s="20" t="s">
        <v>14</v>
      </c>
      <c r="H5" s="21"/>
      <c r="I5" s="18" t="s">
        <v>15</v>
      </c>
      <c r="J5" s="19" t="s">
        <v>16</v>
      </c>
      <c r="K5" s="13"/>
    </row>
    <row r="6">
      <c r="A6" s="16"/>
      <c r="B6" s="22">
        <v>0.4375</v>
      </c>
      <c r="C6" s="23">
        <v>0.7152777777777778</v>
      </c>
      <c r="D6" s="24" t="s">
        <v>17</v>
      </c>
      <c r="E6" s="24" t="s">
        <v>18</v>
      </c>
      <c r="F6" s="24" t="s">
        <v>19</v>
      </c>
      <c r="G6" s="25">
        <f t="shared" ref="G6:G7" si="1">SUM(C6-B6)</f>
        <v>0.2777777778</v>
      </c>
      <c r="H6" s="21"/>
      <c r="I6" s="26">
        <v>160.0</v>
      </c>
      <c r="J6" s="27">
        <f t="shared" ref="J6:J7" si="2">I6*(G6*24)</f>
        <v>1066.666667</v>
      </c>
      <c r="K6" s="13"/>
    </row>
    <row r="7">
      <c r="A7" s="14"/>
      <c r="B7" s="28">
        <v>0.46597222222222223</v>
      </c>
      <c r="C7" s="28">
        <v>0.5208333333333334</v>
      </c>
      <c r="D7" s="29" t="s">
        <v>20</v>
      </c>
      <c r="E7" s="29" t="s">
        <v>21</v>
      </c>
      <c r="F7" s="29" t="s">
        <v>22</v>
      </c>
      <c r="G7" s="25">
        <f t="shared" si="1"/>
        <v>0.05486111111</v>
      </c>
      <c r="H7" s="21"/>
      <c r="I7" s="26">
        <v>160.0</v>
      </c>
      <c r="J7" s="27">
        <f t="shared" si="2"/>
        <v>210.6666667</v>
      </c>
      <c r="K7" s="13"/>
    </row>
    <row r="8" ht="43.5" customHeight="1">
      <c r="A8" s="16"/>
      <c r="B8" s="17" t="s">
        <v>23</v>
      </c>
      <c r="K8" s="4"/>
    </row>
    <row r="9">
      <c r="A9" s="16"/>
      <c r="B9" s="30"/>
      <c r="C9" s="31"/>
      <c r="D9" s="32" t="s">
        <v>24</v>
      </c>
      <c r="E9" s="33"/>
      <c r="F9" s="33"/>
      <c r="G9" s="21"/>
      <c r="H9" s="34"/>
      <c r="I9" s="30"/>
      <c r="J9" s="30"/>
      <c r="K9" s="4"/>
    </row>
    <row r="10">
      <c r="A10" s="16"/>
      <c r="B10" s="30"/>
      <c r="C10" s="31"/>
      <c r="D10" s="35" t="s">
        <v>25</v>
      </c>
      <c r="E10" s="36">
        <v>17446.8</v>
      </c>
      <c r="F10" s="33"/>
      <c r="G10" s="21"/>
      <c r="H10" s="34"/>
      <c r="I10" s="30"/>
      <c r="J10" s="30"/>
      <c r="K10" s="4"/>
    </row>
    <row r="11">
      <c r="A11" s="16"/>
      <c r="B11" s="30"/>
      <c r="C11" s="31"/>
      <c r="D11" s="35" t="s">
        <v>26</v>
      </c>
      <c r="E11" s="36">
        <v>101.62</v>
      </c>
      <c r="F11" s="33"/>
      <c r="G11" s="21"/>
      <c r="H11" s="34"/>
      <c r="I11" s="30"/>
      <c r="J11" s="30"/>
      <c r="K11" s="4"/>
    </row>
    <row r="12">
      <c r="A12" s="16"/>
      <c r="B12" s="30"/>
      <c r="C12" s="31"/>
      <c r="D12" s="35" t="s">
        <v>27</v>
      </c>
      <c r="E12" s="37"/>
      <c r="F12" s="33"/>
      <c r="G12" s="21"/>
      <c r="H12" s="34"/>
      <c r="I12" s="30"/>
      <c r="J12" s="30"/>
      <c r="K12" s="4"/>
    </row>
    <row r="13">
      <c r="A13" s="16"/>
      <c r="B13" s="30"/>
      <c r="C13" s="31"/>
      <c r="D13" s="35" t="s">
        <v>28</v>
      </c>
      <c r="E13" s="37"/>
      <c r="F13" s="33"/>
      <c r="G13" s="21"/>
      <c r="H13" s="34"/>
      <c r="I13" s="30"/>
      <c r="J13" s="30"/>
      <c r="K13" s="4"/>
    </row>
    <row r="14">
      <c r="A14" s="16"/>
      <c r="B14" s="30"/>
      <c r="C14" s="31"/>
      <c r="D14" s="35" t="s">
        <v>29</v>
      </c>
      <c r="E14" s="37"/>
      <c r="F14" s="33"/>
      <c r="G14" s="21"/>
      <c r="H14" s="34"/>
      <c r="I14" s="30"/>
      <c r="J14" s="30"/>
      <c r="K14" s="4"/>
    </row>
    <row r="15">
      <c r="A15" s="16"/>
      <c r="B15" s="30"/>
      <c r="C15" s="31"/>
      <c r="D15" s="35" t="s">
        <v>30</v>
      </c>
      <c r="E15" s="37"/>
      <c r="F15" s="33"/>
      <c r="G15" s="21"/>
      <c r="H15" s="34"/>
      <c r="I15" s="30"/>
      <c r="J15" s="30"/>
      <c r="K15" s="4"/>
    </row>
    <row r="16">
      <c r="A16" s="16"/>
      <c r="B16" s="30"/>
      <c r="C16" s="31"/>
      <c r="D16" s="35" t="s">
        <v>31</v>
      </c>
      <c r="E16" s="37"/>
      <c r="F16" s="33"/>
      <c r="G16" s="21"/>
      <c r="H16" s="34"/>
      <c r="I16" s="30"/>
      <c r="J16" s="30"/>
      <c r="K16" s="4"/>
    </row>
    <row r="17">
      <c r="A17" s="16"/>
      <c r="B17" s="30"/>
      <c r="C17" s="31"/>
      <c r="D17" s="38" t="s">
        <v>32</v>
      </c>
      <c r="E17" s="39">
        <f>SUM(E10:G16)</f>
        <v>17548.42</v>
      </c>
      <c r="F17" s="33"/>
      <c r="G17" s="21"/>
      <c r="H17" s="34"/>
      <c r="I17" s="30"/>
      <c r="J17" s="30"/>
      <c r="K17" s="4"/>
    </row>
    <row r="18">
      <c r="A18" s="16"/>
      <c r="B18" s="30"/>
      <c r="C18" s="30"/>
      <c r="D18" s="40"/>
      <c r="E18" s="40"/>
      <c r="F18" s="40"/>
      <c r="G18" s="40"/>
      <c r="H18" s="30"/>
      <c r="I18" s="30"/>
      <c r="J18" s="30"/>
      <c r="K18" s="4"/>
    </row>
    <row r="19">
      <c r="A19" s="14"/>
      <c r="B19" s="15" t="s">
        <v>33</v>
      </c>
      <c r="K19" s="4"/>
    </row>
    <row r="20" ht="54.0" customHeight="1">
      <c r="A20" s="14"/>
      <c r="B20" s="17" t="s">
        <v>34</v>
      </c>
      <c r="K20" s="4"/>
    </row>
    <row r="21">
      <c r="A21" s="14"/>
      <c r="B21" s="41" t="s">
        <v>35</v>
      </c>
      <c r="K21" s="4"/>
    </row>
    <row r="22">
      <c r="A22" s="14"/>
      <c r="B22" s="42"/>
      <c r="C22" s="42"/>
      <c r="D22" s="42"/>
      <c r="E22" s="42"/>
      <c r="F22" s="42"/>
      <c r="G22" s="42"/>
      <c r="H22" s="42"/>
      <c r="I22" s="42"/>
      <c r="J22" s="42"/>
      <c r="K22" s="4"/>
    </row>
    <row r="23">
      <c r="A23" s="14"/>
      <c r="B23" s="43" t="s">
        <v>36</v>
      </c>
      <c r="C23" s="44"/>
      <c r="D23" s="44"/>
      <c r="E23" s="44"/>
      <c r="F23" s="44"/>
      <c r="G23" s="44"/>
      <c r="H23" s="44"/>
      <c r="I23" s="44"/>
      <c r="J23" s="45"/>
      <c r="K23" s="4"/>
    </row>
    <row r="24">
      <c r="A24" s="14"/>
      <c r="B24" s="46"/>
      <c r="C24" s="44"/>
      <c r="D24" s="44"/>
      <c r="E24" s="44"/>
      <c r="F24" s="44"/>
      <c r="G24" s="44"/>
      <c r="H24" s="44"/>
      <c r="I24" s="44"/>
      <c r="J24" s="45"/>
      <c r="K24" s="4"/>
    </row>
    <row r="25">
      <c r="A25" s="14"/>
      <c r="B25" s="43" t="s">
        <v>37</v>
      </c>
      <c r="C25" s="44"/>
      <c r="D25" s="44"/>
      <c r="E25" s="44"/>
      <c r="F25" s="44"/>
      <c r="G25" s="44"/>
      <c r="H25" s="44"/>
      <c r="I25" s="44"/>
      <c r="J25" s="45"/>
      <c r="K25" s="4"/>
    </row>
    <row r="26">
      <c r="A26" s="14"/>
      <c r="B26" s="46"/>
      <c r="C26" s="44"/>
      <c r="D26" s="44"/>
      <c r="E26" s="44"/>
      <c r="F26" s="44"/>
      <c r="G26" s="44"/>
      <c r="H26" s="44"/>
      <c r="I26" s="44"/>
      <c r="J26" s="45"/>
      <c r="K26" s="4"/>
    </row>
    <row r="27">
      <c r="A27" s="14"/>
      <c r="B27" s="43" t="s">
        <v>38</v>
      </c>
      <c r="C27" s="44"/>
      <c r="D27" s="44"/>
      <c r="E27" s="44"/>
      <c r="F27" s="44"/>
      <c r="G27" s="44"/>
      <c r="H27" s="44"/>
      <c r="I27" s="44"/>
      <c r="J27" s="45"/>
      <c r="K27" s="4"/>
    </row>
    <row r="28">
      <c r="A28" s="14"/>
      <c r="B28" s="46"/>
      <c r="C28" s="44"/>
      <c r="D28" s="44"/>
      <c r="E28" s="44"/>
      <c r="F28" s="44"/>
      <c r="G28" s="44"/>
      <c r="H28" s="44"/>
      <c r="I28" s="44"/>
      <c r="J28" s="45"/>
      <c r="K28" s="4"/>
    </row>
    <row r="29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</row>
  </sheetData>
  <mergeCells count="26">
    <mergeCell ref="B1:K1"/>
    <mergeCell ref="B2:J2"/>
    <mergeCell ref="B3:J3"/>
    <mergeCell ref="B4:J4"/>
    <mergeCell ref="G5:H5"/>
    <mergeCell ref="G6:H6"/>
    <mergeCell ref="G7:H7"/>
    <mergeCell ref="B8:J8"/>
    <mergeCell ref="D9:G9"/>
    <mergeCell ref="E10:G10"/>
    <mergeCell ref="E11:G11"/>
    <mergeCell ref="E12:G12"/>
    <mergeCell ref="E13:G13"/>
    <mergeCell ref="E14:G14"/>
    <mergeCell ref="B24:J24"/>
    <mergeCell ref="B25:J25"/>
    <mergeCell ref="B26:J26"/>
    <mergeCell ref="B27:J27"/>
    <mergeCell ref="B28:J28"/>
    <mergeCell ref="E15:G15"/>
    <mergeCell ref="E16:G16"/>
    <mergeCell ref="E17:G17"/>
    <mergeCell ref="B19:J19"/>
    <mergeCell ref="B20:J20"/>
    <mergeCell ref="B21:J21"/>
    <mergeCell ref="B23:J23"/>
  </mergeCells>
  <hyperlinks>
    <hyperlink r:id="rId1" ref="B23"/>
    <hyperlink r:id="rId2" ref="B25"/>
    <hyperlink r:id="rId3" ref="B27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pageSetUpPr/>
  </sheetPr>
  <sheetViews>
    <sheetView showGridLines="0" workbookViewId="0"/>
  </sheetViews>
  <sheetFormatPr customHeight="1" defaultColWidth="14.43" defaultRowHeight="15.0"/>
  <cols>
    <col customWidth="1" min="1" max="1" width="5.43"/>
    <col customWidth="1" min="2" max="3" width="12.29"/>
    <col customWidth="1" min="4" max="4" width="22.0"/>
    <col customWidth="1" min="5" max="5" width="24.86"/>
    <col customWidth="1" min="6" max="6" width="21.43"/>
    <col customWidth="1" min="7" max="7" width="11.29"/>
    <col customWidth="1" min="8" max="8" width="11.86"/>
    <col customWidth="1" min="9" max="9" width="15.71"/>
    <col customWidth="1" min="10" max="10" width="15.86"/>
    <col customWidth="1" min="11" max="11" width="8.71"/>
    <col customWidth="1" min="12" max="12" width="12.71"/>
    <col customWidth="1" min="13" max="16" width="8.71"/>
  </cols>
  <sheetData>
    <row r="1" ht="26.25" customHeight="1">
      <c r="A1" s="48"/>
      <c r="B1" s="49" t="s">
        <v>39</v>
      </c>
      <c r="C1" s="50"/>
      <c r="D1" s="51"/>
      <c r="E1" s="52"/>
      <c r="F1" s="53" t="s">
        <v>40</v>
      </c>
      <c r="G1" s="54" t="s">
        <v>41</v>
      </c>
      <c r="H1" s="33"/>
      <c r="I1" s="33"/>
      <c r="J1" s="21"/>
      <c r="K1" s="55"/>
      <c r="L1" s="55"/>
      <c r="M1" s="55"/>
      <c r="N1" s="55"/>
      <c r="O1" s="55"/>
      <c r="P1" s="55"/>
    </row>
    <row r="2" ht="26.25" customHeight="1">
      <c r="A2" s="48"/>
      <c r="B2" s="56"/>
      <c r="C2" s="57"/>
      <c r="D2" s="58"/>
      <c r="E2" s="59"/>
      <c r="F2" s="53" t="s">
        <v>42</v>
      </c>
      <c r="G2" s="54" t="s">
        <v>43</v>
      </c>
      <c r="H2" s="33"/>
      <c r="I2" s="33"/>
      <c r="J2" s="21"/>
      <c r="K2" s="55"/>
      <c r="L2" s="60"/>
      <c r="P2" s="55"/>
    </row>
    <row r="3">
      <c r="A3" s="61"/>
      <c r="B3" s="62" t="s">
        <v>25</v>
      </c>
      <c r="C3" s="63"/>
      <c r="D3" s="64"/>
      <c r="E3" s="64"/>
      <c r="F3" s="65"/>
      <c r="G3" s="65"/>
      <c r="H3" s="65"/>
      <c r="I3" s="65"/>
      <c r="J3" s="65"/>
      <c r="K3" s="55"/>
      <c r="L3" s="66" t="s">
        <v>44</v>
      </c>
      <c r="M3" s="33"/>
      <c r="N3" s="33"/>
      <c r="O3" s="21"/>
      <c r="P3" s="55"/>
    </row>
    <row r="4" ht="18.0" customHeight="1">
      <c r="A4" s="67"/>
      <c r="B4" s="68" t="s">
        <v>9</v>
      </c>
      <c r="C4" s="69" t="s">
        <v>10</v>
      </c>
      <c r="D4" s="62" t="s">
        <v>45</v>
      </c>
      <c r="E4" s="70" t="s">
        <v>12</v>
      </c>
      <c r="F4" s="69" t="s">
        <v>13</v>
      </c>
      <c r="G4" s="71" t="s">
        <v>14</v>
      </c>
      <c r="H4" s="21"/>
      <c r="I4" s="62" t="s">
        <v>46</v>
      </c>
      <c r="J4" s="62" t="s">
        <v>47</v>
      </c>
      <c r="K4" s="55"/>
      <c r="L4" s="72" t="s">
        <v>25</v>
      </c>
      <c r="M4" s="73">
        <f>J13</f>
        <v>17446.8</v>
      </c>
      <c r="N4" s="33"/>
      <c r="O4" s="21"/>
      <c r="P4" s="55"/>
    </row>
    <row r="5">
      <c r="A5" s="74"/>
      <c r="B5" s="75">
        <v>0.4166666666666667</v>
      </c>
      <c r="C5" s="75">
        <v>0.4375</v>
      </c>
      <c r="D5" s="76" t="s">
        <v>48</v>
      </c>
      <c r="E5" s="77" t="s">
        <v>49</v>
      </c>
      <c r="F5" s="78" t="s">
        <v>50</v>
      </c>
      <c r="G5" s="79">
        <v>1.0</v>
      </c>
      <c r="H5" s="21"/>
      <c r="I5" s="80">
        <v>23.45</v>
      </c>
      <c r="J5" s="81">
        <f t="shared" ref="J5:J12" si="1">I5*(G5*24)</f>
        <v>562.8</v>
      </c>
      <c r="K5" s="55"/>
      <c r="L5" s="82" t="s">
        <v>26</v>
      </c>
      <c r="M5" s="83">
        <f>J25</f>
        <v>101.6166667</v>
      </c>
      <c r="N5" s="33"/>
      <c r="O5" s="21"/>
      <c r="P5" s="55"/>
    </row>
    <row r="6">
      <c r="A6" s="74"/>
      <c r="B6" s="84">
        <v>0.4583333333333333</v>
      </c>
      <c r="C6" s="84">
        <v>0.5104166666666666</v>
      </c>
      <c r="D6" s="85"/>
      <c r="E6" s="86"/>
      <c r="F6" s="87"/>
      <c r="G6" s="88">
        <v>30.0</v>
      </c>
      <c r="H6" s="21"/>
      <c r="I6" s="89">
        <v>23.45</v>
      </c>
      <c r="J6" s="90">
        <f t="shared" si="1"/>
        <v>16884</v>
      </c>
      <c r="K6" s="55"/>
      <c r="L6" s="72" t="s">
        <v>27</v>
      </c>
      <c r="M6" s="73">
        <f>J37</f>
        <v>0</v>
      </c>
      <c r="N6" s="33"/>
      <c r="O6" s="21"/>
      <c r="P6" s="55"/>
    </row>
    <row r="7">
      <c r="A7" s="91"/>
      <c r="B7" s="92"/>
      <c r="C7" s="92"/>
      <c r="D7" s="93"/>
      <c r="E7" s="94"/>
      <c r="F7" s="78" t="s">
        <v>51</v>
      </c>
      <c r="G7" s="95">
        <f t="shared" ref="G7:G12" si="2">SUM(C7-B7)</f>
        <v>0</v>
      </c>
      <c r="H7" s="21"/>
      <c r="I7" s="81"/>
      <c r="J7" s="81">
        <f t="shared" si="1"/>
        <v>0</v>
      </c>
      <c r="K7" s="55"/>
      <c r="L7" s="82" t="s">
        <v>28</v>
      </c>
      <c r="M7" s="83">
        <f>J48</f>
        <v>0</v>
      </c>
      <c r="N7" s="33"/>
      <c r="O7" s="21"/>
      <c r="P7" s="55"/>
    </row>
    <row r="8">
      <c r="A8" s="91"/>
      <c r="B8" s="96"/>
      <c r="C8" s="96"/>
      <c r="D8" s="85"/>
      <c r="E8" s="86"/>
      <c r="F8" s="87"/>
      <c r="G8" s="97">
        <f t="shared" si="2"/>
        <v>0</v>
      </c>
      <c r="H8" s="21"/>
      <c r="I8" s="90"/>
      <c r="J8" s="90">
        <f t="shared" si="1"/>
        <v>0</v>
      </c>
      <c r="K8" s="55"/>
      <c r="L8" s="72" t="s">
        <v>29</v>
      </c>
      <c r="M8" s="73">
        <f>J61</f>
        <v>0</v>
      </c>
      <c r="N8" s="33"/>
      <c r="O8" s="21"/>
      <c r="P8" s="55"/>
    </row>
    <row r="9">
      <c r="A9" s="91"/>
      <c r="B9" s="92"/>
      <c r="C9" s="92"/>
      <c r="D9" s="93"/>
      <c r="E9" s="94"/>
      <c r="F9" s="98"/>
      <c r="G9" s="95">
        <f t="shared" si="2"/>
        <v>0</v>
      </c>
      <c r="H9" s="21"/>
      <c r="I9" s="81"/>
      <c r="J9" s="81">
        <f t="shared" si="1"/>
        <v>0</v>
      </c>
      <c r="K9" s="55"/>
      <c r="L9" s="82" t="s">
        <v>30</v>
      </c>
      <c r="M9" s="99" t="s">
        <v>52</v>
      </c>
      <c r="N9" s="33"/>
      <c r="O9" s="21"/>
      <c r="P9" s="55"/>
    </row>
    <row r="10">
      <c r="A10" s="91"/>
      <c r="B10" s="96"/>
      <c r="C10" s="96"/>
      <c r="D10" s="85"/>
      <c r="E10" s="86"/>
      <c r="F10" s="87"/>
      <c r="G10" s="97">
        <f t="shared" si="2"/>
        <v>0</v>
      </c>
      <c r="H10" s="21"/>
      <c r="I10" s="90"/>
      <c r="J10" s="90">
        <f t="shared" si="1"/>
        <v>0</v>
      </c>
      <c r="K10" s="55"/>
      <c r="L10" s="72" t="s">
        <v>31</v>
      </c>
      <c r="M10" s="100" t="s">
        <v>52</v>
      </c>
      <c r="N10" s="33"/>
      <c r="O10" s="21"/>
      <c r="P10" s="55"/>
    </row>
    <row r="11">
      <c r="A11" s="91"/>
      <c r="B11" s="92"/>
      <c r="C11" s="92"/>
      <c r="D11" s="93"/>
      <c r="E11" s="94"/>
      <c r="F11" s="98"/>
      <c r="G11" s="95">
        <f t="shared" si="2"/>
        <v>0</v>
      </c>
      <c r="H11" s="21"/>
      <c r="I11" s="81"/>
      <c r="J11" s="81">
        <f t="shared" si="1"/>
        <v>0</v>
      </c>
      <c r="K11" s="55"/>
      <c r="L11" s="101" t="s">
        <v>53</v>
      </c>
      <c r="M11" s="102">
        <f>SUM(M4:O10)</f>
        <v>17548.41667</v>
      </c>
      <c r="N11" s="33"/>
      <c r="O11" s="21"/>
      <c r="P11" s="55"/>
    </row>
    <row r="12">
      <c r="A12" s="91"/>
      <c r="B12" s="96"/>
      <c r="C12" s="96"/>
      <c r="D12" s="85"/>
      <c r="E12" s="86"/>
      <c r="F12" s="87"/>
      <c r="G12" s="97">
        <f t="shared" si="2"/>
        <v>0</v>
      </c>
      <c r="H12" s="21"/>
      <c r="I12" s="90"/>
      <c r="J12" s="90">
        <f t="shared" si="1"/>
        <v>0</v>
      </c>
      <c r="K12" s="55"/>
      <c r="L12" s="55"/>
      <c r="M12" s="55"/>
      <c r="N12" s="55"/>
      <c r="O12" s="55"/>
      <c r="P12" s="55"/>
    </row>
    <row r="13">
      <c r="A13" s="103"/>
      <c r="B13" s="104"/>
      <c r="C13" s="104"/>
      <c r="D13" s="105"/>
      <c r="E13" s="106" t="s">
        <v>54</v>
      </c>
      <c r="F13" s="21"/>
      <c r="G13" s="95">
        <f>SUM(G5+G6+G7+G8+G9+G10+G11+G12)</f>
        <v>31</v>
      </c>
      <c r="H13" s="21"/>
      <c r="I13" s="107" t="s">
        <v>55</v>
      </c>
      <c r="J13" s="108">
        <f>SUM(J5:J12)</f>
        <v>17446.8</v>
      </c>
      <c r="K13" s="55"/>
      <c r="L13" s="55"/>
      <c r="M13" s="55"/>
      <c r="N13" s="55"/>
      <c r="O13" s="55"/>
      <c r="P13" s="55"/>
    </row>
    <row r="14">
      <c r="A14" s="109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</row>
    <row r="15" ht="18.75" customHeight="1">
      <c r="A15" s="61"/>
      <c r="B15" s="110" t="s">
        <v>26</v>
      </c>
      <c r="C15" s="63"/>
      <c r="D15" s="64"/>
      <c r="E15" s="64"/>
      <c r="F15" s="64"/>
      <c r="G15" s="64"/>
      <c r="H15" s="64"/>
      <c r="I15" s="64"/>
      <c r="J15" s="64"/>
      <c r="K15" s="55"/>
      <c r="L15" s="55"/>
      <c r="M15" s="55"/>
      <c r="N15" s="55"/>
      <c r="O15" s="55"/>
      <c r="P15" s="55"/>
    </row>
    <row r="16" ht="18.75" customHeight="1">
      <c r="A16" s="67"/>
      <c r="B16" s="69" t="s">
        <v>9</v>
      </c>
      <c r="C16" s="69" t="s">
        <v>10</v>
      </c>
      <c r="D16" s="62" t="s">
        <v>45</v>
      </c>
      <c r="E16" s="70" t="s">
        <v>12</v>
      </c>
      <c r="F16" s="69" t="s">
        <v>13</v>
      </c>
      <c r="G16" s="71" t="s">
        <v>14</v>
      </c>
      <c r="H16" s="21"/>
      <c r="I16" s="62" t="s">
        <v>46</v>
      </c>
      <c r="J16" s="62" t="s">
        <v>47</v>
      </c>
      <c r="K16" s="55"/>
      <c r="L16" s="55"/>
      <c r="M16" s="55"/>
      <c r="N16" s="55"/>
      <c r="O16" s="55"/>
      <c r="P16" s="55"/>
    </row>
    <row r="17">
      <c r="A17" s="111"/>
      <c r="B17" s="112">
        <v>0.375</v>
      </c>
      <c r="C17" s="22">
        <v>0.4895833333333333</v>
      </c>
      <c r="D17" s="24" t="s">
        <v>56</v>
      </c>
      <c r="E17" s="113" t="s">
        <v>49</v>
      </c>
      <c r="F17" s="24" t="s">
        <v>50</v>
      </c>
      <c r="G17" s="25">
        <f t="shared" ref="G17:G24" si="3">SUM(C17-B17)</f>
        <v>0.1145833333</v>
      </c>
      <c r="H17" s="21"/>
      <c r="I17" s="26">
        <v>23.45</v>
      </c>
      <c r="J17" s="27">
        <f t="shared" ref="J17:J24" si="4">I17*(G17*24)</f>
        <v>64.4875</v>
      </c>
      <c r="K17" s="55"/>
      <c r="L17" s="55"/>
      <c r="M17" s="55"/>
      <c r="N17" s="55"/>
      <c r="O17" s="55"/>
      <c r="P17" s="55"/>
    </row>
    <row r="18">
      <c r="A18" s="114"/>
      <c r="B18" s="115">
        <v>0.59375</v>
      </c>
      <c r="C18" s="115">
        <v>0.6597222222222222</v>
      </c>
      <c r="D18" s="116"/>
      <c r="E18" s="117"/>
      <c r="F18" s="116"/>
      <c r="G18" s="118">
        <f t="shared" si="3"/>
        <v>0.06597222222</v>
      </c>
      <c r="H18" s="21"/>
      <c r="I18" s="119">
        <v>23.45</v>
      </c>
      <c r="J18" s="120">
        <f t="shared" si="4"/>
        <v>37.12916667</v>
      </c>
      <c r="K18" s="55"/>
      <c r="L18" s="55"/>
      <c r="M18" s="55"/>
      <c r="N18" s="55"/>
      <c r="O18" s="55"/>
      <c r="P18" s="55"/>
    </row>
    <row r="19">
      <c r="A19" s="121"/>
      <c r="B19" s="28"/>
      <c r="C19" s="28"/>
      <c r="D19" s="29"/>
      <c r="E19" s="122"/>
      <c r="F19" s="29"/>
      <c r="G19" s="25">
        <f t="shared" si="3"/>
        <v>0</v>
      </c>
      <c r="H19" s="21"/>
      <c r="I19" s="27"/>
      <c r="J19" s="27">
        <f t="shared" si="4"/>
        <v>0</v>
      </c>
      <c r="K19" s="55"/>
      <c r="L19" s="55"/>
      <c r="M19" s="55"/>
      <c r="N19" s="55"/>
      <c r="O19" s="55"/>
      <c r="P19" s="55"/>
    </row>
    <row r="20">
      <c r="A20" s="121"/>
      <c r="B20" s="123"/>
      <c r="C20" s="123"/>
      <c r="D20" s="116"/>
      <c r="E20" s="117"/>
      <c r="F20" s="116"/>
      <c r="G20" s="118">
        <f t="shared" si="3"/>
        <v>0</v>
      </c>
      <c r="H20" s="21"/>
      <c r="I20" s="120"/>
      <c r="J20" s="120">
        <f t="shared" si="4"/>
        <v>0</v>
      </c>
      <c r="K20" s="55"/>
      <c r="L20" s="55"/>
      <c r="M20" s="55"/>
      <c r="N20" s="55"/>
      <c r="O20" s="55"/>
      <c r="P20" s="55"/>
    </row>
    <row r="21">
      <c r="A21" s="121"/>
      <c r="B21" s="28"/>
      <c r="C21" s="28"/>
      <c r="D21" s="29"/>
      <c r="E21" s="122"/>
      <c r="F21" s="29"/>
      <c r="G21" s="25">
        <f t="shared" si="3"/>
        <v>0</v>
      </c>
      <c r="H21" s="21"/>
      <c r="I21" s="27"/>
      <c r="J21" s="27">
        <f t="shared" si="4"/>
        <v>0</v>
      </c>
      <c r="K21" s="55"/>
      <c r="L21" s="55"/>
      <c r="M21" s="55"/>
      <c r="N21" s="55"/>
      <c r="O21" s="55"/>
      <c r="P21" s="55"/>
    </row>
    <row r="22">
      <c r="A22" s="121"/>
      <c r="B22" s="123"/>
      <c r="C22" s="123"/>
      <c r="D22" s="116"/>
      <c r="E22" s="117"/>
      <c r="F22" s="116"/>
      <c r="G22" s="118">
        <f t="shared" si="3"/>
        <v>0</v>
      </c>
      <c r="H22" s="21"/>
      <c r="I22" s="120"/>
      <c r="J22" s="120">
        <f t="shared" si="4"/>
        <v>0</v>
      </c>
      <c r="K22" s="55"/>
      <c r="L22" s="55"/>
      <c r="M22" s="55"/>
      <c r="N22" s="55"/>
      <c r="O22" s="55"/>
      <c r="P22" s="55"/>
    </row>
    <row r="23">
      <c r="A23" s="121"/>
      <c r="B23" s="28"/>
      <c r="C23" s="28"/>
      <c r="D23" s="29"/>
      <c r="E23" s="122"/>
      <c r="F23" s="29"/>
      <c r="G23" s="25">
        <f t="shared" si="3"/>
        <v>0</v>
      </c>
      <c r="H23" s="21"/>
      <c r="I23" s="27"/>
      <c r="J23" s="27">
        <f t="shared" si="4"/>
        <v>0</v>
      </c>
      <c r="K23" s="55"/>
      <c r="L23" s="55"/>
      <c r="M23" s="55"/>
      <c r="N23" s="55"/>
      <c r="O23" s="55"/>
      <c r="P23" s="55"/>
    </row>
    <row r="24">
      <c r="A24" s="121"/>
      <c r="B24" s="123"/>
      <c r="C24" s="123"/>
      <c r="D24" s="116"/>
      <c r="E24" s="117"/>
      <c r="F24" s="116"/>
      <c r="G24" s="118">
        <f t="shared" si="3"/>
        <v>0</v>
      </c>
      <c r="H24" s="21"/>
      <c r="I24" s="120"/>
      <c r="J24" s="120">
        <f t="shared" si="4"/>
        <v>0</v>
      </c>
      <c r="K24" s="55"/>
      <c r="L24" s="55"/>
      <c r="M24" s="55"/>
      <c r="N24" s="55"/>
      <c r="O24" s="55"/>
      <c r="P24" s="55"/>
    </row>
    <row r="25" ht="18.75" customHeight="1">
      <c r="A25" s="103"/>
      <c r="B25" s="104"/>
      <c r="C25" s="104"/>
      <c r="D25" s="104"/>
      <c r="E25" s="124" t="s">
        <v>54</v>
      </c>
      <c r="F25" s="21"/>
      <c r="G25" s="25">
        <f>SUM(G17+G18+G19+G20+G21+G22+G23+G24)</f>
        <v>0.1805555556</v>
      </c>
      <c r="H25" s="21"/>
      <c r="I25" s="107" t="s">
        <v>55</v>
      </c>
      <c r="J25" s="108">
        <f>SUM(J17:J24)</f>
        <v>101.6166667</v>
      </c>
      <c r="K25" s="55"/>
      <c r="L25" s="55"/>
      <c r="M25" s="55"/>
      <c r="N25" s="55"/>
      <c r="O25" s="55"/>
      <c r="P25" s="55"/>
    </row>
    <row r="26" ht="15.75" customHeight="1">
      <c r="A26" s="109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</row>
    <row r="27" ht="15.75" customHeight="1">
      <c r="A27" s="109"/>
      <c r="B27" s="110" t="s">
        <v>27</v>
      </c>
      <c r="C27" s="63"/>
      <c r="D27" s="64"/>
      <c r="E27" s="64"/>
      <c r="F27" s="64"/>
      <c r="G27" s="64"/>
      <c r="H27" s="64"/>
      <c r="I27" s="64"/>
      <c r="J27" s="64"/>
      <c r="K27" s="55"/>
      <c r="L27" s="55"/>
      <c r="M27" s="55"/>
      <c r="N27" s="55"/>
      <c r="O27" s="55"/>
      <c r="P27" s="55"/>
    </row>
    <row r="28" ht="15.75" customHeight="1">
      <c r="A28" s="109"/>
      <c r="B28" s="69" t="s">
        <v>9</v>
      </c>
      <c r="C28" s="69" t="s">
        <v>10</v>
      </c>
      <c r="D28" s="62" t="s">
        <v>45</v>
      </c>
      <c r="E28" s="70" t="s">
        <v>12</v>
      </c>
      <c r="F28" s="69" t="s">
        <v>13</v>
      </c>
      <c r="G28" s="71" t="s">
        <v>14</v>
      </c>
      <c r="H28" s="21"/>
      <c r="I28" s="62" t="s">
        <v>46</v>
      </c>
      <c r="J28" s="62" t="s">
        <v>47</v>
      </c>
      <c r="K28" s="55"/>
      <c r="L28" s="55"/>
      <c r="M28" s="55"/>
      <c r="N28" s="55"/>
      <c r="O28" s="55"/>
      <c r="P28" s="55"/>
    </row>
    <row r="29" ht="15.75" customHeight="1">
      <c r="A29" s="55"/>
      <c r="B29" s="112">
        <v>0.0</v>
      </c>
      <c r="C29" s="22">
        <v>0.0</v>
      </c>
      <c r="D29" s="24" t="s">
        <v>56</v>
      </c>
      <c r="E29" s="113" t="s">
        <v>49</v>
      </c>
      <c r="F29" s="24" t="s">
        <v>50</v>
      </c>
      <c r="G29" s="25">
        <f t="shared" ref="G29:G36" si="5">SUM(C29-B29)</f>
        <v>0</v>
      </c>
      <c r="H29" s="21"/>
      <c r="I29" s="26">
        <v>0.0</v>
      </c>
      <c r="J29" s="27">
        <f t="shared" ref="J29:J36" si="6">I29*(G29*24)</f>
        <v>0</v>
      </c>
      <c r="K29" s="55"/>
      <c r="L29" s="55"/>
      <c r="M29" s="55"/>
      <c r="N29" s="55"/>
      <c r="O29" s="55"/>
      <c r="P29" s="55"/>
    </row>
    <row r="30" ht="15.75" customHeight="1">
      <c r="A30" s="55"/>
      <c r="B30" s="115">
        <v>0.0</v>
      </c>
      <c r="C30" s="115">
        <v>0.0</v>
      </c>
      <c r="D30" s="116"/>
      <c r="E30" s="117"/>
      <c r="F30" s="116"/>
      <c r="G30" s="118">
        <f t="shared" si="5"/>
        <v>0</v>
      </c>
      <c r="H30" s="21"/>
      <c r="I30" s="119">
        <v>0.0</v>
      </c>
      <c r="J30" s="120">
        <f t="shared" si="6"/>
        <v>0</v>
      </c>
      <c r="K30" s="55"/>
      <c r="L30" s="55"/>
      <c r="M30" s="55"/>
      <c r="N30" s="55"/>
      <c r="O30" s="55"/>
      <c r="P30" s="55"/>
    </row>
    <row r="31" ht="15.75" customHeight="1">
      <c r="A31" s="55"/>
      <c r="B31" s="28"/>
      <c r="C31" s="28"/>
      <c r="D31" s="29"/>
      <c r="E31" s="122"/>
      <c r="F31" s="29"/>
      <c r="G31" s="25">
        <f t="shared" si="5"/>
        <v>0</v>
      </c>
      <c r="H31" s="21"/>
      <c r="I31" s="27"/>
      <c r="J31" s="27">
        <f t="shared" si="6"/>
        <v>0</v>
      </c>
      <c r="K31" s="55"/>
      <c r="L31" s="55"/>
      <c r="M31" s="55"/>
      <c r="N31" s="55"/>
      <c r="O31" s="55"/>
      <c r="P31" s="55"/>
    </row>
    <row r="32" ht="15.75" customHeight="1">
      <c r="A32" s="55"/>
      <c r="B32" s="123"/>
      <c r="C32" s="123"/>
      <c r="D32" s="116"/>
      <c r="E32" s="117"/>
      <c r="F32" s="116"/>
      <c r="G32" s="118">
        <f t="shared" si="5"/>
        <v>0</v>
      </c>
      <c r="H32" s="21"/>
      <c r="I32" s="120"/>
      <c r="J32" s="120">
        <f t="shared" si="6"/>
        <v>0</v>
      </c>
      <c r="K32" s="55"/>
      <c r="L32" s="55"/>
      <c r="M32" s="55"/>
      <c r="N32" s="55"/>
      <c r="O32" s="55"/>
      <c r="P32" s="55"/>
    </row>
    <row r="33" ht="15.75" customHeight="1">
      <c r="A33" s="55"/>
      <c r="B33" s="28"/>
      <c r="C33" s="28"/>
      <c r="D33" s="29"/>
      <c r="E33" s="122"/>
      <c r="F33" s="29"/>
      <c r="G33" s="25">
        <f t="shared" si="5"/>
        <v>0</v>
      </c>
      <c r="H33" s="21"/>
      <c r="I33" s="27"/>
      <c r="J33" s="27">
        <f t="shared" si="6"/>
        <v>0</v>
      </c>
      <c r="K33" s="55"/>
      <c r="L33" s="55"/>
      <c r="M33" s="55"/>
      <c r="N33" s="55"/>
      <c r="O33" s="55"/>
      <c r="P33" s="55"/>
    </row>
    <row r="34" ht="15.75" customHeight="1">
      <c r="A34" s="55"/>
      <c r="B34" s="123"/>
      <c r="C34" s="123"/>
      <c r="D34" s="116"/>
      <c r="E34" s="117"/>
      <c r="F34" s="116"/>
      <c r="G34" s="118">
        <f t="shared" si="5"/>
        <v>0</v>
      </c>
      <c r="H34" s="21"/>
      <c r="I34" s="120"/>
      <c r="J34" s="120">
        <f t="shared" si="6"/>
        <v>0</v>
      </c>
      <c r="K34" s="55"/>
      <c r="L34" s="55"/>
      <c r="M34" s="55"/>
      <c r="N34" s="55"/>
      <c r="O34" s="55"/>
      <c r="P34" s="55"/>
    </row>
    <row r="35" ht="15.75" customHeight="1">
      <c r="A35" s="55"/>
      <c r="B35" s="28"/>
      <c r="C35" s="28"/>
      <c r="D35" s="29"/>
      <c r="E35" s="122"/>
      <c r="F35" s="29"/>
      <c r="G35" s="25">
        <f t="shared" si="5"/>
        <v>0</v>
      </c>
      <c r="H35" s="21"/>
      <c r="I35" s="27"/>
      <c r="J35" s="27">
        <f t="shared" si="6"/>
        <v>0</v>
      </c>
      <c r="K35" s="55"/>
      <c r="L35" s="55"/>
      <c r="M35" s="55"/>
      <c r="N35" s="55"/>
      <c r="O35" s="55"/>
      <c r="P35" s="55"/>
    </row>
    <row r="36" ht="15.75" customHeight="1">
      <c r="A36" s="55"/>
      <c r="B36" s="123"/>
      <c r="C36" s="123"/>
      <c r="D36" s="116"/>
      <c r="E36" s="117"/>
      <c r="F36" s="116"/>
      <c r="G36" s="118">
        <f t="shared" si="5"/>
        <v>0</v>
      </c>
      <c r="H36" s="21"/>
      <c r="I36" s="120"/>
      <c r="J36" s="120">
        <f t="shared" si="6"/>
        <v>0</v>
      </c>
      <c r="K36" s="55"/>
      <c r="L36" s="55"/>
      <c r="M36" s="55"/>
      <c r="N36" s="55"/>
      <c r="O36" s="55"/>
      <c r="P36" s="55"/>
    </row>
    <row r="37" ht="15.75" customHeight="1">
      <c r="A37" s="55"/>
      <c r="B37" s="104"/>
      <c r="C37" s="104"/>
      <c r="D37" s="104"/>
      <c r="E37" s="124" t="s">
        <v>54</v>
      </c>
      <c r="F37" s="21"/>
      <c r="G37" s="25">
        <f>SUM(G29+G30+G31+G32+G33+G34+G35+G36)</f>
        <v>0</v>
      </c>
      <c r="H37" s="21"/>
      <c r="I37" s="107" t="s">
        <v>55</v>
      </c>
      <c r="J37" s="108">
        <f>SUM(J29:J36)</f>
        <v>0</v>
      </c>
      <c r="K37" s="55"/>
      <c r="L37" s="55"/>
      <c r="M37" s="55"/>
      <c r="N37" s="55"/>
      <c r="O37" s="55"/>
      <c r="P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</row>
    <row r="39" ht="15.75" customHeight="1">
      <c r="A39" s="55"/>
      <c r="B39" s="110" t="s">
        <v>28</v>
      </c>
      <c r="C39" s="63"/>
      <c r="D39" s="64"/>
      <c r="E39" s="64"/>
      <c r="F39" s="64"/>
      <c r="G39" s="64"/>
      <c r="H39" s="64"/>
      <c r="I39" s="64"/>
      <c r="J39" s="64"/>
      <c r="K39" s="55"/>
      <c r="L39" s="55"/>
      <c r="M39" s="55"/>
      <c r="N39" s="55"/>
      <c r="O39" s="55"/>
      <c r="P39" s="55"/>
    </row>
    <row r="40" ht="15.75" customHeight="1">
      <c r="A40" s="55"/>
      <c r="B40" s="69" t="s">
        <v>9</v>
      </c>
      <c r="C40" s="69" t="s">
        <v>10</v>
      </c>
      <c r="D40" s="62" t="s">
        <v>45</v>
      </c>
      <c r="E40" s="70" t="s">
        <v>12</v>
      </c>
      <c r="F40" s="69" t="s">
        <v>13</v>
      </c>
      <c r="G40" s="71" t="s">
        <v>14</v>
      </c>
      <c r="H40" s="21"/>
      <c r="I40" s="62" t="s">
        <v>46</v>
      </c>
      <c r="J40" s="62" t="s">
        <v>47</v>
      </c>
      <c r="K40" s="55"/>
      <c r="L40" s="55"/>
      <c r="M40" s="55"/>
      <c r="N40" s="55"/>
      <c r="O40" s="55"/>
      <c r="P40" s="55"/>
    </row>
    <row r="41" ht="15.75" customHeight="1">
      <c r="A41" s="55"/>
      <c r="B41" s="112">
        <v>0.0</v>
      </c>
      <c r="C41" s="22">
        <v>0.0</v>
      </c>
      <c r="D41" s="24" t="s">
        <v>56</v>
      </c>
      <c r="E41" s="113" t="s">
        <v>49</v>
      </c>
      <c r="F41" s="24" t="s">
        <v>50</v>
      </c>
      <c r="G41" s="25">
        <f t="shared" ref="G41:G48" si="7">SUM(C41-B41)</f>
        <v>0</v>
      </c>
      <c r="H41" s="21"/>
      <c r="I41" s="26">
        <v>0.0</v>
      </c>
      <c r="J41" s="27">
        <f t="shared" ref="J41:J48" si="8">I41*(G41*24)</f>
        <v>0</v>
      </c>
      <c r="K41" s="55"/>
      <c r="L41" s="55"/>
      <c r="M41" s="55"/>
      <c r="N41" s="55"/>
      <c r="O41" s="55"/>
      <c r="P41" s="55"/>
    </row>
    <row r="42" ht="15.75" customHeight="1">
      <c r="A42" s="55"/>
      <c r="B42" s="115">
        <v>0.0</v>
      </c>
      <c r="C42" s="115">
        <v>0.0</v>
      </c>
      <c r="D42" s="116"/>
      <c r="E42" s="117"/>
      <c r="F42" s="116"/>
      <c r="G42" s="118">
        <f t="shared" si="7"/>
        <v>0</v>
      </c>
      <c r="H42" s="21"/>
      <c r="I42" s="119">
        <v>0.0</v>
      </c>
      <c r="J42" s="120">
        <f t="shared" si="8"/>
        <v>0</v>
      </c>
      <c r="K42" s="55"/>
      <c r="L42" s="55"/>
      <c r="M42" s="55"/>
      <c r="N42" s="55"/>
      <c r="O42" s="55"/>
      <c r="P42" s="55"/>
    </row>
    <row r="43" ht="15.75" customHeight="1">
      <c r="A43" s="55"/>
      <c r="B43" s="28"/>
      <c r="C43" s="28"/>
      <c r="D43" s="29"/>
      <c r="E43" s="122"/>
      <c r="F43" s="29"/>
      <c r="G43" s="25">
        <f t="shared" si="7"/>
        <v>0</v>
      </c>
      <c r="H43" s="21"/>
      <c r="I43" s="27"/>
      <c r="J43" s="27">
        <f t="shared" si="8"/>
        <v>0</v>
      </c>
      <c r="K43" s="55"/>
      <c r="L43" s="55"/>
      <c r="M43" s="55"/>
      <c r="N43" s="55"/>
      <c r="O43" s="55"/>
      <c r="P43" s="55"/>
    </row>
    <row r="44" ht="15.75" customHeight="1">
      <c r="A44" s="55"/>
      <c r="B44" s="123"/>
      <c r="C44" s="123"/>
      <c r="D44" s="116"/>
      <c r="E44" s="117"/>
      <c r="F44" s="116"/>
      <c r="G44" s="118">
        <f t="shared" si="7"/>
        <v>0</v>
      </c>
      <c r="H44" s="21"/>
      <c r="I44" s="120"/>
      <c r="J44" s="120">
        <f t="shared" si="8"/>
        <v>0</v>
      </c>
      <c r="K44" s="55"/>
      <c r="L44" s="55"/>
      <c r="M44" s="55"/>
      <c r="N44" s="55"/>
      <c r="O44" s="55"/>
      <c r="P44" s="55"/>
    </row>
    <row r="45" ht="15.75" customHeight="1">
      <c r="A45" s="55"/>
      <c r="B45" s="28"/>
      <c r="C45" s="28"/>
      <c r="D45" s="29"/>
      <c r="E45" s="122"/>
      <c r="F45" s="29"/>
      <c r="G45" s="25">
        <f t="shared" si="7"/>
        <v>0</v>
      </c>
      <c r="H45" s="21"/>
      <c r="I45" s="27"/>
      <c r="J45" s="27">
        <f t="shared" si="8"/>
        <v>0</v>
      </c>
      <c r="K45" s="55"/>
      <c r="L45" s="55"/>
      <c r="M45" s="55"/>
      <c r="N45" s="55"/>
      <c r="O45" s="55"/>
      <c r="P45" s="55"/>
    </row>
    <row r="46" ht="15.75" customHeight="1">
      <c r="A46" s="55"/>
      <c r="B46" s="123"/>
      <c r="C46" s="123"/>
      <c r="D46" s="116"/>
      <c r="E46" s="117"/>
      <c r="F46" s="116"/>
      <c r="G46" s="118">
        <f t="shared" si="7"/>
        <v>0</v>
      </c>
      <c r="H46" s="21"/>
      <c r="I46" s="120"/>
      <c r="J46" s="120">
        <f t="shared" si="8"/>
        <v>0</v>
      </c>
      <c r="K46" s="55"/>
      <c r="L46" s="55"/>
      <c r="M46" s="55"/>
      <c r="N46" s="55"/>
      <c r="O46" s="55"/>
      <c r="P46" s="55"/>
    </row>
    <row r="47" ht="15.75" customHeight="1">
      <c r="A47" s="55"/>
      <c r="B47" s="28"/>
      <c r="C47" s="28"/>
      <c r="D47" s="29"/>
      <c r="E47" s="122"/>
      <c r="F47" s="29"/>
      <c r="G47" s="25">
        <f t="shared" si="7"/>
        <v>0</v>
      </c>
      <c r="H47" s="21"/>
      <c r="I47" s="27"/>
      <c r="J47" s="27">
        <f t="shared" si="8"/>
        <v>0</v>
      </c>
      <c r="K47" s="55"/>
      <c r="L47" s="55"/>
      <c r="M47" s="55"/>
      <c r="N47" s="55"/>
      <c r="O47" s="55"/>
      <c r="P47" s="55"/>
    </row>
    <row r="48" ht="15.75" customHeight="1">
      <c r="A48" s="55"/>
      <c r="B48" s="123"/>
      <c r="C48" s="123"/>
      <c r="D48" s="116"/>
      <c r="E48" s="117"/>
      <c r="F48" s="116"/>
      <c r="G48" s="118">
        <f t="shared" si="7"/>
        <v>0</v>
      </c>
      <c r="H48" s="21"/>
      <c r="I48" s="120"/>
      <c r="J48" s="120">
        <f t="shared" si="8"/>
        <v>0</v>
      </c>
      <c r="K48" s="55"/>
      <c r="L48" s="55"/>
      <c r="M48" s="55"/>
      <c r="N48" s="55"/>
      <c r="O48" s="55"/>
      <c r="P48" s="55"/>
    </row>
    <row r="49" ht="15.75" customHeight="1">
      <c r="A49" s="55"/>
      <c r="B49" s="104"/>
      <c r="C49" s="104"/>
      <c r="D49" s="104"/>
      <c r="E49" s="124" t="s">
        <v>54</v>
      </c>
      <c r="F49" s="21"/>
      <c r="G49" s="25">
        <f>SUM(G41+G42+G43+G44+G45+G46+G47+G48)</f>
        <v>0</v>
      </c>
      <c r="H49" s="21"/>
      <c r="I49" s="107" t="s">
        <v>55</v>
      </c>
      <c r="J49" s="108">
        <f>SUM(J41:J48)</f>
        <v>0</v>
      </c>
      <c r="K49" s="55"/>
      <c r="L49" s="55"/>
      <c r="M49" s="55"/>
      <c r="N49" s="55"/>
      <c r="O49" s="55"/>
      <c r="P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</row>
    <row r="51" ht="15.75" customHeight="1">
      <c r="A51" s="55"/>
      <c r="B51" s="110" t="s">
        <v>29</v>
      </c>
      <c r="C51" s="63"/>
      <c r="D51" s="64"/>
      <c r="E51" s="64"/>
      <c r="F51" s="64"/>
      <c r="G51" s="64"/>
      <c r="H51" s="64"/>
      <c r="I51" s="64"/>
      <c r="J51" s="64"/>
      <c r="K51" s="55"/>
      <c r="L51" s="55"/>
      <c r="M51" s="55"/>
      <c r="N51" s="55"/>
      <c r="O51" s="55"/>
      <c r="P51" s="55"/>
    </row>
    <row r="52" ht="15.75" customHeight="1">
      <c r="A52" s="55"/>
      <c r="B52" s="69" t="s">
        <v>9</v>
      </c>
      <c r="C52" s="69" t="s">
        <v>10</v>
      </c>
      <c r="D52" s="62" t="s">
        <v>45</v>
      </c>
      <c r="E52" s="70" t="s">
        <v>12</v>
      </c>
      <c r="F52" s="69" t="s">
        <v>13</v>
      </c>
      <c r="G52" s="71" t="s">
        <v>14</v>
      </c>
      <c r="H52" s="21"/>
      <c r="I52" s="62" t="s">
        <v>46</v>
      </c>
      <c r="J52" s="62" t="s">
        <v>47</v>
      </c>
      <c r="K52" s="55"/>
      <c r="L52" s="55"/>
      <c r="M52" s="55"/>
      <c r="N52" s="55"/>
      <c r="O52" s="55"/>
      <c r="P52" s="55"/>
    </row>
    <row r="53" ht="15.75" customHeight="1">
      <c r="A53" s="55"/>
      <c r="B53" s="112">
        <v>0.0</v>
      </c>
      <c r="C53" s="22">
        <v>0.0</v>
      </c>
      <c r="D53" s="24" t="s">
        <v>56</v>
      </c>
      <c r="E53" s="113" t="s">
        <v>49</v>
      </c>
      <c r="F53" s="24" t="s">
        <v>50</v>
      </c>
      <c r="G53" s="25">
        <f t="shared" ref="G53:G60" si="9">SUM(C53-B53)</f>
        <v>0</v>
      </c>
      <c r="H53" s="21"/>
      <c r="I53" s="26">
        <v>0.0</v>
      </c>
      <c r="J53" s="27">
        <f t="shared" ref="J53:J60" si="10">I53*(G53*24)</f>
        <v>0</v>
      </c>
      <c r="K53" s="55"/>
      <c r="L53" s="55"/>
      <c r="M53" s="55"/>
      <c r="N53" s="55"/>
      <c r="O53" s="55"/>
      <c r="P53" s="55"/>
    </row>
    <row r="54" ht="15.75" customHeight="1">
      <c r="A54" s="55"/>
      <c r="B54" s="115">
        <v>0.0</v>
      </c>
      <c r="C54" s="115">
        <v>0.0</v>
      </c>
      <c r="D54" s="116"/>
      <c r="E54" s="117"/>
      <c r="F54" s="116"/>
      <c r="G54" s="118">
        <f t="shared" si="9"/>
        <v>0</v>
      </c>
      <c r="H54" s="21"/>
      <c r="I54" s="119">
        <v>0.0</v>
      </c>
      <c r="J54" s="120">
        <f t="shared" si="10"/>
        <v>0</v>
      </c>
      <c r="K54" s="55"/>
      <c r="L54" s="55"/>
      <c r="M54" s="55"/>
      <c r="N54" s="55"/>
      <c r="O54" s="55"/>
      <c r="P54" s="55"/>
    </row>
    <row r="55" ht="15.75" customHeight="1">
      <c r="A55" s="55"/>
      <c r="B55" s="28"/>
      <c r="C55" s="28"/>
      <c r="D55" s="29"/>
      <c r="E55" s="122"/>
      <c r="F55" s="29"/>
      <c r="G55" s="25">
        <f t="shared" si="9"/>
        <v>0</v>
      </c>
      <c r="H55" s="21"/>
      <c r="I55" s="27"/>
      <c r="J55" s="27">
        <f t="shared" si="10"/>
        <v>0</v>
      </c>
      <c r="K55" s="55"/>
      <c r="L55" s="55"/>
      <c r="M55" s="55"/>
      <c r="N55" s="55"/>
      <c r="O55" s="55"/>
      <c r="P55" s="55"/>
    </row>
    <row r="56" ht="15.75" customHeight="1">
      <c r="A56" s="55"/>
      <c r="B56" s="123"/>
      <c r="C56" s="123"/>
      <c r="D56" s="116"/>
      <c r="E56" s="117"/>
      <c r="F56" s="116"/>
      <c r="G56" s="118">
        <f t="shared" si="9"/>
        <v>0</v>
      </c>
      <c r="H56" s="21"/>
      <c r="I56" s="120"/>
      <c r="J56" s="120">
        <f t="shared" si="10"/>
        <v>0</v>
      </c>
      <c r="K56" s="55"/>
      <c r="L56" s="55"/>
      <c r="M56" s="55"/>
      <c r="N56" s="55"/>
      <c r="O56" s="55"/>
      <c r="P56" s="55"/>
    </row>
    <row r="57" ht="15.75" customHeight="1">
      <c r="A57" s="55"/>
      <c r="B57" s="28"/>
      <c r="C57" s="28"/>
      <c r="D57" s="29"/>
      <c r="E57" s="122"/>
      <c r="F57" s="29"/>
      <c r="G57" s="25">
        <f t="shared" si="9"/>
        <v>0</v>
      </c>
      <c r="H57" s="21"/>
      <c r="I57" s="27"/>
      <c r="J57" s="27">
        <f t="shared" si="10"/>
        <v>0</v>
      </c>
      <c r="K57" s="55"/>
      <c r="L57" s="55"/>
      <c r="M57" s="55"/>
      <c r="N57" s="55"/>
      <c r="O57" s="55"/>
      <c r="P57" s="55"/>
    </row>
    <row r="58" ht="15.75" customHeight="1">
      <c r="A58" s="55"/>
      <c r="B58" s="123"/>
      <c r="C58" s="123"/>
      <c r="D58" s="116"/>
      <c r="E58" s="117"/>
      <c r="F58" s="116"/>
      <c r="G58" s="118">
        <f t="shared" si="9"/>
        <v>0</v>
      </c>
      <c r="H58" s="21"/>
      <c r="I58" s="120"/>
      <c r="J58" s="120">
        <f t="shared" si="10"/>
        <v>0</v>
      </c>
      <c r="K58" s="55"/>
      <c r="L58" s="55"/>
      <c r="M58" s="55"/>
      <c r="N58" s="55"/>
      <c r="O58" s="55"/>
      <c r="P58" s="55"/>
    </row>
    <row r="59" ht="15.75" customHeight="1">
      <c r="A59" s="55"/>
      <c r="B59" s="28"/>
      <c r="C59" s="28"/>
      <c r="D59" s="29"/>
      <c r="E59" s="122"/>
      <c r="F59" s="29"/>
      <c r="G59" s="25">
        <f t="shared" si="9"/>
        <v>0</v>
      </c>
      <c r="H59" s="21"/>
      <c r="I59" s="27"/>
      <c r="J59" s="27">
        <f t="shared" si="10"/>
        <v>0</v>
      </c>
      <c r="K59" s="55"/>
      <c r="L59" s="55"/>
      <c r="M59" s="55"/>
      <c r="N59" s="55"/>
      <c r="O59" s="55"/>
      <c r="P59" s="55"/>
    </row>
    <row r="60" ht="15.75" customHeight="1">
      <c r="A60" s="55"/>
      <c r="B60" s="123"/>
      <c r="C60" s="123"/>
      <c r="D60" s="116"/>
      <c r="E60" s="117"/>
      <c r="F60" s="116"/>
      <c r="G60" s="118">
        <f t="shared" si="9"/>
        <v>0</v>
      </c>
      <c r="H60" s="21"/>
      <c r="I60" s="120"/>
      <c r="J60" s="120">
        <f t="shared" si="10"/>
        <v>0</v>
      </c>
      <c r="K60" s="55"/>
      <c r="L60" s="55"/>
      <c r="M60" s="55"/>
      <c r="N60" s="55"/>
      <c r="O60" s="55"/>
      <c r="P60" s="55"/>
    </row>
    <row r="61" ht="15.75" customHeight="1">
      <c r="A61" s="55"/>
      <c r="B61" s="104"/>
      <c r="C61" s="104"/>
      <c r="D61" s="104"/>
      <c r="E61" s="124" t="s">
        <v>54</v>
      </c>
      <c r="F61" s="21"/>
      <c r="G61" s="25">
        <f>SUM(G53+G54+G55+G56+G57+G58+G59+G60)</f>
        <v>0</v>
      </c>
      <c r="H61" s="21"/>
      <c r="I61" s="107" t="s">
        <v>55</v>
      </c>
      <c r="J61" s="108">
        <f>SUM(J53:J60)</f>
        <v>0</v>
      </c>
      <c r="K61" s="55"/>
      <c r="L61" s="55"/>
      <c r="M61" s="55"/>
      <c r="N61" s="55"/>
      <c r="O61" s="55"/>
      <c r="P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</row>
    <row r="63" ht="15.75" customHeight="1">
      <c r="A63" s="55"/>
      <c r="B63" s="110" t="s">
        <v>26</v>
      </c>
      <c r="C63" s="63"/>
      <c r="D63" s="64"/>
      <c r="E63" s="64"/>
      <c r="F63" s="64"/>
      <c r="G63" s="64"/>
      <c r="H63" s="64"/>
      <c r="I63" s="64"/>
      <c r="J63" s="64"/>
      <c r="K63" s="55"/>
      <c r="L63" s="55"/>
      <c r="M63" s="55"/>
      <c r="N63" s="55"/>
      <c r="O63" s="55"/>
      <c r="P63" s="55"/>
    </row>
    <row r="64" ht="15.75" customHeight="1">
      <c r="A64" s="55"/>
      <c r="B64" s="69" t="s">
        <v>9</v>
      </c>
      <c r="C64" s="69" t="s">
        <v>10</v>
      </c>
      <c r="D64" s="62" t="s">
        <v>45</v>
      </c>
      <c r="E64" s="70" t="s">
        <v>12</v>
      </c>
      <c r="F64" s="69" t="s">
        <v>13</v>
      </c>
      <c r="G64" s="71" t="s">
        <v>14</v>
      </c>
      <c r="H64" s="21"/>
      <c r="I64" s="62" t="s">
        <v>46</v>
      </c>
      <c r="J64" s="62" t="s">
        <v>47</v>
      </c>
      <c r="K64" s="55"/>
      <c r="L64" s="55"/>
      <c r="M64" s="55"/>
      <c r="N64" s="55"/>
      <c r="O64" s="55"/>
      <c r="P64" s="55"/>
    </row>
    <row r="65" ht="15.75" customHeight="1">
      <c r="A65" s="55"/>
      <c r="B65" s="112">
        <v>0.0</v>
      </c>
      <c r="C65" s="22">
        <v>0.0</v>
      </c>
      <c r="D65" s="24" t="s">
        <v>56</v>
      </c>
      <c r="E65" s="113" t="s">
        <v>49</v>
      </c>
      <c r="F65" s="24" t="s">
        <v>50</v>
      </c>
      <c r="G65" s="25">
        <f t="shared" ref="G65:G72" si="11">SUM(C65-B65)</f>
        <v>0</v>
      </c>
      <c r="H65" s="21"/>
      <c r="I65" s="26">
        <v>0.0</v>
      </c>
      <c r="J65" s="27">
        <f t="shared" ref="J65:J72" si="12">I65*(G65*24)</f>
        <v>0</v>
      </c>
      <c r="K65" s="55"/>
      <c r="L65" s="55"/>
      <c r="M65" s="55"/>
      <c r="N65" s="55"/>
      <c r="O65" s="55"/>
      <c r="P65" s="55"/>
    </row>
    <row r="66" ht="15.75" customHeight="1">
      <c r="A66" s="55"/>
      <c r="B66" s="115">
        <v>0.0</v>
      </c>
      <c r="C66" s="115">
        <v>0.0</v>
      </c>
      <c r="D66" s="116"/>
      <c r="E66" s="117"/>
      <c r="F66" s="116"/>
      <c r="G66" s="118">
        <f t="shared" si="11"/>
        <v>0</v>
      </c>
      <c r="H66" s="21"/>
      <c r="I66" s="119">
        <v>0.0</v>
      </c>
      <c r="J66" s="120">
        <f t="shared" si="12"/>
        <v>0</v>
      </c>
      <c r="K66" s="55"/>
      <c r="L66" s="55"/>
      <c r="M66" s="55"/>
      <c r="N66" s="55"/>
      <c r="O66" s="55"/>
      <c r="P66" s="55"/>
    </row>
    <row r="67" ht="15.75" customHeight="1">
      <c r="A67" s="55"/>
      <c r="B67" s="28"/>
      <c r="C67" s="28"/>
      <c r="D67" s="29"/>
      <c r="E67" s="122"/>
      <c r="F67" s="29"/>
      <c r="G67" s="25">
        <f t="shared" si="11"/>
        <v>0</v>
      </c>
      <c r="H67" s="21"/>
      <c r="I67" s="27"/>
      <c r="J67" s="27">
        <f t="shared" si="12"/>
        <v>0</v>
      </c>
      <c r="K67" s="55"/>
      <c r="L67" s="55"/>
      <c r="M67" s="55"/>
      <c r="N67" s="55"/>
      <c r="O67" s="55"/>
      <c r="P67" s="55"/>
    </row>
    <row r="68" ht="15.75" customHeight="1">
      <c r="A68" s="55"/>
      <c r="B68" s="123"/>
      <c r="C68" s="123"/>
      <c r="D68" s="116"/>
      <c r="E68" s="117"/>
      <c r="F68" s="116"/>
      <c r="G68" s="118">
        <f t="shared" si="11"/>
        <v>0</v>
      </c>
      <c r="H68" s="21"/>
      <c r="I68" s="120"/>
      <c r="J68" s="120">
        <f t="shared" si="12"/>
        <v>0</v>
      </c>
      <c r="K68" s="55"/>
      <c r="L68" s="55"/>
      <c r="M68" s="55"/>
      <c r="N68" s="55"/>
      <c r="O68" s="55"/>
      <c r="P68" s="55"/>
    </row>
    <row r="69" ht="15.75" customHeight="1">
      <c r="A69" s="55"/>
      <c r="B69" s="28"/>
      <c r="C69" s="28"/>
      <c r="D69" s="29"/>
      <c r="E69" s="122"/>
      <c r="F69" s="29"/>
      <c r="G69" s="25">
        <f t="shared" si="11"/>
        <v>0</v>
      </c>
      <c r="H69" s="21"/>
      <c r="I69" s="27"/>
      <c r="J69" s="27">
        <f t="shared" si="12"/>
        <v>0</v>
      </c>
      <c r="K69" s="55"/>
      <c r="L69" s="55"/>
      <c r="M69" s="55"/>
      <c r="N69" s="55"/>
      <c r="O69" s="55"/>
      <c r="P69" s="55"/>
    </row>
    <row r="70" ht="15.75" customHeight="1">
      <c r="A70" s="55"/>
      <c r="B70" s="123"/>
      <c r="C70" s="123"/>
      <c r="D70" s="116"/>
      <c r="E70" s="117"/>
      <c r="F70" s="116"/>
      <c r="G70" s="118">
        <f t="shared" si="11"/>
        <v>0</v>
      </c>
      <c r="H70" s="21"/>
      <c r="I70" s="120"/>
      <c r="J70" s="120">
        <f t="shared" si="12"/>
        <v>0</v>
      </c>
      <c r="K70" s="55"/>
      <c r="L70" s="55"/>
      <c r="M70" s="55"/>
      <c r="N70" s="55"/>
      <c r="O70" s="55"/>
      <c r="P70" s="55"/>
    </row>
    <row r="71" ht="15.75" customHeight="1">
      <c r="A71" s="55"/>
      <c r="B71" s="28"/>
      <c r="C71" s="28"/>
      <c r="D71" s="29"/>
      <c r="E71" s="122"/>
      <c r="F71" s="29"/>
      <c r="G71" s="25">
        <f t="shared" si="11"/>
        <v>0</v>
      </c>
      <c r="H71" s="21"/>
      <c r="I71" s="27"/>
      <c r="J71" s="27">
        <f t="shared" si="12"/>
        <v>0</v>
      </c>
      <c r="K71" s="55"/>
      <c r="L71" s="55"/>
      <c r="M71" s="55"/>
      <c r="N71" s="55"/>
      <c r="O71" s="55"/>
      <c r="P71" s="55"/>
    </row>
    <row r="72" ht="15.75" customHeight="1">
      <c r="A72" s="55"/>
      <c r="B72" s="123"/>
      <c r="C72" s="123"/>
      <c r="D72" s="116"/>
      <c r="E72" s="117"/>
      <c r="F72" s="116"/>
      <c r="G72" s="118">
        <f t="shared" si="11"/>
        <v>0</v>
      </c>
      <c r="H72" s="21"/>
      <c r="I72" s="120"/>
      <c r="J72" s="120">
        <f t="shared" si="12"/>
        <v>0</v>
      </c>
      <c r="K72" s="55"/>
      <c r="L72" s="55"/>
      <c r="M72" s="55"/>
      <c r="N72" s="55"/>
      <c r="O72" s="55"/>
      <c r="P72" s="55"/>
    </row>
    <row r="73" ht="15.75" customHeight="1">
      <c r="A73" s="55"/>
      <c r="B73" s="104"/>
      <c r="C73" s="104"/>
      <c r="D73" s="104"/>
      <c r="E73" s="124" t="s">
        <v>54</v>
      </c>
      <c r="F73" s="21"/>
      <c r="G73" s="25">
        <f>SUM(G65+G66+G67+G68+G69+G70+G71+G72)</f>
        <v>0</v>
      </c>
      <c r="H73" s="21"/>
      <c r="I73" s="107" t="s">
        <v>55</v>
      </c>
      <c r="J73" s="108">
        <f>SUM(J65:J72)</f>
        <v>0</v>
      </c>
      <c r="K73" s="55"/>
      <c r="L73" s="55"/>
      <c r="M73" s="55"/>
      <c r="N73" s="55"/>
      <c r="O73" s="55"/>
      <c r="P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</row>
  </sheetData>
  <mergeCells count="79">
    <mergeCell ref="G35:H35"/>
    <mergeCell ref="G36:H36"/>
    <mergeCell ref="E37:F37"/>
    <mergeCell ref="G37:H37"/>
    <mergeCell ref="G28:H28"/>
    <mergeCell ref="G29:H29"/>
    <mergeCell ref="G30:H30"/>
    <mergeCell ref="G31:H31"/>
    <mergeCell ref="G32:H32"/>
    <mergeCell ref="G33:H33"/>
    <mergeCell ref="G34:H34"/>
    <mergeCell ref="G47:H47"/>
    <mergeCell ref="G48:H48"/>
    <mergeCell ref="E49:F49"/>
    <mergeCell ref="G49:H49"/>
    <mergeCell ref="G40:H40"/>
    <mergeCell ref="G41:H41"/>
    <mergeCell ref="G42:H42"/>
    <mergeCell ref="G43:H43"/>
    <mergeCell ref="G44:H44"/>
    <mergeCell ref="G45:H45"/>
    <mergeCell ref="G46:H46"/>
    <mergeCell ref="G59:H59"/>
    <mergeCell ref="G60:H60"/>
    <mergeCell ref="E61:F61"/>
    <mergeCell ref="G61:H61"/>
    <mergeCell ref="G52:H52"/>
    <mergeCell ref="G53:H53"/>
    <mergeCell ref="G54:H54"/>
    <mergeCell ref="G55:H55"/>
    <mergeCell ref="G56:H56"/>
    <mergeCell ref="G57:H57"/>
    <mergeCell ref="G58:H58"/>
    <mergeCell ref="G71:H71"/>
    <mergeCell ref="G72:H72"/>
    <mergeCell ref="E73:F73"/>
    <mergeCell ref="G73:H73"/>
    <mergeCell ref="G64:H64"/>
    <mergeCell ref="G65:H65"/>
    <mergeCell ref="G66:H66"/>
    <mergeCell ref="G67:H67"/>
    <mergeCell ref="G68:H68"/>
    <mergeCell ref="G69:H69"/>
    <mergeCell ref="G70:H70"/>
    <mergeCell ref="M4:O4"/>
    <mergeCell ref="M5:O5"/>
    <mergeCell ref="B1:D2"/>
    <mergeCell ref="G1:J1"/>
    <mergeCell ref="G2:J2"/>
    <mergeCell ref="L2:O2"/>
    <mergeCell ref="L3:O3"/>
    <mergeCell ref="G4:H4"/>
    <mergeCell ref="G5:H5"/>
    <mergeCell ref="M10:O10"/>
    <mergeCell ref="M11:O11"/>
    <mergeCell ref="G6:H6"/>
    <mergeCell ref="M6:O6"/>
    <mergeCell ref="G7:H7"/>
    <mergeCell ref="M7:O7"/>
    <mergeCell ref="G8:H8"/>
    <mergeCell ref="M8:O8"/>
    <mergeCell ref="M9:O9"/>
    <mergeCell ref="G9:H9"/>
    <mergeCell ref="G10:H10"/>
    <mergeCell ref="G11:H11"/>
    <mergeCell ref="G12:H12"/>
    <mergeCell ref="E13:F13"/>
    <mergeCell ref="G13:H13"/>
    <mergeCell ref="G16:H16"/>
    <mergeCell ref="G24:H24"/>
    <mergeCell ref="E25:F25"/>
    <mergeCell ref="G25:H25"/>
    <mergeCell ref="G17:H17"/>
    <mergeCell ref="G18:H18"/>
    <mergeCell ref="G19:H19"/>
    <mergeCell ref="G20:H20"/>
    <mergeCell ref="G21:H21"/>
    <mergeCell ref="G22:H22"/>
    <mergeCell ref="G23:H23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pageSetUpPr/>
  </sheetPr>
  <sheetViews>
    <sheetView showGridLines="0" workbookViewId="0"/>
  </sheetViews>
  <sheetFormatPr customHeight="1" defaultColWidth="14.43" defaultRowHeight="15.0"/>
  <cols>
    <col customWidth="1" min="1" max="1" width="6.29"/>
    <col customWidth="1" min="2" max="2" width="15.14"/>
    <col customWidth="1" min="3" max="3" width="23.43"/>
    <col customWidth="1" min="4" max="4" width="17.0"/>
    <col customWidth="1" min="5" max="5" width="19.29"/>
    <col customWidth="1" min="6" max="6" width="31.29"/>
    <col customWidth="1" min="7" max="7" width="32.86"/>
    <col customWidth="1" min="8" max="8" width="8.71"/>
  </cols>
  <sheetData>
    <row r="1">
      <c r="A1" s="125"/>
      <c r="B1" s="125"/>
      <c r="C1" s="126"/>
      <c r="D1" s="60"/>
      <c r="E1" s="127"/>
      <c r="F1" s="127"/>
      <c r="G1" s="127"/>
    </row>
    <row r="2" ht="24.0" customHeight="1">
      <c r="A2" s="48"/>
      <c r="B2" s="128" t="s">
        <v>57</v>
      </c>
      <c r="C2" s="129"/>
      <c r="D2" s="130"/>
      <c r="E2" s="53" t="s">
        <v>58</v>
      </c>
      <c r="F2" s="54" t="s">
        <v>59</v>
      </c>
      <c r="G2" s="21"/>
    </row>
    <row r="3" ht="23.25" customHeight="1">
      <c r="A3" s="125"/>
      <c r="B3" s="125"/>
      <c r="C3" s="131"/>
      <c r="D3" s="59"/>
      <c r="E3" s="53" t="s">
        <v>60</v>
      </c>
      <c r="F3" s="54" t="s">
        <v>61</v>
      </c>
      <c r="G3" s="21"/>
    </row>
    <row r="4">
      <c r="A4" s="132"/>
      <c r="B4" s="64"/>
      <c r="C4" s="64"/>
      <c r="D4" s="64"/>
      <c r="E4" s="65"/>
      <c r="F4" s="65"/>
      <c r="G4" s="65"/>
    </row>
    <row r="5">
      <c r="A5" s="67"/>
      <c r="B5" s="69" t="s">
        <v>62</v>
      </c>
      <c r="C5" s="62" t="s">
        <v>45</v>
      </c>
      <c r="D5" s="69" t="s">
        <v>12</v>
      </c>
      <c r="E5" s="69" t="s">
        <v>13</v>
      </c>
      <c r="F5" s="62" t="s">
        <v>63</v>
      </c>
      <c r="G5" s="62" t="s">
        <v>64</v>
      </c>
    </row>
    <row r="6">
      <c r="A6" s="133"/>
      <c r="B6" s="78" t="s">
        <v>53</v>
      </c>
      <c r="C6" s="78" t="s">
        <v>65</v>
      </c>
      <c r="D6" s="78" t="s">
        <v>66</v>
      </c>
      <c r="E6" s="78" t="s">
        <v>67</v>
      </c>
      <c r="F6" s="81">
        <f>'1. Timesheet diário'!M11</f>
        <v>17548.41667</v>
      </c>
      <c r="G6" s="134">
        <f>SUM('1. Timesheet diário'!G13+'1. Timesheet diário'!G25)</f>
        <v>31.18055556</v>
      </c>
    </row>
    <row r="7">
      <c r="A7" s="133"/>
      <c r="B7" s="135" t="s">
        <v>68</v>
      </c>
      <c r="C7" s="135" t="s">
        <v>65</v>
      </c>
      <c r="D7" s="135" t="s">
        <v>69</v>
      </c>
      <c r="E7" s="135" t="s">
        <v>67</v>
      </c>
      <c r="F7" s="89"/>
      <c r="G7" s="136"/>
    </row>
    <row r="8">
      <c r="A8" s="133"/>
      <c r="B8" s="78" t="s">
        <v>70</v>
      </c>
      <c r="C8" s="78" t="s">
        <v>65</v>
      </c>
      <c r="D8" s="78" t="s">
        <v>66</v>
      </c>
      <c r="E8" s="78" t="s">
        <v>67</v>
      </c>
      <c r="F8" s="81"/>
      <c r="G8" s="137"/>
    </row>
    <row r="9">
      <c r="A9" s="138"/>
      <c r="B9" s="87" t="s">
        <v>71</v>
      </c>
      <c r="C9" s="135" t="s">
        <v>65</v>
      </c>
      <c r="D9" s="135" t="s">
        <v>69</v>
      </c>
      <c r="E9" s="135" t="s">
        <v>67</v>
      </c>
      <c r="F9" s="90"/>
      <c r="G9" s="139"/>
    </row>
    <row r="10">
      <c r="A10" s="140"/>
      <c r="B10" s="104"/>
      <c r="C10" s="104"/>
      <c r="D10" s="141" t="s">
        <v>72</v>
      </c>
      <c r="E10" s="142"/>
      <c r="F10" s="143">
        <f t="shared" ref="F10:G10" si="1">SUM(F6:F9)</f>
        <v>17548.41667</v>
      </c>
      <c r="G10" s="144">
        <f t="shared" si="1"/>
        <v>31.18055556</v>
      </c>
    </row>
    <row r="11">
      <c r="A11" s="55"/>
      <c r="B11" s="55"/>
      <c r="C11" s="55"/>
      <c r="D11" s="55"/>
      <c r="E11" s="55"/>
      <c r="F11" s="55"/>
      <c r="G11" s="55"/>
    </row>
    <row r="12" ht="15.0" customHeight="1">
      <c r="A12" s="60"/>
      <c r="B12" s="60"/>
      <c r="D12" s="145"/>
    </row>
    <row r="13" ht="15.0" customHeight="1">
      <c r="A13" s="60"/>
    </row>
    <row r="14" ht="15.0" customHeight="1">
      <c r="A14" s="60"/>
    </row>
    <row r="15" ht="15.0" customHeight="1">
      <c r="A15" s="60"/>
    </row>
    <row r="16">
      <c r="A16" s="55"/>
      <c r="B16" s="55"/>
      <c r="C16" s="55"/>
      <c r="D16" s="146"/>
    </row>
    <row r="17">
      <c r="A17" s="55"/>
      <c r="B17" s="55"/>
      <c r="C17" s="55"/>
      <c r="D17" s="55"/>
      <c r="E17" s="55"/>
      <c r="F17" s="55"/>
      <c r="G17" s="55"/>
    </row>
    <row r="18">
      <c r="A18" s="55"/>
      <c r="B18" s="55"/>
      <c r="C18" s="55"/>
      <c r="D18" s="55"/>
      <c r="E18" s="55"/>
      <c r="F18" s="55"/>
      <c r="G18" s="55"/>
    </row>
    <row r="19">
      <c r="A19" s="55"/>
      <c r="B19" s="55"/>
      <c r="C19" s="55"/>
      <c r="D19" s="55"/>
      <c r="E19" s="55"/>
      <c r="F19" s="55"/>
      <c r="G19" s="55"/>
    </row>
    <row r="20">
      <c r="A20" s="55"/>
      <c r="B20" s="55"/>
      <c r="C20" s="55"/>
      <c r="D20" s="55"/>
      <c r="E20" s="55"/>
      <c r="F20" s="55"/>
      <c r="G20" s="55"/>
    </row>
    <row r="21" ht="15.75" customHeight="1">
      <c r="A21" s="55"/>
      <c r="B21" s="55"/>
      <c r="C21" s="55"/>
      <c r="D21" s="55"/>
      <c r="E21" s="55"/>
      <c r="F21" s="55"/>
      <c r="G21" s="55"/>
    </row>
    <row r="22" ht="15.75" customHeight="1">
      <c r="A22" s="55"/>
      <c r="B22" s="55"/>
      <c r="C22" s="55"/>
      <c r="D22" s="55"/>
      <c r="E22" s="55"/>
      <c r="F22" s="55"/>
      <c r="G22" s="55"/>
    </row>
    <row r="23" ht="15.75" customHeight="1">
      <c r="A23" s="55"/>
      <c r="B23" s="55"/>
      <c r="C23" s="55"/>
      <c r="D23" s="55"/>
      <c r="E23" s="55"/>
      <c r="F23" s="55"/>
      <c r="G23" s="55"/>
    </row>
    <row r="24" ht="15.75" customHeight="1">
      <c r="A24" s="55"/>
      <c r="B24" s="55"/>
      <c r="C24" s="55"/>
      <c r="D24" s="55"/>
      <c r="E24" s="55"/>
      <c r="F24" s="55"/>
      <c r="G24" s="55"/>
    </row>
    <row r="25" ht="15.75" customHeight="1">
      <c r="A25" s="55"/>
      <c r="B25" s="55"/>
      <c r="C25" s="55"/>
      <c r="D25" s="55"/>
      <c r="E25" s="55"/>
      <c r="F25" s="55"/>
      <c r="G25" s="55"/>
    </row>
    <row r="26" ht="15.75" customHeight="1">
      <c r="A26" s="55"/>
      <c r="B26" s="55"/>
      <c r="C26" s="55"/>
      <c r="D26" s="55"/>
      <c r="E26" s="55"/>
      <c r="F26" s="55"/>
      <c r="G26" s="55"/>
    </row>
    <row r="27" ht="15.75" customHeight="1">
      <c r="A27" s="55"/>
      <c r="B27" s="55"/>
      <c r="C27" s="55"/>
      <c r="D27" s="55"/>
      <c r="E27" s="55"/>
      <c r="F27" s="55"/>
      <c r="G27" s="55"/>
    </row>
    <row r="28" ht="15.75" customHeight="1">
      <c r="A28" s="55"/>
      <c r="B28" s="55"/>
      <c r="C28" s="55"/>
      <c r="D28" s="55"/>
      <c r="E28" s="55"/>
      <c r="F28" s="55"/>
      <c r="G28" s="55"/>
    </row>
    <row r="29" ht="15.75" customHeight="1">
      <c r="A29" s="55"/>
      <c r="B29" s="55"/>
      <c r="C29" s="55"/>
      <c r="D29" s="55"/>
      <c r="E29" s="55"/>
      <c r="F29" s="55"/>
      <c r="G29" s="55"/>
    </row>
    <row r="30" ht="15.75" customHeight="1">
      <c r="A30" s="55"/>
      <c r="B30" s="55"/>
      <c r="C30" s="55"/>
      <c r="D30" s="55"/>
      <c r="E30" s="55"/>
      <c r="F30" s="55"/>
      <c r="G30" s="55"/>
    </row>
    <row r="31" ht="15.75" customHeight="1">
      <c r="A31" s="55"/>
      <c r="B31" s="55"/>
      <c r="C31" s="55"/>
      <c r="D31" s="55"/>
      <c r="E31" s="55"/>
      <c r="F31" s="55"/>
      <c r="G31" s="55"/>
    </row>
    <row r="32" ht="15.75" customHeight="1">
      <c r="A32" s="55"/>
      <c r="B32" s="55"/>
      <c r="C32" s="55"/>
      <c r="D32" s="55"/>
      <c r="E32" s="55"/>
      <c r="F32" s="55"/>
      <c r="G32" s="55"/>
    </row>
    <row r="33" ht="15.75" customHeight="1">
      <c r="A33" s="55"/>
      <c r="B33" s="55"/>
      <c r="C33" s="55"/>
      <c r="D33" s="55"/>
      <c r="E33" s="55"/>
      <c r="F33" s="55"/>
      <c r="G33" s="55"/>
    </row>
    <row r="34" ht="15.75" customHeight="1">
      <c r="A34" s="55"/>
      <c r="B34" s="55"/>
      <c r="C34" s="55"/>
      <c r="D34" s="55"/>
      <c r="E34" s="55"/>
      <c r="F34" s="55"/>
      <c r="G34" s="55"/>
    </row>
    <row r="35" ht="15.75" customHeight="1">
      <c r="A35" s="55"/>
      <c r="B35" s="55"/>
      <c r="C35" s="55"/>
      <c r="D35" s="55"/>
      <c r="E35" s="55"/>
      <c r="F35" s="55"/>
      <c r="G35" s="55"/>
    </row>
    <row r="36" ht="15.75" customHeight="1">
      <c r="A36" s="55"/>
      <c r="B36" s="55"/>
      <c r="C36" s="55"/>
      <c r="D36" s="55"/>
      <c r="E36" s="55"/>
      <c r="F36" s="55"/>
      <c r="G36" s="55"/>
    </row>
    <row r="37" ht="15.75" customHeight="1">
      <c r="A37" s="55"/>
      <c r="B37" s="55"/>
      <c r="C37" s="55"/>
      <c r="D37" s="55"/>
      <c r="E37" s="55"/>
      <c r="F37" s="55"/>
      <c r="G37" s="55"/>
    </row>
    <row r="38" ht="15.75" customHeight="1">
      <c r="A38" s="55"/>
      <c r="B38" s="55"/>
      <c r="C38" s="55"/>
      <c r="D38" s="55"/>
      <c r="E38" s="55"/>
      <c r="F38" s="55"/>
      <c r="G38" s="55"/>
    </row>
    <row r="39" ht="15.75" customHeight="1">
      <c r="A39" s="55"/>
      <c r="B39" s="55"/>
      <c r="C39" s="55"/>
      <c r="D39" s="55"/>
      <c r="E39" s="55"/>
      <c r="F39" s="55"/>
      <c r="G39" s="55"/>
    </row>
    <row r="40" ht="15.75" customHeight="1">
      <c r="A40" s="55"/>
      <c r="B40" s="55"/>
      <c r="C40" s="55"/>
      <c r="D40" s="55"/>
      <c r="E40" s="55"/>
      <c r="F40" s="55"/>
      <c r="G40" s="55"/>
    </row>
    <row r="41" ht="15.75" customHeight="1">
      <c r="A41" s="55"/>
      <c r="B41" s="55"/>
      <c r="C41" s="55"/>
      <c r="D41" s="55"/>
      <c r="E41" s="55"/>
      <c r="F41" s="55"/>
      <c r="G41" s="55"/>
    </row>
    <row r="42" ht="15.75" customHeight="1">
      <c r="A42" s="55"/>
      <c r="B42" s="55"/>
      <c r="C42" s="55"/>
      <c r="D42" s="55"/>
      <c r="E42" s="55"/>
      <c r="F42" s="55"/>
      <c r="G42" s="55"/>
    </row>
    <row r="43" ht="15.75" customHeight="1">
      <c r="A43" s="55"/>
      <c r="B43" s="55"/>
      <c r="C43" s="55"/>
      <c r="D43" s="55"/>
      <c r="E43" s="55"/>
      <c r="F43" s="55"/>
      <c r="G43" s="55"/>
    </row>
    <row r="44" ht="15.75" customHeight="1">
      <c r="A44" s="55"/>
      <c r="B44" s="55"/>
      <c r="C44" s="55"/>
      <c r="D44" s="55"/>
      <c r="E44" s="55"/>
      <c r="F44" s="55"/>
      <c r="G44" s="55"/>
    </row>
    <row r="45" ht="15.75" customHeight="1">
      <c r="A45" s="55"/>
      <c r="B45" s="55"/>
      <c r="C45" s="55"/>
      <c r="D45" s="55"/>
      <c r="E45" s="55"/>
      <c r="F45" s="55"/>
      <c r="G45" s="55"/>
    </row>
    <row r="46" ht="15.75" customHeight="1">
      <c r="A46" s="55"/>
      <c r="B46" s="55"/>
      <c r="C46" s="55"/>
      <c r="D46" s="55"/>
      <c r="E46" s="55"/>
      <c r="F46" s="55"/>
      <c r="G46" s="55"/>
    </row>
    <row r="47" ht="15.75" customHeight="1">
      <c r="A47" s="55"/>
      <c r="B47" s="55"/>
      <c r="C47" s="55"/>
      <c r="D47" s="55"/>
      <c r="E47" s="55"/>
      <c r="F47" s="55"/>
      <c r="G47" s="55"/>
    </row>
    <row r="48" ht="15.75" customHeight="1">
      <c r="A48" s="55"/>
      <c r="B48" s="55"/>
      <c r="C48" s="55"/>
      <c r="D48" s="55"/>
      <c r="E48" s="55"/>
      <c r="F48" s="55"/>
      <c r="G48" s="55"/>
    </row>
    <row r="49" ht="15.75" customHeight="1">
      <c r="A49" s="55"/>
      <c r="B49" s="55"/>
      <c r="C49" s="55"/>
      <c r="D49" s="55"/>
      <c r="E49" s="55"/>
      <c r="F49" s="55"/>
      <c r="G49" s="55"/>
    </row>
    <row r="50" ht="15.75" customHeight="1">
      <c r="A50" s="55"/>
      <c r="B50" s="55"/>
      <c r="C50" s="55"/>
      <c r="D50" s="55"/>
      <c r="E50" s="55"/>
      <c r="F50" s="55"/>
      <c r="G50" s="55"/>
    </row>
    <row r="51" ht="15.75" customHeight="1">
      <c r="A51" s="55"/>
      <c r="B51" s="55"/>
      <c r="C51" s="55"/>
      <c r="D51" s="55"/>
      <c r="E51" s="55"/>
      <c r="F51" s="55"/>
      <c r="G51" s="55"/>
    </row>
    <row r="52" ht="15.75" customHeight="1">
      <c r="A52" s="55"/>
      <c r="B52" s="55"/>
      <c r="C52" s="55"/>
      <c r="D52" s="55"/>
      <c r="E52" s="55"/>
      <c r="F52" s="55"/>
      <c r="G52" s="55"/>
    </row>
    <row r="53" ht="15.75" customHeight="1">
      <c r="A53" s="55"/>
      <c r="B53" s="55"/>
      <c r="C53" s="55"/>
      <c r="D53" s="55"/>
      <c r="E53" s="55"/>
      <c r="F53" s="55"/>
      <c r="G53" s="55"/>
    </row>
    <row r="54" ht="15.75" customHeight="1">
      <c r="A54" s="55"/>
      <c r="B54" s="55"/>
      <c r="C54" s="55"/>
      <c r="D54" s="55"/>
      <c r="E54" s="55"/>
      <c r="F54" s="55"/>
      <c r="G54" s="55"/>
    </row>
    <row r="55" ht="15.75" customHeight="1">
      <c r="A55" s="55"/>
      <c r="B55" s="55"/>
      <c r="C55" s="55"/>
      <c r="D55" s="55"/>
      <c r="E55" s="55"/>
      <c r="F55" s="55"/>
      <c r="G55" s="55"/>
    </row>
    <row r="56" ht="15.75" customHeight="1">
      <c r="A56" s="55"/>
      <c r="B56" s="55"/>
      <c r="C56" s="55"/>
      <c r="D56" s="55"/>
      <c r="E56" s="55"/>
      <c r="F56" s="55"/>
      <c r="G56" s="55"/>
    </row>
    <row r="57" ht="15.75" customHeight="1">
      <c r="A57" s="55"/>
      <c r="B57" s="55"/>
      <c r="C57" s="55"/>
      <c r="D57" s="55"/>
      <c r="E57" s="55"/>
      <c r="F57" s="55"/>
      <c r="G57" s="55"/>
    </row>
    <row r="58" ht="15.75" customHeight="1">
      <c r="A58" s="55"/>
      <c r="B58" s="55"/>
      <c r="C58" s="55"/>
      <c r="D58" s="55"/>
      <c r="E58" s="55"/>
      <c r="F58" s="55"/>
      <c r="G58" s="55"/>
    </row>
    <row r="59" ht="15.75" customHeight="1">
      <c r="A59" s="55"/>
      <c r="B59" s="55"/>
      <c r="C59" s="55"/>
      <c r="D59" s="55"/>
      <c r="E59" s="55"/>
      <c r="F59" s="55"/>
      <c r="G59" s="55"/>
    </row>
    <row r="60" ht="15.75" customHeight="1">
      <c r="A60" s="55"/>
      <c r="B60" s="55"/>
      <c r="C60" s="55"/>
      <c r="D60" s="55"/>
      <c r="E60" s="55"/>
      <c r="F60" s="55"/>
      <c r="G60" s="55"/>
    </row>
    <row r="61" ht="15.75" customHeight="1">
      <c r="A61" s="55"/>
      <c r="B61" s="55"/>
      <c r="C61" s="55"/>
      <c r="D61" s="55"/>
      <c r="E61" s="55"/>
      <c r="F61" s="55"/>
      <c r="G61" s="55"/>
    </row>
    <row r="62" ht="15.75" customHeight="1">
      <c r="A62" s="55"/>
      <c r="B62" s="55"/>
      <c r="C62" s="55"/>
      <c r="D62" s="55"/>
      <c r="E62" s="55"/>
      <c r="F62" s="55"/>
      <c r="G62" s="55"/>
    </row>
    <row r="63" ht="15.75" customHeight="1">
      <c r="A63" s="55"/>
      <c r="B63" s="55"/>
      <c r="C63" s="55"/>
      <c r="D63" s="55"/>
      <c r="E63" s="55"/>
      <c r="F63" s="55"/>
      <c r="G63" s="55"/>
    </row>
    <row r="64" ht="15.75" customHeight="1">
      <c r="A64" s="55"/>
      <c r="B64" s="55"/>
      <c r="C64" s="55"/>
      <c r="D64" s="55"/>
      <c r="E64" s="55"/>
      <c r="F64" s="55"/>
      <c r="G64" s="55"/>
    </row>
    <row r="65" ht="15.75" customHeight="1">
      <c r="A65" s="55"/>
      <c r="B65" s="55"/>
      <c r="C65" s="55"/>
      <c r="D65" s="55"/>
      <c r="E65" s="55"/>
      <c r="F65" s="55"/>
      <c r="G65" s="55"/>
    </row>
    <row r="66" ht="15.75" customHeight="1">
      <c r="A66" s="55"/>
      <c r="B66" s="55"/>
      <c r="C66" s="55"/>
      <c r="D66" s="55"/>
      <c r="E66" s="55"/>
      <c r="F66" s="55"/>
      <c r="G66" s="55"/>
    </row>
    <row r="67" ht="15.75" customHeight="1">
      <c r="A67" s="55"/>
      <c r="B67" s="55"/>
      <c r="C67" s="55"/>
      <c r="D67" s="55"/>
      <c r="E67" s="55"/>
      <c r="F67" s="55"/>
      <c r="G67" s="55"/>
    </row>
    <row r="68" ht="15.75" customHeight="1">
      <c r="A68" s="55"/>
      <c r="B68" s="55"/>
      <c r="C68" s="55"/>
      <c r="D68" s="55"/>
      <c r="E68" s="55"/>
      <c r="F68" s="55"/>
      <c r="G68" s="55"/>
    </row>
    <row r="69" ht="15.75" customHeight="1">
      <c r="A69" s="55"/>
      <c r="B69" s="55"/>
      <c r="C69" s="55"/>
      <c r="D69" s="55"/>
      <c r="E69" s="55"/>
      <c r="F69" s="55"/>
      <c r="G69" s="55"/>
    </row>
    <row r="70" ht="15.75" customHeight="1">
      <c r="A70" s="55"/>
      <c r="B70" s="55"/>
      <c r="C70" s="55"/>
      <c r="D70" s="55"/>
      <c r="E70" s="55"/>
      <c r="F70" s="55"/>
      <c r="G70" s="55"/>
    </row>
    <row r="71" ht="15.75" customHeight="1">
      <c r="A71" s="55"/>
      <c r="B71" s="55"/>
      <c r="C71" s="55"/>
      <c r="D71" s="55"/>
      <c r="E71" s="55"/>
      <c r="F71" s="55"/>
      <c r="G71" s="55"/>
    </row>
    <row r="72" ht="15.75" customHeight="1">
      <c r="A72" s="55"/>
      <c r="B72" s="55"/>
      <c r="C72" s="55"/>
      <c r="D72" s="55"/>
      <c r="E72" s="55"/>
      <c r="F72" s="55"/>
      <c r="G72" s="55"/>
    </row>
    <row r="73" ht="15.75" customHeight="1">
      <c r="A73" s="55"/>
      <c r="B73" s="55"/>
      <c r="C73" s="55"/>
      <c r="D73" s="55"/>
      <c r="E73" s="55"/>
      <c r="F73" s="55"/>
      <c r="G73" s="55"/>
    </row>
    <row r="74" ht="15.75" customHeight="1">
      <c r="A74" s="55"/>
      <c r="B74" s="55"/>
      <c r="C74" s="55"/>
      <c r="D74" s="55"/>
      <c r="E74" s="55"/>
      <c r="F74" s="55"/>
      <c r="G74" s="55"/>
    </row>
    <row r="75" ht="15.75" customHeight="1">
      <c r="A75" s="55"/>
      <c r="B75" s="55"/>
      <c r="C75" s="55"/>
      <c r="D75" s="55"/>
      <c r="E75" s="55"/>
      <c r="F75" s="55"/>
      <c r="G75" s="55"/>
    </row>
    <row r="76" ht="15.75" customHeight="1">
      <c r="A76" s="55"/>
      <c r="B76" s="55"/>
      <c r="C76" s="55"/>
      <c r="D76" s="55"/>
      <c r="E76" s="55"/>
      <c r="F76" s="55"/>
      <c r="G76" s="55"/>
    </row>
    <row r="77" ht="15.75" customHeight="1">
      <c r="A77" s="55"/>
      <c r="B77" s="55"/>
      <c r="C77" s="55"/>
      <c r="D77" s="55"/>
      <c r="E77" s="55"/>
      <c r="F77" s="55"/>
      <c r="G77" s="55"/>
    </row>
    <row r="78" ht="15.75" customHeight="1">
      <c r="A78" s="55"/>
      <c r="B78" s="55"/>
      <c r="C78" s="55"/>
      <c r="D78" s="55"/>
      <c r="E78" s="55"/>
      <c r="F78" s="55"/>
      <c r="G78" s="55"/>
    </row>
    <row r="79" ht="15.75" customHeight="1">
      <c r="A79" s="55"/>
      <c r="B79" s="55"/>
      <c r="C79" s="55"/>
      <c r="D79" s="55"/>
      <c r="E79" s="55"/>
      <c r="F79" s="55"/>
      <c r="G79" s="55"/>
    </row>
    <row r="80" ht="15.75" customHeight="1">
      <c r="A80" s="55"/>
      <c r="B80" s="55"/>
      <c r="C80" s="55"/>
      <c r="D80" s="55"/>
      <c r="E80" s="55"/>
      <c r="F80" s="55"/>
      <c r="G80" s="55"/>
    </row>
    <row r="81" ht="15.75" customHeight="1">
      <c r="A81" s="55"/>
      <c r="B81" s="55"/>
      <c r="C81" s="55"/>
      <c r="D81" s="55"/>
      <c r="E81" s="55"/>
      <c r="F81" s="55"/>
      <c r="G81" s="55"/>
    </row>
    <row r="82" ht="15.75" customHeight="1">
      <c r="A82" s="55"/>
      <c r="B82" s="55"/>
      <c r="C82" s="55"/>
      <c r="D82" s="55"/>
      <c r="E82" s="55"/>
      <c r="F82" s="55"/>
      <c r="G82" s="55"/>
    </row>
    <row r="83" ht="15.75" customHeight="1">
      <c r="A83" s="55"/>
      <c r="B83" s="55"/>
      <c r="C83" s="55"/>
      <c r="D83" s="55"/>
      <c r="E83" s="55"/>
      <c r="F83" s="55"/>
      <c r="G83" s="55"/>
    </row>
    <row r="84" ht="15.75" customHeight="1">
      <c r="A84" s="55"/>
      <c r="B84" s="55"/>
      <c r="C84" s="55"/>
      <c r="D84" s="55"/>
      <c r="E84" s="55"/>
      <c r="F84" s="55"/>
      <c r="G84" s="55"/>
    </row>
    <row r="85" ht="15.75" customHeight="1">
      <c r="A85" s="55"/>
      <c r="B85" s="55"/>
      <c r="C85" s="55"/>
      <c r="D85" s="55"/>
      <c r="E85" s="55"/>
      <c r="F85" s="55"/>
      <c r="G85" s="55"/>
    </row>
    <row r="86" ht="15.75" customHeight="1">
      <c r="A86" s="55"/>
      <c r="B86" s="55"/>
      <c r="C86" s="55"/>
      <c r="D86" s="55"/>
      <c r="E86" s="55"/>
      <c r="F86" s="55"/>
      <c r="G86" s="55"/>
    </row>
    <row r="87" ht="15.75" customHeight="1">
      <c r="A87" s="55"/>
      <c r="B87" s="55"/>
      <c r="C87" s="55"/>
      <c r="D87" s="55"/>
      <c r="E87" s="55"/>
      <c r="F87" s="55"/>
      <c r="G87" s="55"/>
    </row>
    <row r="88" ht="15.75" customHeight="1">
      <c r="A88" s="55"/>
      <c r="B88" s="55"/>
      <c r="C88" s="55"/>
      <c r="D88" s="55"/>
      <c r="E88" s="55"/>
      <c r="F88" s="55"/>
      <c r="G88" s="55"/>
    </row>
    <row r="89" ht="15.75" customHeight="1">
      <c r="A89" s="55"/>
      <c r="B89" s="55"/>
      <c r="C89" s="55"/>
      <c r="D89" s="55"/>
      <c r="E89" s="55"/>
      <c r="F89" s="55"/>
      <c r="G89" s="55"/>
    </row>
    <row r="90" ht="15.75" customHeight="1">
      <c r="A90" s="55"/>
      <c r="B90" s="55"/>
      <c r="C90" s="55"/>
      <c r="D90" s="55"/>
      <c r="E90" s="55"/>
      <c r="F90" s="55"/>
      <c r="G90" s="55"/>
    </row>
    <row r="91" ht="15.75" customHeight="1">
      <c r="A91" s="55"/>
      <c r="B91" s="55"/>
      <c r="C91" s="55"/>
      <c r="D91" s="55"/>
      <c r="E91" s="55"/>
      <c r="F91" s="55"/>
      <c r="G91" s="55"/>
    </row>
    <row r="92" ht="15.75" customHeight="1">
      <c r="A92" s="55"/>
      <c r="B92" s="55"/>
      <c r="C92" s="55"/>
      <c r="D92" s="55"/>
      <c r="E92" s="55"/>
      <c r="F92" s="55"/>
      <c r="G92" s="55"/>
    </row>
    <row r="93" ht="15.75" customHeight="1">
      <c r="A93" s="55"/>
      <c r="B93" s="55"/>
      <c r="C93" s="55"/>
      <c r="D93" s="55"/>
      <c r="E93" s="55"/>
      <c r="F93" s="55"/>
      <c r="G93" s="55"/>
    </row>
    <row r="94" ht="15.75" customHeight="1">
      <c r="A94" s="55"/>
      <c r="B94" s="55"/>
      <c r="C94" s="55"/>
      <c r="D94" s="55"/>
      <c r="E94" s="55"/>
      <c r="F94" s="55"/>
      <c r="G94" s="55"/>
    </row>
    <row r="95" ht="15.75" customHeight="1">
      <c r="A95" s="55"/>
      <c r="B95" s="55"/>
      <c r="C95" s="55"/>
      <c r="D95" s="55"/>
      <c r="E95" s="55"/>
      <c r="F95" s="55"/>
      <c r="G95" s="55"/>
    </row>
    <row r="96" ht="15.75" customHeight="1">
      <c r="A96" s="55"/>
      <c r="B96" s="55"/>
      <c r="C96" s="55"/>
      <c r="D96" s="55"/>
      <c r="E96" s="55"/>
      <c r="F96" s="55"/>
      <c r="G96" s="55"/>
    </row>
    <row r="97" ht="15.75" customHeight="1">
      <c r="A97" s="55"/>
      <c r="B97" s="55"/>
      <c r="C97" s="55"/>
      <c r="D97" s="55"/>
      <c r="E97" s="55"/>
      <c r="F97" s="55"/>
      <c r="G97" s="55"/>
    </row>
    <row r="98" ht="15.75" customHeight="1">
      <c r="A98" s="55"/>
      <c r="B98" s="55"/>
      <c r="C98" s="55"/>
      <c r="D98" s="55"/>
      <c r="E98" s="55"/>
      <c r="F98" s="55"/>
      <c r="G98" s="55"/>
    </row>
    <row r="99" ht="15.75" customHeight="1">
      <c r="A99" s="55"/>
      <c r="B99" s="55"/>
      <c r="C99" s="55"/>
      <c r="D99" s="55"/>
      <c r="E99" s="55"/>
      <c r="F99" s="55"/>
      <c r="G99" s="55"/>
    </row>
    <row r="100" ht="15.75" customHeight="1">
      <c r="A100" s="55"/>
      <c r="B100" s="55"/>
      <c r="C100" s="55"/>
      <c r="D100" s="55"/>
      <c r="E100" s="55"/>
      <c r="F100" s="55"/>
      <c r="G100" s="55"/>
    </row>
    <row r="101" ht="15.75" customHeight="1">
      <c r="A101" s="55"/>
      <c r="B101" s="55"/>
      <c r="C101" s="55"/>
      <c r="D101" s="55"/>
      <c r="E101" s="55"/>
      <c r="F101" s="55"/>
      <c r="G101" s="55"/>
    </row>
    <row r="102" ht="15.75" customHeight="1">
      <c r="A102" s="55"/>
      <c r="B102" s="55"/>
      <c r="C102" s="55"/>
      <c r="D102" s="55"/>
      <c r="E102" s="55"/>
      <c r="F102" s="55"/>
      <c r="G102" s="55"/>
    </row>
    <row r="103" ht="15.75" customHeight="1">
      <c r="A103" s="55"/>
      <c r="B103" s="55"/>
      <c r="C103" s="55"/>
      <c r="D103" s="55"/>
      <c r="E103" s="55"/>
      <c r="F103" s="55"/>
      <c r="G103" s="55"/>
    </row>
    <row r="104" ht="15.75" customHeight="1">
      <c r="A104" s="55"/>
      <c r="B104" s="55"/>
      <c r="C104" s="55"/>
      <c r="D104" s="55"/>
      <c r="E104" s="55"/>
      <c r="F104" s="55"/>
      <c r="G104" s="55"/>
    </row>
    <row r="105" ht="15.75" customHeight="1">
      <c r="A105" s="55"/>
      <c r="B105" s="55"/>
      <c r="C105" s="55"/>
      <c r="D105" s="55"/>
      <c r="E105" s="55"/>
      <c r="F105" s="55"/>
      <c r="G105" s="55"/>
    </row>
    <row r="106" ht="15.75" customHeight="1">
      <c r="A106" s="55"/>
      <c r="B106" s="55"/>
      <c r="C106" s="55"/>
      <c r="D106" s="55"/>
      <c r="E106" s="55"/>
      <c r="F106" s="55"/>
      <c r="G106" s="55"/>
    </row>
    <row r="107" ht="15.75" customHeight="1">
      <c r="A107" s="55"/>
      <c r="B107" s="55"/>
      <c r="C107" s="55"/>
      <c r="D107" s="55"/>
      <c r="E107" s="55"/>
      <c r="F107" s="55"/>
      <c r="G107" s="55"/>
    </row>
    <row r="108" ht="15.75" customHeight="1">
      <c r="A108" s="55"/>
      <c r="B108" s="55"/>
      <c r="C108" s="55"/>
      <c r="D108" s="55"/>
      <c r="E108" s="55"/>
      <c r="F108" s="55"/>
      <c r="G108" s="55"/>
    </row>
    <row r="109" ht="15.75" customHeight="1">
      <c r="A109" s="55"/>
      <c r="B109" s="55"/>
      <c r="C109" s="55"/>
      <c r="D109" s="55"/>
      <c r="E109" s="55"/>
      <c r="F109" s="55"/>
      <c r="G109" s="55"/>
    </row>
    <row r="110" ht="15.75" customHeight="1">
      <c r="A110" s="55"/>
      <c r="B110" s="55"/>
      <c r="C110" s="55"/>
      <c r="D110" s="55"/>
      <c r="E110" s="55"/>
      <c r="F110" s="55"/>
      <c r="G110" s="55"/>
    </row>
    <row r="111" ht="15.75" customHeight="1">
      <c r="A111" s="55"/>
      <c r="B111" s="55"/>
      <c r="C111" s="55"/>
      <c r="D111" s="55"/>
      <c r="E111" s="55"/>
      <c r="F111" s="55"/>
      <c r="G111" s="55"/>
    </row>
    <row r="112" ht="15.75" customHeight="1">
      <c r="A112" s="55"/>
      <c r="B112" s="55"/>
      <c r="C112" s="55"/>
      <c r="D112" s="55"/>
      <c r="E112" s="55"/>
      <c r="F112" s="55"/>
      <c r="G112" s="55"/>
    </row>
    <row r="113" ht="15.75" customHeight="1">
      <c r="A113" s="55"/>
      <c r="B113" s="55"/>
      <c r="C113" s="55"/>
      <c r="D113" s="55"/>
      <c r="E113" s="55"/>
      <c r="F113" s="55"/>
      <c r="G113" s="55"/>
    </row>
    <row r="114" ht="15.75" customHeight="1">
      <c r="A114" s="55"/>
      <c r="B114" s="55"/>
      <c r="C114" s="55"/>
      <c r="D114" s="55"/>
      <c r="E114" s="55"/>
      <c r="F114" s="55"/>
      <c r="G114" s="55"/>
    </row>
    <row r="115" ht="15.75" customHeight="1">
      <c r="A115" s="55"/>
      <c r="B115" s="55"/>
      <c r="C115" s="55"/>
      <c r="D115" s="55"/>
      <c r="E115" s="55"/>
      <c r="F115" s="55"/>
      <c r="G115" s="55"/>
    </row>
    <row r="116" ht="15.75" customHeight="1">
      <c r="A116" s="55"/>
      <c r="B116" s="55"/>
      <c r="C116" s="55"/>
      <c r="D116" s="55"/>
      <c r="E116" s="55"/>
      <c r="F116" s="55"/>
      <c r="G116" s="55"/>
    </row>
    <row r="117" ht="15.75" customHeight="1">
      <c r="A117" s="55"/>
      <c r="B117" s="55"/>
      <c r="C117" s="55"/>
      <c r="D117" s="55"/>
      <c r="E117" s="55"/>
      <c r="F117" s="55"/>
      <c r="G117" s="55"/>
    </row>
    <row r="118" ht="15.75" customHeight="1">
      <c r="A118" s="55"/>
      <c r="B118" s="55"/>
      <c r="C118" s="55"/>
      <c r="D118" s="55"/>
      <c r="E118" s="55"/>
      <c r="F118" s="55"/>
      <c r="G118" s="55"/>
    </row>
    <row r="119" ht="15.75" customHeight="1">
      <c r="A119" s="55"/>
      <c r="B119" s="55"/>
      <c r="C119" s="55"/>
      <c r="D119" s="55"/>
      <c r="E119" s="55"/>
      <c r="F119" s="55"/>
      <c r="G119" s="55"/>
    </row>
    <row r="120" ht="15.75" customHeight="1">
      <c r="A120" s="55"/>
      <c r="B120" s="55"/>
      <c r="C120" s="55"/>
      <c r="D120" s="55"/>
      <c r="E120" s="55"/>
      <c r="F120" s="55"/>
      <c r="G120" s="55"/>
    </row>
    <row r="121" ht="15.75" customHeight="1">
      <c r="A121" s="55"/>
      <c r="B121" s="55"/>
      <c r="C121" s="55"/>
      <c r="D121" s="55"/>
      <c r="E121" s="55"/>
      <c r="F121" s="55"/>
      <c r="G121" s="55"/>
    </row>
    <row r="122" ht="15.75" customHeight="1">
      <c r="A122" s="55"/>
      <c r="B122" s="55"/>
      <c r="C122" s="55"/>
      <c r="D122" s="55"/>
      <c r="E122" s="55"/>
      <c r="F122" s="55"/>
      <c r="G122" s="55"/>
    </row>
    <row r="123" ht="15.75" customHeight="1">
      <c r="A123" s="55"/>
      <c r="B123" s="55"/>
      <c r="C123" s="55"/>
      <c r="D123" s="55"/>
      <c r="E123" s="55"/>
      <c r="F123" s="55"/>
      <c r="G123" s="55"/>
    </row>
    <row r="124" ht="15.75" customHeight="1">
      <c r="A124" s="55"/>
      <c r="B124" s="55"/>
      <c r="C124" s="55"/>
      <c r="D124" s="55"/>
      <c r="E124" s="55"/>
      <c r="F124" s="55"/>
      <c r="G124" s="55"/>
    </row>
    <row r="125" ht="15.75" customHeight="1">
      <c r="A125" s="55"/>
      <c r="B125" s="55"/>
      <c r="C125" s="55"/>
      <c r="D125" s="55"/>
      <c r="E125" s="55"/>
      <c r="F125" s="55"/>
      <c r="G125" s="55"/>
    </row>
    <row r="126" ht="15.75" customHeight="1">
      <c r="A126" s="55"/>
      <c r="B126" s="55"/>
      <c r="C126" s="55"/>
      <c r="D126" s="55"/>
      <c r="E126" s="55"/>
      <c r="F126" s="55"/>
      <c r="G126" s="55"/>
    </row>
    <row r="127" ht="15.75" customHeight="1">
      <c r="A127" s="55"/>
      <c r="B127" s="55"/>
      <c r="C127" s="55"/>
      <c r="D127" s="55"/>
      <c r="E127" s="55"/>
      <c r="F127" s="55"/>
      <c r="G127" s="55"/>
    </row>
    <row r="128" ht="15.75" customHeight="1">
      <c r="A128" s="55"/>
      <c r="B128" s="55"/>
      <c r="C128" s="55"/>
      <c r="D128" s="55"/>
      <c r="E128" s="55"/>
      <c r="F128" s="55"/>
      <c r="G128" s="55"/>
    </row>
    <row r="129" ht="15.75" customHeight="1">
      <c r="A129" s="55"/>
      <c r="B129" s="55"/>
      <c r="C129" s="55"/>
      <c r="D129" s="55"/>
      <c r="E129" s="55"/>
      <c r="F129" s="55"/>
      <c r="G129" s="55"/>
    </row>
    <row r="130" ht="15.75" customHeight="1">
      <c r="A130" s="55"/>
      <c r="B130" s="55"/>
      <c r="C130" s="55"/>
      <c r="D130" s="55"/>
      <c r="E130" s="55"/>
      <c r="F130" s="55"/>
      <c r="G130" s="55"/>
    </row>
    <row r="131" ht="15.75" customHeight="1">
      <c r="A131" s="55"/>
      <c r="B131" s="55"/>
      <c r="C131" s="55"/>
      <c r="D131" s="55"/>
      <c r="E131" s="55"/>
      <c r="F131" s="55"/>
      <c r="G131" s="55"/>
    </row>
    <row r="132" ht="15.75" customHeight="1">
      <c r="A132" s="55"/>
      <c r="B132" s="55"/>
      <c r="C132" s="55"/>
      <c r="D132" s="55"/>
      <c r="E132" s="55"/>
      <c r="F132" s="55"/>
      <c r="G132" s="55"/>
    </row>
    <row r="133" ht="15.75" customHeight="1">
      <c r="A133" s="55"/>
      <c r="B133" s="55"/>
      <c r="C133" s="55"/>
      <c r="D133" s="55"/>
      <c r="E133" s="55"/>
      <c r="F133" s="55"/>
      <c r="G133" s="55"/>
    </row>
    <row r="134" ht="15.75" customHeight="1">
      <c r="A134" s="55"/>
      <c r="B134" s="55"/>
      <c r="C134" s="55"/>
      <c r="D134" s="55"/>
      <c r="E134" s="55"/>
      <c r="F134" s="55"/>
      <c r="G134" s="55"/>
    </row>
    <row r="135" ht="15.75" customHeight="1">
      <c r="A135" s="55"/>
      <c r="B135" s="55"/>
      <c r="C135" s="55"/>
      <c r="D135" s="55"/>
      <c r="E135" s="55"/>
      <c r="F135" s="55"/>
      <c r="G135" s="55"/>
    </row>
    <row r="136" ht="15.75" customHeight="1">
      <c r="A136" s="55"/>
      <c r="B136" s="55"/>
      <c r="C136" s="55"/>
      <c r="D136" s="55"/>
      <c r="E136" s="55"/>
      <c r="F136" s="55"/>
      <c r="G136" s="55"/>
    </row>
    <row r="137" ht="15.75" customHeight="1">
      <c r="A137" s="55"/>
      <c r="B137" s="55"/>
      <c r="C137" s="55"/>
      <c r="D137" s="55"/>
      <c r="E137" s="55"/>
      <c r="F137" s="55"/>
      <c r="G137" s="55"/>
    </row>
    <row r="138" ht="15.75" customHeight="1">
      <c r="A138" s="55"/>
      <c r="B138" s="55"/>
      <c r="C138" s="55"/>
      <c r="D138" s="55"/>
      <c r="E138" s="55"/>
      <c r="F138" s="55"/>
      <c r="G138" s="55"/>
    </row>
    <row r="139" ht="15.75" customHeight="1">
      <c r="A139" s="55"/>
      <c r="B139" s="55"/>
      <c r="C139" s="55"/>
      <c r="D139" s="55"/>
      <c r="E139" s="55"/>
      <c r="F139" s="55"/>
      <c r="G139" s="55"/>
    </row>
  </sheetData>
  <mergeCells count="7">
    <mergeCell ref="B2:D2"/>
    <mergeCell ref="F2:G2"/>
    <mergeCell ref="F3:G3"/>
    <mergeCell ref="D10:E10"/>
    <mergeCell ref="B12:C15"/>
    <mergeCell ref="D12:G15"/>
    <mergeCell ref="D16:G16"/>
  </mergeCells>
  <printOptions/>
  <pageMargins bottom="0.787401575" footer="0.0" header="0.0" left="0.511811024" right="0.511811024" top="0.787401575"/>
  <pageSetup orientation="landscape"/>
  <drawing r:id="rId1"/>
</worksheet>
</file>